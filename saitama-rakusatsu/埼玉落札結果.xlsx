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C PC20-28\Desktop\"/>
    </mc:Choice>
  </mc:AlternateContent>
  <xr:revisionPtr revIDLastSave="0" documentId="13_ncr:1_{746CC455-BB67-4A1A-9A53-A1F3199DF092}" xr6:coauthVersionLast="47" xr6:coauthVersionMax="47" xr10:uidLastSave="{00000000-0000-0000-0000-000000000000}"/>
  <bookViews>
    <workbookView xWindow="-120" yWindow="-120" windowWidth="29040" windowHeight="15720" activeTab="1" xr2:uid="{00000000-000D-0000-FFFF-FFFF00000000}"/>
  </bookViews>
  <sheets>
    <sheet name="埼玉県落札結果情報" sheetId="1" r:id="rId1"/>
    <sheet name="自治体落札結果" sheetId="2" r:id="rId2"/>
  </sheets>
  <definedNames>
    <definedName name="_xlnm._FilterDatabase" localSheetId="1" hidden="1">自治体落札結果!$A$2:$P$2935</definedName>
  </definedNames>
  <calcPr calcId="191029"/>
</workbook>
</file>

<file path=xl/calcChain.xml><?xml version="1.0" encoding="utf-8"?>
<calcChain xmlns="http://schemas.openxmlformats.org/spreadsheetml/2006/main">
  <c r="I2930" i="2" l="1"/>
  <c r="I386" i="2"/>
  <c r="N2920" i="2"/>
  <c r="N2826" i="2"/>
  <c r="N2660" i="2"/>
  <c r="N2654" i="2"/>
  <c r="N2652" i="2"/>
  <c r="N2640" i="2"/>
  <c r="N2628" i="2"/>
  <c r="N2627" i="2"/>
  <c r="N2621" i="2"/>
  <c r="N2616" i="2"/>
  <c r="N2615" i="2"/>
  <c r="N2614" i="2"/>
  <c r="N2609" i="2"/>
  <c r="N2608" i="2"/>
  <c r="N1478" i="2"/>
  <c r="N1464" i="2"/>
  <c r="N1463" i="2"/>
  <c r="N1460" i="2"/>
  <c r="N1457" i="2"/>
  <c r="N1456" i="2"/>
  <c r="N1452" i="2"/>
  <c r="N1450" i="2"/>
  <c r="N1449" i="2"/>
  <c r="N1448" i="2"/>
  <c r="N1447" i="2"/>
  <c r="N1442" i="2"/>
  <c r="N1440" i="2"/>
  <c r="N1173" i="2"/>
  <c r="N1169" i="2"/>
  <c r="N1167" i="2"/>
  <c r="N1163" i="2"/>
  <c r="N1162" i="2"/>
  <c r="N1161" i="2"/>
  <c r="N1160" i="2"/>
  <c r="N1155" i="2"/>
  <c r="N1154" i="2"/>
  <c r="N1151" i="2"/>
  <c r="N1149" i="2"/>
  <c r="N1145" i="2"/>
  <c r="N1143" i="2"/>
  <c r="N1139" i="2"/>
  <c r="N1138" i="2"/>
  <c r="N1137" i="2"/>
  <c r="N1136" i="2"/>
  <c r="N1131" i="2"/>
  <c r="N1130" i="2"/>
  <c r="N1127" i="2"/>
  <c r="N1125" i="2"/>
  <c r="N1121" i="2"/>
  <c r="N1119" i="2"/>
  <c r="N1115" i="2"/>
  <c r="N1114" i="2"/>
  <c r="N1113" i="2"/>
  <c r="N1112" i="2"/>
  <c r="N1107" i="2"/>
  <c r="N1104" i="2"/>
  <c r="N1103" i="2"/>
  <c r="N1101" i="2"/>
  <c r="N853" i="2"/>
  <c r="N386" i="2"/>
  <c r="N4" i="2"/>
  <c r="N5" i="2"/>
  <c r="N6" i="2"/>
  <c r="N7" i="2"/>
  <c r="N17" i="2"/>
  <c r="N36" i="2"/>
  <c r="N38" i="2"/>
  <c r="N39" i="2"/>
  <c r="N40" i="2"/>
  <c r="N43" i="2"/>
  <c r="N44" i="2"/>
  <c r="N45" i="2"/>
  <c r="N46" i="2"/>
  <c r="N47" i="2"/>
  <c r="N48" i="2"/>
  <c r="N49" i="2"/>
  <c r="N50" i="2"/>
  <c r="N51" i="2"/>
  <c r="N52" i="2"/>
  <c r="N55" i="2"/>
  <c r="N56" i="2"/>
  <c r="N57" i="2"/>
  <c r="N58" i="2"/>
  <c r="N59" i="2"/>
  <c r="N60" i="2"/>
  <c r="N61" i="2"/>
  <c r="N62" i="2"/>
  <c r="N63" i="2"/>
  <c r="N64" i="2"/>
  <c r="N65" i="2"/>
  <c r="N71" i="2"/>
  <c r="N72" i="2"/>
  <c r="N73" i="2"/>
  <c r="N74" i="2"/>
  <c r="N75" i="2"/>
  <c r="N76" i="2"/>
  <c r="N77" i="2"/>
  <c r="N82" i="2"/>
  <c r="N84" i="2"/>
  <c r="N85" i="2"/>
  <c r="N90" i="2"/>
  <c r="N92" i="2"/>
  <c r="N93" i="2"/>
  <c r="N96" i="2"/>
  <c r="N97" i="2"/>
  <c r="N104" i="2"/>
  <c r="N105" i="2"/>
  <c r="N106" i="2"/>
  <c r="N107" i="2"/>
  <c r="N110" i="2"/>
  <c r="N111" i="2"/>
  <c r="N112" i="2"/>
  <c r="N113" i="2"/>
  <c r="N114" i="2"/>
  <c r="N116" i="2"/>
  <c r="N122" i="2"/>
  <c r="N125" i="2"/>
  <c r="N126" i="2"/>
  <c r="N130" i="2"/>
  <c r="N131" i="2"/>
  <c r="N132" i="2"/>
  <c r="N135" i="2"/>
  <c r="N136" i="2"/>
  <c r="N137" i="2"/>
  <c r="N138" i="2"/>
  <c r="N139" i="2"/>
  <c r="N140" i="2"/>
  <c r="N141" i="2"/>
  <c r="N142" i="2"/>
  <c r="N143" i="2"/>
  <c r="N144" i="2"/>
  <c r="N145" i="2"/>
  <c r="N146" i="2"/>
  <c r="N147" i="2"/>
  <c r="N148" i="2"/>
  <c r="N149" i="2"/>
  <c r="N151" i="2"/>
  <c r="N152" i="2"/>
  <c r="N153" i="2"/>
  <c r="N157" i="2"/>
  <c r="N163" i="2"/>
  <c r="N164" i="2"/>
  <c r="N165" i="2"/>
  <c r="N166" i="2"/>
  <c r="N167" i="2"/>
  <c r="N168" i="2"/>
  <c r="N169" i="2"/>
  <c r="N170" i="2"/>
  <c r="N171" i="2"/>
  <c r="N172" i="2"/>
  <c r="N173" i="2"/>
  <c r="N178" i="2"/>
  <c r="N179" i="2"/>
  <c r="N181"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6" i="2"/>
  <c r="N217" i="2"/>
  <c r="N218" i="2"/>
  <c r="N219" i="2"/>
  <c r="N220" i="2"/>
  <c r="N221" i="2"/>
  <c r="N222" i="2"/>
  <c r="N223" i="2"/>
  <c r="N224" i="2"/>
  <c r="N227" i="2"/>
  <c r="N228" i="2"/>
  <c r="N232" i="2"/>
  <c r="N234" i="2"/>
  <c r="N235" i="2"/>
  <c r="N236" i="2"/>
  <c r="N237" i="2"/>
  <c r="N238" i="2"/>
  <c r="N239" i="2"/>
  <c r="N240" i="2"/>
  <c r="N241" i="2"/>
  <c r="N247" i="2"/>
  <c r="N248" i="2"/>
  <c r="N249" i="2"/>
  <c r="N251" i="2"/>
  <c r="N252" i="2"/>
  <c r="N254" i="2"/>
  <c r="N255" i="2"/>
  <c r="N278" i="2"/>
  <c r="N279" i="2"/>
  <c r="N280" i="2"/>
  <c r="N281" i="2"/>
  <c r="N282" i="2"/>
  <c r="N283" i="2"/>
  <c r="N284" i="2"/>
  <c r="N285" i="2"/>
  <c r="N286" i="2"/>
  <c r="N287" i="2"/>
  <c r="N288" i="2"/>
  <c r="N289" i="2"/>
  <c r="N290" i="2"/>
  <c r="N291" i="2"/>
  <c r="N296" i="2"/>
  <c r="N297" i="2"/>
  <c r="N298" i="2"/>
  <c r="N306" i="2"/>
  <c r="N307" i="2"/>
  <c r="N308" i="2"/>
  <c r="N309" i="2"/>
  <c r="N310" i="2"/>
  <c r="N318" i="2"/>
  <c r="N319" i="2"/>
  <c r="N320" i="2"/>
  <c r="N321" i="2"/>
  <c r="N322" i="2"/>
  <c r="N323" i="2"/>
  <c r="N324" i="2"/>
  <c r="N325" i="2"/>
  <c r="N326" i="2"/>
  <c r="N327" i="2"/>
  <c r="N328" i="2"/>
  <c r="N331" i="2"/>
  <c r="N333" i="2"/>
  <c r="N349" i="2"/>
  <c r="N351" i="2"/>
  <c r="N360" i="2"/>
  <c r="N361" i="2"/>
  <c r="N362" i="2"/>
  <c r="N363" i="2"/>
  <c r="N365" i="2"/>
  <c r="N367" i="2"/>
  <c r="N373" i="2"/>
  <c r="N374" i="2"/>
  <c r="N375" i="2"/>
  <c r="N376" i="2"/>
  <c r="N377" i="2"/>
  <c r="N378" i="2"/>
  <c r="N379" i="2"/>
  <c r="N380" i="2"/>
  <c r="N382" i="2"/>
  <c r="N384" i="2"/>
  <c r="N389" i="2"/>
  <c r="N390" i="2"/>
  <c r="N391" i="2"/>
  <c r="N392" i="2"/>
  <c r="N393" i="2"/>
  <c r="N394" i="2"/>
  <c r="N395" i="2"/>
  <c r="N396" i="2"/>
  <c r="N397" i="2"/>
  <c r="N412" i="2"/>
  <c r="N413" i="2"/>
  <c r="N421" i="2"/>
  <c r="N425" i="2"/>
  <c r="N426" i="2"/>
  <c r="N427" i="2"/>
  <c r="N428" i="2"/>
  <c r="N432" i="2"/>
  <c r="N433" i="2"/>
  <c r="N434" i="2"/>
  <c r="N435" i="2"/>
  <c r="N436" i="2"/>
  <c r="N437" i="2"/>
  <c r="N438" i="2"/>
  <c r="N439" i="2"/>
  <c r="N440" i="2"/>
  <c r="N441" i="2"/>
  <c r="N442" i="2"/>
  <c r="N443" i="2"/>
  <c r="N444" i="2"/>
  <c r="N445" i="2"/>
  <c r="N446" i="2"/>
  <c r="N447" i="2"/>
  <c r="N453" i="2"/>
  <c r="N454" i="2"/>
  <c r="N457" i="2"/>
  <c r="N458" i="2"/>
  <c r="N459" i="2"/>
  <c r="N460" i="2"/>
  <c r="N462" i="2"/>
  <c r="N464" i="2"/>
  <c r="N465" i="2"/>
  <c r="N467" i="2"/>
  <c r="N468" i="2"/>
  <c r="N469" i="2"/>
  <c r="N471" i="2"/>
  <c r="N472" i="2"/>
  <c r="N473" i="2"/>
  <c r="N474" i="2"/>
  <c r="N475" i="2"/>
  <c r="N476" i="2"/>
  <c r="N480" i="2"/>
  <c r="N481" i="2"/>
  <c r="N482" i="2"/>
  <c r="N484" i="2"/>
  <c r="N485" i="2"/>
  <c r="N486" i="2"/>
  <c r="N489" i="2"/>
  <c r="N492" i="2"/>
  <c r="N493" i="2"/>
  <c r="N494" i="2"/>
  <c r="N495" i="2"/>
  <c r="N496" i="2"/>
  <c r="N497" i="2"/>
  <c r="N498" i="2"/>
  <c r="N499" i="2"/>
  <c r="N500" i="2"/>
  <c r="N501" i="2"/>
  <c r="N505" i="2"/>
  <c r="N506" i="2"/>
  <c r="N508" i="2"/>
  <c r="N513" i="2"/>
  <c r="N514" i="2"/>
  <c r="N515" i="2"/>
  <c r="N516" i="2"/>
  <c r="N518" i="2"/>
  <c r="N519" i="2"/>
  <c r="N521"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3" i="2"/>
  <c r="N554" i="2"/>
  <c r="N555" i="2"/>
  <c r="N556" i="2"/>
  <c r="N557" i="2"/>
  <c r="N558" i="2"/>
  <c r="N559" i="2"/>
  <c r="N560" i="2"/>
  <c r="N561" i="2"/>
  <c r="N562" i="2"/>
  <c r="N563" i="2"/>
  <c r="N564" i="2"/>
  <c r="N565" i="2"/>
  <c r="N566" i="2"/>
  <c r="N567" i="2"/>
  <c r="N568" i="2"/>
  <c r="N569" i="2"/>
  <c r="N570" i="2"/>
  <c r="N571" i="2"/>
  <c r="N572" i="2"/>
  <c r="N573" i="2"/>
  <c r="N574" i="2"/>
  <c r="N582" i="2"/>
  <c r="N583" i="2"/>
  <c r="N584" i="2"/>
  <c r="N599" i="2"/>
  <c r="N601" i="2"/>
  <c r="N602" i="2"/>
  <c r="N603" i="2"/>
  <c r="N604" i="2"/>
  <c r="N605" i="2"/>
  <c r="N608" i="2"/>
  <c r="N609" i="2"/>
  <c r="N610" i="2"/>
  <c r="N611" i="2"/>
  <c r="N612" i="2"/>
  <c r="N613" i="2"/>
  <c r="N614" i="2"/>
  <c r="N615" i="2"/>
  <c r="N616" i="2"/>
  <c r="N617" i="2"/>
  <c r="N619" i="2"/>
  <c r="N622" i="2"/>
  <c r="N627" i="2"/>
  <c r="N629" i="2"/>
  <c r="N630" i="2"/>
  <c r="N631" i="2"/>
  <c r="N633" i="2"/>
  <c r="N634" i="2"/>
  <c r="N635" i="2"/>
  <c r="N643" i="2"/>
  <c r="N644" i="2"/>
  <c r="N645" i="2"/>
  <c r="N646" i="2"/>
  <c r="N647" i="2"/>
  <c r="N648" i="2"/>
  <c r="N654" i="2"/>
  <c r="N655" i="2"/>
  <c r="N656" i="2"/>
  <c r="N658" i="2"/>
  <c r="N659" i="2"/>
  <c r="N660" i="2"/>
  <c r="N669" i="2"/>
  <c r="N670" i="2"/>
  <c r="N671" i="2"/>
  <c r="N672" i="2"/>
  <c r="N673" i="2"/>
  <c r="N674" i="2"/>
  <c r="N675" i="2"/>
  <c r="N678" i="2"/>
  <c r="N679" i="2"/>
  <c r="N687" i="2"/>
  <c r="N688" i="2"/>
  <c r="N689" i="2"/>
  <c r="N690" i="2"/>
  <c r="N691" i="2"/>
  <c r="N692" i="2"/>
  <c r="N693" i="2"/>
  <c r="N695" i="2"/>
  <c r="N696" i="2"/>
  <c r="N697" i="2"/>
  <c r="N698" i="2"/>
  <c r="N699" i="2"/>
  <c r="N702" i="2"/>
  <c r="N703" i="2"/>
  <c r="N704" i="2"/>
  <c r="N712" i="2"/>
  <c r="N713" i="2"/>
  <c r="N714" i="2"/>
  <c r="N715" i="2"/>
  <c r="N716" i="2"/>
  <c r="N717" i="2"/>
  <c r="N718" i="2"/>
  <c r="N730" i="2"/>
  <c r="N731" i="2"/>
  <c r="N732" i="2"/>
  <c r="N733" i="2"/>
  <c r="N735" i="2"/>
  <c r="N736" i="2"/>
  <c r="N737" i="2"/>
  <c r="N738" i="2"/>
  <c r="N739" i="2"/>
  <c r="N742" i="2"/>
  <c r="N743" i="2"/>
  <c r="N745" i="2"/>
  <c r="N748"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2" i="2"/>
  <c r="N1105" i="2"/>
  <c r="N1106" i="2"/>
  <c r="N1108" i="2"/>
  <c r="N1109" i="2"/>
  <c r="N1110" i="2"/>
  <c r="N1111" i="2"/>
  <c r="N1116" i="2"/>
  <c r="N1117" i="2"/>
  <c r="N1118" i="2"/>
  <c r="N1120" i="2"/>
  <c r="N1122" i="2"/>
  <c r="N1123" i="2"/>
  <c r="N1124" i="2"/>
  <c r="N1126" i="2"/>
  <c r="N1128" i="2"/>
  <c r="N1129" i="2"/>
  <c r="N1132" i="2"/>
  <c r="N1133" i="2"/>
  <c r="N1134" i="2"/>
  <c r="N1135" i="2"/>
  <c r="N1140" i="2"/>
  <c r="N1141" i="2"/>
  <c r="N1142" i="2"/>
  <c r="N1144" i="2"/>
  <c r="N1146" i="2"/>
  <c r="N1147" i="2"/>
  <c r="N1148" i="2"/>
  <c r="N1150" i="2"/>
  <c r="N1152" i="2"/>
  <c r="N1153" i="2"/>
  <c r="N1156" i="2"/>
  <c r="N1157" i="2"/>
  <c r="N1158" i="2"/>
  <c r="N1159" i="2"/>
  <c r="N1164" i="2"/>
  <c r="N1165" i="2"/>
  <c r="N1166" i="2"/>
  <c r="N1168" i="2"/>
  <c r="N1170" i="2"/>
  <c r="N1171" i="2"/>
  <c r="N1172"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8" i="2"/>
  <c r="N1419" i="2"/>
  <c r="N1420" i="2"/>
  <c r="N1421" i="2"/>
  <c r="N1422" i="2"/>
  <c r="N1423" i="2"/>
  <c r="N1424" i="2"/>
  <c r="N1425" i="2"/>
  <c r="N1426" i="2"/>
  <c r="N1427" i="2"/>
  <c r="N1428" i="2"/>
  <c r="N1429" i="2"/>
  <c r="N1430" i="2"/>
  <c r="N1431" i="2"/>
  <c r="N1432" i="2"/>
  <c r="N1433" i="2"/>
  <c r="N1434" i="2"/>
  <c r="N1435" i="2"/>
  <c r="N1436" i="2"/>
  <c r="N1437" i="2"/>
  <c r="N1438" i="2"/>
  <c r="N1439" i="2"/>
  <c r="N1441" i="2"/>
  <c r="N1443" i="2"/>
  <c r="N1444" i="2"/>
  <c r="N1445" i="2"/>
  <c r="N1446" i="2"/>
  <c r="N1451" i="2"/>
  <c r="N1453" i="2"/>
  <c r="N1454" i="2"/>
  <c r="N1455" i="2"/>
  <c r="N1458" i="2"/>
  <c r="N1459" i="2"/>
  <c r="N1461" i="2"/>
  <c r="N1462" i="2"/>
  <c r="N1465" i="2"/>
  <c r="N1468" i="2"/>
  <c r="N1469" i="2"/>
  <c r="N1470" i="2"/>
  <c r="N1471" i="2"/>
  <c r="N1472" i="2"/>
  <c r="N1473" i="2"/>
  <c r="N1474" i="2"/>
  <c r="N1475" i="2"/>
  <c r="N1476" i="2"/>
  <c r="N1477"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814"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144" i="2"/>
  <c r="N2145" i="2"/>
  <c r="N2146" i="2"/>
  <c r="N2147" i="2"/>
  <c r="N2148" i="2"/>
  <c r="N2149" i="2"/>
  <c r="N2150" i="2"/>
  <c r="N2151" i="2"/>
  <c r="N2152" i="2"/>
  <c r="N2153" i="2"/>
  <c r="N2154" i="2"/>
  <c r="N2155" i="2"/>
  <c r="N2156" i="2"/>
  <c r="N2157" i="2"/>
  <c r="N2158" i="2"/>
  <c r="N2159" i="2"/>
  <c r="N2160" i="2"/>
  <c r="N2161" i="2"/>
  <c r="N2163" i="2"/>
  <c r="N2164" i="2"/>
  <c r="N2165"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7" i="2"/>
  <c r="N2571" i="2"/>
  <c r="N2572" i="2"/>
  <c r="N2573" i="2"/>
  <c r="N2574" i="2"/>
  <c r="N2575" i="2"/>
  <c r="N2577" i="2"/>
  <c r="N2578" i="2"/>
  <c r="N2579" i="2"/>
  <c r="N2580" i="2"/>
  <c r="N2581" i="2"/>
  <c r="N2583" i="2"/>
  <c r="N2585" i="2"/>
  <c r="N2586" i="2"/>
  <c r="N2587" i="2"/>
  <c r="N2590" i="2"/>
  <c r="N2591" i="2"/>
  <c r="N2592" i="2"/>
  <c r="N2593" i="2"/>
  <c r="N2594" i="2"/>
  <c r="N2597" i="2"/>
  <c r="N2598" i="2"/>
  <c r="N2599" i="2"/>
  <c r="N2601" i="2"/>
  <c r="N2602" i="2"/>
  <c r="N2603" i="2"/>
  <c r="N2604" i="2"/>
  <c r="N2605" i="2"/>
  <c r="N2606" i="2"/>
  <c r="N2607" i="2"/>
  <c r="N2610" i="2"/>
  <c r="N2611" i="2"/>
  <c r="N2612" i="2"/>
  <c r="N2613" i="2"/>
  <c r="N2617" i="2"/>
  <c r="N2618" i="2"/>
  <c r="N2619" i="2"/>
  <c r="N2620" i="2"/>
  <c r="N2622" i="2"/>
  <c r="N2623" i="2"/>
  <c r="N2624" i="2"/>
  <c r="N2625" i="2"/>
  <c r="N2626" i="2"/>
  <c r="N2629" i="2"/>
  <c r="N2630" i="2"/>
  <c r="N2631" i="2"/>
  <c r="N2632" i="2"/>
  <c r="N2633" i="2"/>
  <c r="N2634" i="2"/>
  <c r="N2635" i="2"/>
  <c r="N2636" i="2"/>
  <c r="N2637" i="2"/>
  <c r="N2638" i="2"/>
  <c r="N2639" i="2"/>
  <c r="N2641" i="2"/>
  <c r="N2642" i="2"/>
  <c r="N2643" i="2"/>
  <c r="N2644" i="2"/>
  <c r="N2645" i="2"/>
  <c r="N2646" i="2"/>
  <c r="N2647" i="2"/>
  <c r="N2648" i="2"/>
  <c r="N2649" i="2"/>
  <c r="N2650" i="2"/>
  <c r="N2651" i="2"/>
  <c r="N2653" i="2"/>
  <c r="N2655" i="2"/>
  <c r="N2656" i="2"/>
  <c r="N2657" i="2"/>
  <c r="N2658" i="2"/>
  <c r="N2659" i="2"/>
  <c r="N2661" i="2"/>
  <c r="N2662"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45" i="2"/>
  <c r="N2746" i="2"/>
  <c r="N2747" i="2"/>
  <c r="N2748" i="2"/>
  <c r="N2749" i="2"/>
  <c r="N2750" i="2"/>
  <c r="N2751" i="2"/>
  <c r="N2752" i="2"/>
  <c r="N2753" i="2"/>
  <c r="N2764" i="2"/>
  <c r="N2765" i="2"/>
  <c r="N2766" i="2"/>
  <c r="N2767" i="2"/>
  <c r="N2768" i="2"/>
  <c r="N2769" i="2"/>
  <c r="N2770" i="2"/>
  <c r="N2771" i="2"/>
  <c r="N2772"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7" i="2"/>
  <c r="N2808" i="2"/>
  <c r="N2809" i="2"/>
  <c r="N2810" i="2"/>
  <c r="N2811" i="2"/>
  <c r="N2812" i="2"/>
  <c r="N2813" i="2"/>
  <c r="N2814" i="2"/>
  <c r="N2815" i="2"/>
  <c r="N2816" i="2"/>
  <c r="N2817" i="2"/>
  <c r="N2818" i="2"/>
  <c r="N2819" i="2"/>
  <c r="N2820" i="2"/>
  <c r="N2821" i="2"/>
  <c r="N2822" i="2"/>
  <c r="N2823" i="2"/>
  <c r="N2824" i="2"/>
  <c r="N2825" i="2"/>
  <c r="N2831" i="2"/>
  <c r="N2832" i="2"/>
  <c r="N2833" i="2"/>
  <c r="N2834" i="2"/>
  <c r="N2835" i="2"/>
  <c r="N2836" i="2"/>
  <c r="N2837" i="2"/>
  <c r="N2838" i="2"/>
  <c r="N2839" i="2"/>
  <c r="N2840" i="2"/>
  <c r="N2841"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911" i="2"/>
  <c r="N2912" i="2"/>
  <c r="N2913" i="2"/>
  <c r="N2915" i="2"/>
  <c r="N2916" i="2"/>
  <c r="N2917" i="2"/>
  <c r="N2918" i="2"/>
  <c r="N2921" i="2"/>
  <c r="N2922" i="2"/>
  <c r="N2923" i="2"/>
  <c r="N2924" i="2"/>
  <c r="N2925" i="2"/>
  <c r="N2926" i="2"/>
  <c r="N2927" i="2"/>
  <c r="N2928" i="2"/>
  <c r="N2929" i="2"/>
  <c r="N2930" i="2"/>
  <c r="N2931" i="2"/>
  <c r="N2932" i="2"/>
  <c r="N2933" i="2"/>
  <c r="N2934" i="2"/>
  <c r="N2935" i="2"/>
  <c r="F2663" i="2"/>
  <c r="N2663" i="2" s="1"/>
  <c r="F387" i="2"/>
  <c r="N387" i="2" s="1"/>
  <c r="F388" i="2"/>
  <c r="N388" i="2" s="1"/>
  <c r="F398" i="2"/>
  <c r="N398" i="2" s="1"/>
  <c r="F399" i="2"/>
  <c r="N399" i="2" s="1"/>
  <c r="F400" i="2"/>
  <c r="N400" i="2" s="1"/>
  <c r="F401" i="2"/>
  <c r="N401" i="2" s="1"/>
  <c r="F402" i="2"/>
  <c r="N402" i="2" s="1"/>
  <c r="F1466" i="2"/>
  <c r="N1466" i="2" s="1"/>
  <c r="F1467" i="2"/>
  <c r="N1467" i="2" s="1"/>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3"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1" i="2"/>
  <c r="I2932" i="2"/>
  <c r="I2933" i="2"/>
  <c r="I2934" i="2"/>
  <c r="I2935" i="2"/>
  <c r="I4" i="2"/>
  <c r="I5" i="2"/>
  <c r="I6" i="2"/>
  <c r="I7" i="2"/>
  <c r="I8" i="2"/>
  <c r="I3" i="2"/>
  <c r="F2919" i="2"/>
  <c r="N2919" i="2" s="1"/>
  <c r="F2914" i="2"/>
  <c r="N2914" i="2" s="1"/>
  <c r="F2910" i="2"/>
  <c r="N2910" i="2" s="1"/>
  <c r="F2909" i="2"/>
  <c r="N2909" i="2" s="1"/>
  <c r="F2908" i="2"/>
  <c r="N2908" i="2" s="1"/>
  <c r="F2907" i="2"/>
  <c r="N2907" i="2" s="1"/>
  <c r="F2906" i="2"/>
  <c r="N2906" i="2" s="1"/>
  <c r="F2905" i="2"/>
  <c r="N2905" i="2" s="1"/>
  <c r="F2904" i="2"/>
  <c r="N2904" i="2" s="1"/>
  <c r="F2903" i="2"/>
  <c r="N2903" i="2" s="1"/>
  <c r="F2902" i="2"/>
  <c r="N2902" i="2" s="1"/>
  <c r="F2901" i="2"/>
  <c r="N2901" i="2" s="1"/>
  <c r="F2900" i="2"/>
  <c r="N2900" i="2" s="1"/>
  <c r="F2899" i="2"/>
  <c r="N2899" i="2" s="1"/>
  <c r="F2898" i="2"/>
  <c r="N2898" i="2" s="1"/>
  <c r="F2897" i="2"/>
  <c r="N2897" i="2" s="1"/>
  <c r="F2896" i="2"/>
  <c r="N2896" i="2" s="1"/>
  <c r="F2895" i="2"/>
  <c r="N2895" i="2" s="1"/>
  <c r="F2894" i="2"/>
  <c r="N2894" i="2" s="1"/>
  <c r="F2893" i="2"/>
  <c r="N2893" i="2" s="1"/>
  <c r="F2892" i="2"/>
  <c r="N2892" i="2" s="1"/>
  <c r="F2891" i="2"/>
  <c r="N2891" i="2" s="1"/>
  <c r="F2890" i="2"/>
  <c r="N2890" i="2" s="1"/>
  <c r="F2889" i="2"/>
  <c r="N2889" i="2" s="1"/>
  <c r="F2888" i="2"/>
  <c r="N2888" i="2" s="1"/>
  <c r="F2887" i="2"/>
  <c r="N2887" i="2" s="1"/>
  <c r="F2844" i="2"/>
  <c r="N2844" i="2" s="1"/>
  <c r="F2843" i="2"/>
  <c r="N2843" i="2" s="1"/>
  <c r="F2842" i="2"/>
  <c r="N2842" i="2" s="1"/>
  <c r="F2830" i="2"/>
  <c r="N2830" i="2" s="1"/>
  <c r="F2829" i="2"/>
  <c r="N2829" i="2" s="1"/>
  <c r="F2828" i="2"/>
  <c r="N2828" i="2" s="1"/>
  <c r="F2827" i="2"/>
  <c r="N2827" i="2" s="1"/>
  <c r="F2806" i="2"/>
  <c r="N2806" i="2" s="1"/>
  <c r="F2773" i="2"/>
  <c r="N2773" i="2" s="1"/>
  <c r="F2763" i="2"/>
  <c r="N2763" i="2" s="1"/>
  <c r="F2762" i="2"/>
  <c r="N2762" i="2" s="1"/>
  <c r="F2761" i="2"/>
  <c r="N2761" i="2" s="1"/>
  <c r="F2760" i="2"/>
  <c r="N2760" i="2" s="1"/>
  <c r="F2759" i="2"/>
  <c r="N2759" i="2" s="1"/>
  <c r="F2758" i="2"/>
  <c r="N2758" i="2" s="1"/>
  <c r="F2757" i="2"/>
  <c r="N2757" i="2" s="1"/>
  <c r="F2756" i="2"/>
  <c r="N2756" i="2" s="1"/>
  <c r="F2755" i="2"/>
  <c r="N2755" i="2" s="1"/>
  <c r="F2754" i="2"/>
  <c r="N2754" i="2" s="1"/>
  <c r="F2744" i="2"/>
  <c r="N2744" i="2" s="1"/>
  <c r="F2743" i="2"/>
  <c r="N2743" i="2" s="1"/>
  <c r="F2742" i="2"/>
  <c r="N2742" i="2" s="1"/>
  <c r="F2741" i="2"/>
  <c r="N2741" i="2" s="1"/>
  <c r="F2740" i="2"/>
  <c r="N2740" i="2" s="1"/>
  <c r="F2739" i="2"/>
  <c r="N2739" i="2" s="1"/>
  <c r="F2738" i="2"/>
  <c r="N2738" i="2" s="1"/>
  <c r="F2737" i="2"/>
  <c r="N2737" i="2" s="1"/>
  <c r="F2736" i="2"/>
  <c r="N2736" i="2" s="1"/>
  <c r="F2735" i="2"/>
  <c r="N2735" i="2" s="1"/>
  <c r="F2734" i="2"/>
  <c r="N2734" i="2" s="1"/>
  <c r="F2733" i="2"/>
  <c r="N2733" i="2" s="1"/>
  <c r="F2732" i="2"/>
  <c r="N2732" i="2" s="1"/>
  <c r="F2731" i="2"/>
  <c r="N2731" i="2" s="1"/>
  <c r="F2730" i="2"/>
  <c r="N2730" i="2" s="1"/>
  <c r="F2729" i="2"/>
  <c r="N2729" i="2" s="1"/>
  <c r="F2728" i="2"/>
  <c r="N2728" i="2" s="1"/>
  <c r="F2727" i="2"/>
  <c r="N2727" i="2" s="1"/>
  <c r="F2726" i="2"/>
  <c r="N2726" i="2" s="1"/>
  <c r="F2725" i="2"/>
  <c r="N2725" i="2" s="1"/>
  <c r="F2688" i="2"/>
  <c r="N2688" i="2" s="1"/>
  <c r="F2687" i="2"/>
  <c r="N2687" i="2" s="1"/>
  <c r="F2686" i="2"/>
  <c r="N2686" i="2" s="1"/>
  <c r="F2685" i="2"/>
  <c r="N2685" i="2" s="1"/>
  <c r="F2684" i="2"/>
  <c r="N2684" i="2" s="1"/>
  <c r="F2683" i="2"/>
  <c r="N2683" i="2" s="1"/>
  <c r="F2682" i="2"/>
  <c r="N2682" i="2" s="1"/>
  <c r="F2681" i="2"/>
  <c r="N2681" i="2" s="1"/>
  <c r="F2680" i="2"/>
  <c r="N2680" i="2" s="1"/>
  <c r="F2679" i="2"/>
  <c r="N2679" i="2" s="1"/>
  <c r="F2678" i="2"/>
  <c r="N2678" i="2" s="1"/>
  <c r="F2677" i="2"/>
  <c r="N2677" i="2" s="1"/>
  <c r="F2676" i="2"/>
  <c r="N2676" i="2" s="1"/>
  <c r="F2675" i="2"/>
  <c r="N2675" i="2" s="1"/>
  <c r="F2674" i="2"/>
  <c r="N2674" i="2" s="1"/>
  <c r="F2673" i="2"/>
  <c r="N2673" i="2" s="1"/>
  <c r="F2672" i="2"/>
  <c r="N2672" i="2" s="1"/>
  <c r="F2671" i="2"/>
  <c r="N2671" i="2" s="1"/>
  <c r="F2670" i="2"/>
  <c r="N2670" i="2" s="1"/>
  <c r="F2669" i="2"/>
  <c r="N2669" i="2" s="1"/>
  <c r="F2668" i="2"/>
  <c r="N2668" i="2" s="1"/>
  <c r="F2667" i="2"/>
  <c r="N2667" i="2" s="1"/>
  <c r="F2666" i="2"/>
  <c r="N2666" i="2" s="1"/>
  <c r="F2665" i="2"/>
  <c r="N2665" i="2" s="1"/>
  <c r="F2664" i="2"/>
  <c r="N2664" i="2" s="1"/>
  <c r="F2600" i="2"/>
  <c r="N2600" i="2" s="1"/>
  <c r="F2596" i="2"/>
  <c r="N2596" i="2" s="1"/>
  <c r="F2595" i="2"/>
  <c r="N2595" i="2" s="1"/>
  <c r="F2589" i="2"/>
  <c r="N2589" i="2" s="1"/>
  <c r="F2588" i="2"/>
  <c r="N2588" i="2" s="1"/>
  <c r="F2584" i="2"/>
  <c r="N2584" i="2" s="1"/>
  <c r="F2582" i="2"/>
  <c r="N2582" i="2" s="1"/>
  <c r="F2576" i="2"/>
  <c r="N2576" i="2" s="1"/>
  <c r="F2570" i="2"/>
  <c r="N2570" i="2" s="1"/>
  <c r="F2569" i="2"/>
  <c r="N2569" i="2" s="1"/>
  <c r="F2568" i="2"/>
  <c r="N2568" i="2" s="1"/>
  <c r="F2566" i="2"/>
  <c r="N2566" i="2" s="1"/>
  <c r="F2565" i="2"/>
  <c r="N2565" i="2" s="1"/>
  <c r="F2491" i="2"/>
  <c r="N2491" i="2" s="1"/>
  <c r="F2490" i="2"/>
  <c r="N2490" i="2" s="1"/>
  <c r="F2489" i="2"/>
  <c r="N2489" i="2" s="1"/>
  <c r="F2488" i="2"/>
  <c r="N2488" i="2" s="1"/>
  <c r="F2487" i="2"/>
  <c r="N2487" i="2" s="1"/>
  <c r="F2486" i="2"/>
  <c r="N2486" i="2" s="1"/>
  <c r="F2485" i="2"/>
  <c r="N2485" i="2" s="1"/>
  <c r="F2484" i="2"/>
  <c r="N2484" i="2" s="1"/>
  <c r="F2483" i="2"/>
  <c r="N2483" i="2" s="1"/>
  <c r="F2482" i="2"/>
  <c r="N2482" i="2" s="1"/>
  <c r="F2481" i="2"/>
  <c r="N2481" i="2" s="1"/>
  <c r="F2480" i="2"/>
  <c r="N2480" i="2" s="1"/>
  <c r="F2479" i="2"/>
  <c r="N2479" i="2" s="1"/>
  <c r="F2478" i="2"/>
  <c r="N2478" i="2" s="1"/>
  <c r="F2477" i="2"/>
  <c r="N2477" i="2" s="1"/>
  <c r="F2476" i="2"/>
  <c r="N2476" i="2" s="1"/>
  <c r="F2475" i="2"/>
  <c r="N2475" i="2" s="1"/>
  <c r="F2474" i="2"/>
  <c r="N2474" i="2" s="1"/>
  <c r="F2473" i="2"/>
  <c r="N2473" i="2" s="1"/>
  <c r="F2472" i="2"/>
  <c r="N2472" i="2" s="1"/>
  <c r="F2471" i="2"/>
  <c r="N2471" i="2" s="1"/>
  <c r="F2470" i="2"/>
  <c r="N2470" i="2" s="1"/>
  <c r="F2469" i="2"/>
  <c r="N2469" i="2" s="1"/>
  <c r="F2468" i="2"/>
  <c r="N2468" i="2" s="1"/>
  <c r="F2467" i="2"/>
  <c r="N2467" i="2" s="1"/>
  <c r="F2466" i="2"/>
  <c r="N2466" i="2" s="1"/>
  <c r="F2465" i="2"/>
  <c r="N2465" i="2" s="1"/>
  <c r="F2464" i="2"/>
  <c r="N2464" i="2" s="1"/>
  <c r="F2463" i="2"/>
  <c r="N2463" i="2" s="1"/>
  <c r="F2462" i="2"/>
  <c r="N2462" i="2" s="1"/>
  <c r="F2461" i="2"/>
  <c r="N2461" i="2" s="1"/>
  <c r="F2460" i="2"/>
  <c r="N2460" i="2" s="1"/>
  <c r="F2459" i="2"/>
  <c r="N2459" i="2" s="1"/>
  <c r="F2458" i="2"/>
  <c r="N2458" i="2" s="1"/>
  <c r="F2457" i="2"/>
  <c r="N2457" i="2" s="1"/>
  <c r="F2456" i="2"/>
  <c r="N2456" i="2" s="1"/>
  <c r="F2455" i="2"/>
  <c r="N2455" i="2" s="1"/>
  <c r="F2454" i="2"/>
  <c r="N2454" i="2" s="1"/>
  <c r="F2453" i="2"/>
  <c r="N2453" i="2" s="1"/>
  <c r="F2452" i="2"/>
  <c r="N2452" i="2" s="1"/>
  <c r="F2451" i="2"/>
  <c r="N2451" i="2" s="1"/>
  <c r="F2450" i="2"/>
  <c r="N2450" i="2" s="1"/>
  <c r="F2449" i="2"/>
  <c r="N2449" i="2" s="1"/>
  <c r="F2448" i="2"/>
  <c r="N2448" i="2" s="1"/>
  <c r="F2447" i="2"/>
  <c r="N2447" i="2" s="1"/>
  <c r="F2446" i="2"/>
  <c r="N2446" i="2" s="1"/>
  <c r="F2445" i="2"/>
  <c r="N2445" i="2" s="1"/>
  <c r="F2444" i="2"/>
  <c r="N2444" i="2" s="1"/>
  <c r="F2443" i="2"/>
  <c r="N2443" i="2" s="1"/>
  <c r="F2442" i="2"/>
  <c r="N2442" i="2" s="1"/>
  <c r="F2441" i="2"/>
  <c r="N2441" i="2" s="1"/>
  <c r="F2440" i="2"/>
  <c r="N2440" i="2" s="1"/>
  <c r="F2439" i="2"/>
  <c r="N2439" i="2" s="1"/>
  <c r="F2438" i="2"/>
  <c r="N2438" i="2" s="1"/>
  <c r="F2437" i="2"/>
  <c r="N2437" i="2" s="1"/>
  <c r="F2436" i="2"/>
  <c r="N2436" i="2" s="1"/>
  <c r="F2435" i="2"/>
  <c r="N2435" i="2" s="1"/>
  <c r="F2434" i="2"/>
  <c r="N2434" i="2" s="1"/>
  <c r="F2433" i="2"/>
  <c r="N2433" i="2" s="1"/>
  <c r="F2432" i="2"/>
  <c r="N2432" i="2" s="1"/>
  <c r="F2431" i="2"/>
  <c r="N2431" i="2" s="1"/>
  <c r="F2430" i="2"/>
  <c r="N2430" i="2" s="1"/>
  <c r="F2429" i="2"/>
  <c r="N2429" i="2" s="1"/>
  <c r="F2428" i="2"/>
  <c r="N2428" i="2" s="1"/>
  <c r="F2427" i="2"/>
  <c r="N2427" i="2" s="1"/>
  <c r="F2426" i="2"/>
  <c r="N2426" i="2" s="1"/>
  <c r="F2425" i="2"/>
  <c r="N2425" i="2" s="1"/>
  <c r="F2424" i="2"/>
  <c r="N2424" i="2" s="1"/>
  <c r="F2372" i="2"/>
  <c r="N2372" i="2" s="1"/>
  <c r="F2371" i="2"/>
  <c r="N2371" i="2" s="1"/>
  <c r="F2370" i="2"/>
  <c r="N2370" i="2" s="1"/>
  <c r="F2369" i="2"/>
  <c r="N2369" i="2" s="1"/>
  <c r="F2368" i="2"/>
  <c r="N2368" i="2" s="1"/>
  <c r="F2367" i="2"/>
  <c r="N2367" i="2" s="1"/>
  <c r="F2366" i="2"/>
  <c r="N2366" i="2" s="1"/>
  <c r="F2365" i="2"/>
  <c r="N2365" i="2" s="1"/>
  <c r="F2364" i="2"/>
  <c r="N2364" i="2" s="1"/>
  <c r="F2363" i="2"/>
  <c r="N2363" i="2" s="1"/>
  <c r="F2362" i="2"/>
  <c r="N2362" i="2" s="1"/>
  <c r="F2361" i="2"/>
  <c r="N2361" i="2" s="1"/>
  <c r="F2360" i="2"/>
  <c r="N2360" i="2" s="1"/>
  <c r="F2359" i="2"/>
  <c r="N2359" i="2" s="1"/>
  <c r="F2358" i="2"/>
  <c r="N2358" i="2" s="1"/>
  <c r="F2357" i="2"/>
  <c r="N2357" i="2" s="1"/>
  <c r="F2356" i="2"/>
  <c r="N2356" i="2" s="1"/>
  <c r="F2355" i="2"/>
  <c r="N2355" i="2" s="1"/>
  <c r="F2354" i="2"/>
  <c r="N2354" i="2" s="1"/>
  <c r="F2353" i="2"/>
  <c r="N2353" i="2" s="1"/>
  <c r="F2352" i="2"/>
  <c r="N2352" i="2" s="1"/>
  <c r="F2351" i="2"/>
  <c r="N2351" i="2" s="1"/>
  <c r="F2350" i="2"/>
  <c r="N2350" i="2" s="1"/>
  <c r="F2349" i="2"/>
  <c r="N2349" i="2" s="1"/>
  <c r="F2348" i="2"/>
  <c r="N2348" i="2" s="1"/>
  <c r="F2347" i="2"/>
  <c r="N2347" i="2" s="1"/>
  <c r="F2346" i="2"/>
  <c r="N2346" i="2" s="1"/>
  <c r="F2345" i="2"/>
  <c r="N2345" i="2" s="1"/>
  <c r="F2344" i="2"/>
  <c r="N2344" i="2" s="1"/>
  <c r="F2343" i="2"/>
  <c r="N2343" i="2" s="1"/>
  <c r="F2342" i="2"/>
  <c r="N2342" i="2" s="1"/>
  <c r="F2341" i="2"/>
  <c r="N2341" i="2" s="1"/>
  <c r="F2340" i="2"/>
  <c r="N2340" i="2" s="1"/>
  <c r="F2339" i="2"/>
  <c r="N2339" i="2" s="1"/>
  <c r="F2338" i="2"/>
  <c r="N2338" i="2" s="1"/>
  <c r="F2337" i="2"/>
  <c r="N2337" i="2" s="1"/>
  <c r="F2336" i="2"/>
  <c r="N2336" i="2" s="1"/>
  <c r="F2335" i="2"/>
  <c r="N2335" i="2" s="1"/>
  <c r="F2334" i="2"/>
  <c r="N2334" i="2" s="1"/>
  <c r="F2333" i="2"/>
  <c r="N2333" i="2" s="1"/>
  <c r="F2332" i="2"/>
  <c r="N2332" i="2" s="1"/>
  <c r="F2331" i="2"/>
  <c r="N2331" i="2" s="1"/>
  <c r="F2330" i="2"/>
  <c r="N2330" i="2" s="1"/>
  <c r="F2329" i="2"/>
  <c r="N2329" i="2" s="1"/>
  <c r="F2328" i="2"/>
  <c r="N2328" i="2" s="1"/>
  <c r="F2327" i="2"/>
  <c r="N2327" i="2" s="1"/>
  <c r="F2326" i="2"/>
  <c r="N2326" i="2" s="1"/>
  <c r="F2325" i="2"/>
  <c r="N2325" i="2" s="1"/>
  <c r="F2324" i="2"/>
  <c r="N2324" i="2" s="1"/>
  <c r="F2323" i="2"/>
  <c r="N2323" i="2" s="1"/>
  <c r="F2322" i="2"/>
  <c r="N2322" i="2" s="1"/>
  <c r="F2321" i="2"/>
  <c r="N2321" i="2" s="1"/>
  <c r="F2320" i="2"/>
  <c r="N2320" i="2" s="1"/>
  <c r="F2319" i="2"/>
  <c r="N2319" i="2" s="1"/>
  <c r="F2318" i="2"/>
  <c r="N2318" i="2" s="1"/>
  <c r="F2317" i="2"/>
  <c r="N2317" i="2" s="1"/>
  <c r="F2316" i="2"/>
  <c r="N2316" i="2" s="1"/>
  <c r="F2315" i="2"/>
  <c r="N2315" i="2" s="1"/>
  <c r="F2314" i="2"/>
  <c r="N2314" i="2" s="1"/>
  <c r="F2313" i="2"/>
  <c r="N2313" i="2" s="1"/>
  <c r="F2312" i="2"/>
  <c r="N2312" i="2" s="1"/>
  <c r="F2311" i="2"/>
  <c r="N2311" i="2" s="1"/>
  <c r="F2310" i="2"/>
  <c r="N2310" i="2" s="1"/>
  <c r="F2309" i="2"/>
  <c r="N2309" i="2" s="1"/>
  <c r="F2308" i="2"/>
  <c r="N2308" i="2" s="1"/>
  <c r="F2307" i="2"/>
  <c r="N2307" i="2" s="1"/>
  <c r="F2306" i="2"/>
  <c r="N2306" i="2" s="1"/>
  <c r="F2305" i="2"/>
  <c r="N2305" i="2" s="1"/>
  <c r="F2304" i="2"/>
  <c r="N2304" i="2" s="1"/>
  <c r="F2303" i="2"/>
  <c r="N2303" i="2" s="1"/>
  <c r="F2302" i="2"/>
  <c r="N2302" i="2" s="1"/>
  <c r="F2301" i="2"/>
  <c r="N2301" i="2" s="1"/>
  <c r="F2300" i="2"/>
  <c r="N2300" i="2" s="1"/>
  <c r="F2299" i="2"/>
  <c r="N2299" i="2" s="1"/>
  <c r="F2298" i="2"/>
  <c r="N2298" i="2" s="1"/>
  <c r="F2297" i="2"/>
  <c r="N2297" i="2" s="1"/>
  <c r="F2296" i="2"/>
  <c r="N2296" i="2" s="1"/>
  <c r="F2295" i="2"/>
  <c r="N2295" i="2" s="1"/>
  <c r="F2294" i="2"/>
  <c r="N2294" i="2" s="1"/>
  <c r="F2293" i="2"/>
  <c r="N2293" i="2" s="1"/>
  <c r="F2292" i="2"/>
  <c r="N2292" i="2" s="1"/>
  <c r="F2291" i="2"/>
  <c r="N2291" i="2" s="1"/>
  <c r="F2290" i="2"/>
  <c r="N2290" i="2" s="1"/>
  <c r="F2289" i="2"/>
  <c r="N2289" i="2" s="1"/>
  <c r="F2288" i="2"/>
  <c r="N2288" i="2" s="1"/>
  <c r="F2287" i="2"/>
  <c r="N2287" i="2" s="1"/>
  <c r="F2286" i="2"/>
  <c r="N2286" i="2" s="1"/>
  <c r="F2285" i="2"/>
  <c r="N2285" i="2" s="1"/>
  <c r="F2284" i="2"/>
  <c r="N2284" i="2" s="1"/>
  <c r="F2283" i="2"/>
  <c r="N2283" i="2" s="1"/>
  <c r="F2282" i="2"/>
  <c r="N2282" i="2" s="1"/>
  <c r="F2281" i="2"/>
  <c r="N2281" i="2" s="1"/>
  <c r="F2280" i="2"/>
  <c r="N2280" i="2" s="1"/>
  <c r="F2279" i="2"/>
  <c r="N2279" i="2" s="1"/>
  <c r="F2278" i="2"/>
  <c r="N2278" i="2" s="1"/>
  <c r="F2277" i="2"/>
  <c r="N2277" i="2" s="1"/>
  <c r="F2276" i="2"/>
  <c r="N2276" i="2" s="1"/>
  <c r="F2275" i="2"/>
  <c r="N2275" i="2" s="1"/>
  <c r="F2274" i="2"/>
  <c r="N2274" i="2" s="1"/>
  <c r="F2273" i="2"/>
  <c r="N2273" i="2" s="1"/>
  <c r="F2272" i="2"/>
  <c r="N2272" i="2" s="1"/>
  <c r="F2271" i="2"/>
  <c r="N2271" i="2" s="1"/>
  <c r="F2270" i="2"/>
  <c r="N2270" i="2" s="1"/>
  <c r="F2269" i="2"/>
  <c r="N2269" i="2" s="1"/>
  <c r="F2268" i="2"/>
  <c r="N2268" i="2" s="1"/>
  <c r="F2238" i="2"/>
  <c r="N2238" i="2" s="1"/>
  <c r="F2237" i="2"/>
  <c r="N2237" i="2" s="1"/>
  <c r="F2236" i="2"/>
  <c r="N2236" i="2" s="1"/>
  <c r="F2235" i="2"/>
  <c r="N2235" i="2" s="1"/>
  <c r="F2234" i="2"/>
  <c r="N2234" i="2" s="1"/>
  <c r="F2233" i="2"/>
  <c r="N2233" i="2" s="1"/>
  <c r="F2232" i="2"/>
  <c r="N2232" i="2" s="1"/>
  <c r="F2231" i="2"/>
  <c r="N2231" i="2" s="1"/>
  <c r="F2230" i="2"/>
  <c r="N2230" i="2" s="1"/>
  <c r="F2229" i="2"/>
  <c r="N2229" i="2" s="1"/>
  <c r="F2228" i="2"/>
  <c r="N2228" i="2" s="1"/>
  <c r="F2227" i="2"/>
  <c r="N2227" i="2" s="1"/>
  <c r="F2226" i="2"/>
  <c r="N2226" i="2" s="1"/>
  <c r="F2225" i="2"/>
  <c r="N2225" i="2" s="1"/>
  <c r="F2224" i="2"/>
  <c r="N2224" i="2" s="1"/>
  <c r="F2223" i="2"/>
  <c r="N2223" i="2" s="1"/>
  <c r="F2222" i="2"/>
  <c r="N2222" i="2" s="1"/>
  <c r="F2221" i="2"/>
  <c r="N2221" i="2" s="1"/>
  <c r="F2220" i="2"/>
  <c r="N2220" i="2" s="1"/>
  <c r="F2219" i="2"/>
  <c r="N2219" i="2" s="1"/>
  <c r="F2218" i="2"/>
  <c r="N2218" i="2" s="1"/>
  <c r="F2217" i="2"/>
  <c r="N2217" i="2" s="1"/>
  <c r="F2216" i="2"/>
  <c r="N2216" i="2" s="1"/>
  <c r="F2215" i="2"/>
  <c r="N2215" i="2" s="1"/>
  <c r="F2214" i="2"/>
  <c r="N2214" i="2" s="1"/>
  <c r="F2213" i="2"/>
  <c r="N2213" i="2" s="1"/>
  <c r="F2212" i="2"/>
  <c r="N2212" i="2" s="1"/>
  <c r="F2211" i="2"/>
  <c r="N2211" i="2" s="1"/>
  <c r="F2210" i="2"/>
  <c r="N2210" i="2" s="1"/>
  <c r="F2209" i="2"/>
  <c r="N2209" i="2" s="1"/>
  <c r="F2208" i="2"/>
  <c r="N2208" i="2" s="1"/>
  <c r="F2207" i="2"/>
  <c r="N2207" i="2" s="1"/>
  <c r="F2206" i="2"/>
  <c r="N2206" i="2" s="1"/>
  <c r="F2205" i="2"/>
  <c r="N2205" i="2" s="1"/>
  <c r="F2204" i="2"/>
  <c r="N2204" i="2" s="1"/>
  <c r="F2203" i="2"/>
  <c r="N2203" i="2" s="1"/>
  <c r="F2202" i="2"/>
  <c r="N2202" i="2" s="1"/>
  <c r="F2201" i="2"/>
  <c r="N2201" i="2" s="1"/>
  <c r="F2200" i="2"/>
  <c r="N2200" i="2" s="1"/>
  <c r="F2199" i="2"/>
  <c r="N2199" i="2" s="1"/>
  <c r="F2198" i="2"/>
  <c r="N2198" i="2" s="1"/>
  <c r="F2197" i="2"/>
  <c r="N2197" i="2" s="1"/>
  <c r="F2196" i="2"/>
  <c r="N2196" i="2" s="1"/>
  <c r="F2195" i="2"/>
  <c r="N2195" i="2" s="1"/>
  <c r="F2194" i="2"/>
  <c r="N2194" i="2" s="1"/>
  <c r="F2193" i="2"/>
  <c r="N2193" i="2" s="1"/>
  <c r="F2192" i="2"/>
  <c r="N2192" i="2" s="1"/>
  <c r="F2191" i="2"/>
  <c r="N2191" i="2" s="1"/>
  <c r="F2190" i="2"/>
  <c r="N2190" i="2" s="1"/>
  <c r="F2189" i="2"/>
  <c r="N2189" i="2" s="1"/>
  <c r="F2188" i="2"/>
  <c r="N2188" i="2" s="1"/>
  <c r="F2187" i="2"/>
  <c r="N2187" i="2" s="1"/>
  <c r="F2186" i="2"/>
  <c r="N2186" i="2" s="1"/>
  <c r="F2185" i="2"/>
  <c r="N2185" i="2" s="1"/>
  <c r="F2184" i="2"/>
  <c r="N2184" i="2" s="1"/>
  <c r="F2183" i="2"/>
  <c r="N2183" i="2" s="1"/>
  <c r="F2182" i="2"/>
  <c r="N2182" i="2" s="1"/>
  <c r="F2181" i="2"/>
  <c r="N2181" i="2" s="1"/>
  <c r="F2180" i="2"/>
  <c r="N2180" i="2" s="1"/>
  <c r="F2179" i="2"/>
  <c r="N2179" i="2" s="1"/>
  <c r="F2178" i="2"/>
  <c r="N2178" i="2" s="1"/>
  <c r="F2177" i="2"/>
  <c r="N2177" i="2" s="1"/>
  <c r="F2176" i="2"/>
  <c r="N2176" i="2" s="1"/>
  <c r="F2175" i="2"/>
  <c r="N2175" i="2" s="1"/>
  <c r="F2174" i="2"/>
  <c r="N2174" i="2" s="1"/>
  <c r="F2173" i="2"/>
  <c r="N2173" i="2" s="1"/>
  <c r="F2172" i="2"/>
  <c r="N2172" i="2" s="1"/>
  <c r="F2171" i="2"/>
  <c r="N2171" i="2" s="1"/>
  <c r="F2170" i="2"/>
  <c r="N2170" i="2" s="1"/>
  <c r="F2169" i="2"/>
  <c r="N2169" i="2" s="1"/>
  <c r="F2168" i="2"/>
  <c r="N2168" i="2" s="1"/>
  <c r="F2167" i="2"/>
  <c r="N2167" i="2" s="1"/>
  <c r="F2166" i="2"/>
  <c r="N2166" i="2" s="1"/>
  <c r="F2162" i="2"/>
  <c r="N2162" i="2" s="1"/>
  <c r="F2143" i="2"/>
  <c r="N2143" i="2" s="1"/>
  <c r="F2142" i="2"/>
  <c r="N2142" i="2" s="1"/>
  <c r="F2141" i="2"/>
  <c r="N2141" i="2" s="1"/>
  <c r="F2140" i="2"/>
  <c r="N2140" i="2" s="1"/>
  <c r="F2139" i="2"/>
  <c r="N2139" i="2" s="1"/>
  <c r="F2138" i="2"/>
  <c r="N2138" i="2" s="1"/>
  <c r="F2137" i="2"/>
  <c r="N2137" i="2" s="1"/>
  <c r="F2136" i="2"/>
  <c r="N2136" i="2" s="1"/>
  <c r="F2135" i="2"/>
  <c r="N2135" i="2" s="1"/>
  <c r="F2134" i="2"/>
  <c r="N2134" i="2" s="1"/>
  <c r="F2133" i="2"/>
  <c r="N2133" i="2" s="1"/>
  <c r="F2132" i="2"/>
  <c r="N2132" i="2" s="1"/>
  <c r="F2131" i="2"/>
  <c r="N2131" i="2" s="1"/>
  <c r="F2130" i="2"/>
  <c r="N2130" i="2" s="1"/>
  <c r="F2129" i="2"/>
  <c r="N2129" i="2" s="1"/>
  <c r="F2128" i="2"/>
  <c r="N2128" i="2" s="1"/>
  <c r="F2127" i="2"/>
  <c r="N2127" i="2" s="1"/>
  <c r="F2126" i="2"/>
  <c r="N2126" i="2" s="1"/>
  <c r="F2125" i="2"/>
  <c r="N2125" i="2" s="1"/>
  <c r="F2124" i="2"/>
  <c r="N2124" i="2" s="1"/>
  <c r="F2123" i="2"/>
  <c r="N2123" i="2" s="1"/>
  <c r="F2122" i="2"/>
  <c r="N2122" i="2" s="1"/>
  <c r="F2121" i="2"/>
  <c r="N2121" i="2" s="1"/>
  <c r="F2120" i="2"/>
  <c r="N2120" i="2" s="1"/>
  <c r="F2119" i="2"/>
  <c r="N2119" i="2" s="1"/>
  <c r="F2118" i="2"/>
  <c r="N2118" i="2" s="1"/>
  <c r="F2117" i="2"/>
  <c r="N2117" i="2" s="1"/>
  <c r="F2116" i="2"/>
  <c r="N2116" i="2" s="1"/>
  <c r="F2115" i="2"/>
  <c r="N2115" i="2" s="1"/>
  <c r="F2114" i="2"/>
  <c r="N2114" i="2" s="1"/>
  <c r="F2113" i="2"/>
  <c r="N2113" i="2" s="1"/>
  <c r="F2112" i="2"/>
  <c r="N2112" i="2" s="1"/>
  <c r="F2111" i="2"/>
  <c r="N2111" i="2" s="1"/>
  <c r="F2110" i="2"/>
  <c r="N2110" i="2" s="1"/>
  <c r="F2109" i="2"/>
  <c r="N2109" i="2" s="1"/>
  <c r="F2108" i="2"/>
  <c r="N2108" i="2" s="1"/>
  <c r="F2107" i="2"/>
  <c r="N2107" i="2" s="1"/>
  <c r="F2106" i="2"/>
  <c r="N2106" i="2" s="1"/>
  <c r="F2105" i="2"/>
  <c r="N2105" i="2" s="1"/>
  <c r="F2104" i="2"/>
  <c r="N2104" i="2" s="1"/>
  <c r="F2103" i="2"/>
  <c r="N2103" i="2" s="1"/>
  <c r="F2102" i="2"/>
  <c r="N2102" i="2" s="1"/>
  <c r="F2101" i="2"/>
  <c r="N2101" i="2" s="1"/>
  <c r="F2100" i="2"/>
  <c r="N2100" i="2" s="1"/>
  <c r="F2099" i="2"/>
  <c r="N2099" i="2" s="1"/>
  <c r="F2098" i="2"/>
  <c r="N2098" i="2" s="1"/>
  <c r="F2097" i="2"/>
  <c r="N2097" i="2" s="1"/>
  <c r="F2096" i="2"/>
  <c r="N2096" i="2" s="1"/>
  <c r="F2095" i="2"/>
  <c r="N2095" i="2" s="1"/>
  <c r="F2094" i="2"/>
  <c r="N2094" i="2" s="1"/>
  <c r="F2093" i="2"/>
  <c r="N2093" i="2" s="1"/>
  <c r="F2092" i="2"/>
  <c r="N2092" i="2" s="1"/>
  <c r="F2091" i="2"/>
  <c r="N2091" i="2" s="1"/>
  <c r="F2090" i="2"/>
  <c r="N2090" i="2" s="1"/>
  <c r="F2089" i="2"/>
  <c r="N2089" i="2" s="1"/>
  <c r="F2088" i="2"/>
  <c r="N2088" i="2" s="1"/>
  <c r="F2087" i="2"/>
  <c r="N2087" i="2" s="1"/>
  <c r="F2086" i="2"/>
  <c r="N2086" i="2" s="1"/>
  <c r="F2085" i="2"/>
  <c r="N2085" i="2" s="1"/>
  <c r="F2084" i="2"/>
  <c r="N2084" i="2" s="1"/>
  <c r="F2083" i="2"/>
  <c r="N2083" i="2" s="1"/>
  <c r="F2082" i="2"/>
  <c r="N2082" i="2" s="1"/>
  <c r="F2081" i="2"/>
  <c r="N2081" i="2" s="1"/>
  <c r="F2080" i="2"/>
  <c r="N2080" i="2" s="1"/>
  <c r="F2079" i="2"/>
  <c r="N2079" i="2" s="1"/>
  <c r="F2078" i="2"/>
  <c r="N2078" i="2" s="1"/>
  <c r="F2077" i="2"/>
  <c r="N2077" i="2" s="1"/>
  <c r="F2076" i="2"/>
  <c r="N2076" i="2" s="1"/>
  <c r="F2075" i="2"/>
  <c r="N2075" i="2" s="1"/>
  <c r="F1819" i="2"/>
  <c r="N1819" i="2" s="1"/>
  <c r="F1818" i="2"/>
  <c r="N1818" i="2" s="1"/>
  <c r="F1817" i="2"/>
  <c r="N1817" i="2" s="1"/>
  <c r="F1816" i="2"/>
  <c r="N1816" i="2" s="1"/>
  <c r="F1815" i="2"/>
  <c r="N1815" i="2" s="1"/>
  <c r="F1813" i="2"/>
  <c r="N1813" i="2" s="1"/>
  <c r="F1812" i="2"/>
  <c r="N1812" i="2" s="1"/>
  <c r="F1811" i="2"/>
  <c r="N1811" i="2" s="1"/>
  <c r="F1810" i="2"/>
  <c r="N1810" i="2" s="1"/>
  <c r="F1809" i="2"/>
  <c r="N1809" i="2" s="1"/>
  <c r="F1808" i="2"/>
  <c r="N1808" i="2" s="1"/>
  <c r="F1807" i="2"/>
  <c r="N1807" i="2" s="1"/>
  <c r="F1806" i="2"/>
  <c r="N1806" i="2" s="1"/>
  <c r="F1805" i="2"/>
  <c r="N1805" i="2" s="1"/>
  <c r="F1804" i="2"/>
  <c r="N1804" i="2" s="1"/>
  <c r="F1803" i="2"/>
  <c r="N1803" i="2" s="1"/>
  <c r="F1802" i="2"/>
  <c r="N1802" i="2" s="1"/>
  <c r="F1801" i="2"/>
  <c r="N1801" i="2" s="1"/>
  <c r="F1800" i="2"/>
  <c r="N1800" i="2" s="1"/>
  <c r="F1799" i="2"/>
  <c r="N1799" i="2" s="1"/>
  <c r="F1798" i="2"/>
  <c r="N1798" i="2" s="1"/>
  <c r="F1797" i="2"/>
  <c r="N1797" i="2" s="1"/>
  <c r="F1796" i="2"/>
  <c r="N1796" i="2" s="1"/>
  <c r="F1795" i="2"/>
  <c r="N1795" i="2" s="1"/>
  <c r="F1794" i="2"/>
  <c r="N1794" i="2" s="1"/>
  <c r="F1793" i="2"/>
  <c r="N1793" i="2" s="1"/>
  <c r="F1792" i="2"/>
  <c r="N1792" i="2" s="1"/>
  <c r="F1791" i="2"/>
  <c r="N1791" i="2" s="1"/>
  <c r="F1790" i="2"/>
  <c r="N1790" i="2" s="1"/>
  <c r="F1789" i="2"/>
  <c r="N1789" i="2" s="1"/>
  <c r="F1788" i="2"/>
  <c r="N1788" i="2" s="1"/>
  <c r="F1787" i="2"/>
  <c r="N1787" i="2" s="1"/>
  <c r="F1786" i="2"/>
  <c r="N1786" i="2" s="1"/>
  <c r="F1785" i="2"/>
  <c r="N1785" i="2" s="1"/>
  <c r="F1784" i="2"/>
  <c r="N1784" i="2" s="1"/>
  <c r="F1783" i="2"/>
  <c r="N1783" i="2" s="1"/>
  <c r="F1782" i="2"/>
  <c r="N1782" i="2" s="1"/>
  <c r="F1781" i="2"/>
  <c r="N1781" i="2" s="1"/>
  <c r="F1780" i="2"/>
  <c r="N1780" i="2" s="1"/>
  <c r="F1779" i="2"/>
  <c r="N1779" i="2" s="1"/>
  <c r="F1778" i="2"/>
  <c r="N1778" i="2" s="1"/>
  <c r="F1777" i="2"/>
  <c r="N1777" i="2" s="1"/>
  <c r="F1776" i="2"/>
  <c r="N1776" i="2" s="1"/>
  <c r="F1775" i="2"/>
  <c r="N1775" i="2" s="1"/>
  <c r="F1774" i="2"/>
  <c r="N1774" i="2" s="1"/>
  <c r="F1773" i="2"/>
  <c r="N1773" i="2" s="1"/>
  <c r="F1772" i="2"/>
  <c r="N1772" i="2" s="1"/>
  <c r="F1771" i="2"/>
  <c r="N1771" i="2" s="1"/>
  <c r="F1770" i="2"/>
  <c r="N1770" i="2" s="1"/>
  <c r="F1769" i="2"/>
  <c r="N1769" i="2" s="1"/>
  <c r="F1768" i="2"/>
  <c r="N1768" i="2" s="1"/>
  <c r="F1767" i="2"/>
  <c r="N1767" i="2" s="1"/>
  <c r="F1766" i="2"/>
  <c r="N1766" i="2" s="1"/>
  <c r="F1765" i="2"/>
  <c r="N1765" i="2" s="1"/>
  <c r="F1764" i="2"/>
  <c r="N1764" i="2" s="1"/>
  <c r="F1763" i="2"/>
  <c r="N1763" i="2" s="1"/>
  <c r="F1762" i="2"/>
  <c r="N1762" i="2" s="1"/>
  <c r="F1761" i="2"/>
  <c r="N1761" i="2" s="1"/>
  <c r="F1760" i="2"/>
  <c r="N1760" i="2" s="1"/>
  <c r="F1759" i="2"/>
  <c r="N1759" i="2" s="1"/>
  <c r="F1758" i="2"/>
  <c r="N1758" i="2" s="1"/>
  <c r="F1757" i="2"/>
  <c r="N1757" i="2" s="1"/>
  <c r="F1756" i="2"/>
  <c r="N1756" i="2" s="1"/>
  <c r="F1755" i="2"/>
  <c r="N1755" i="2" s="1"/>
  <c r="F1754" i="2"/>
  <c r="N1754" i="2" s="1"/>
  <c r="F1753" i="2"/>
  <c r="N1753" i="2" s="1"/>
  <c r="F1752" i="2"/>
  <c r="N1752" i="2" s="1"/>
  <c r="F1751" i="2"/>
  <c r="N1751" i="2" s="1"/>
  <c r="F1750" i="2"/>
  <c r="N1750" i="2" s="1"/>
  <c r="F1749" i="2"/>
  <c r="N1749" i="2" s="1"/>
  <c r="F1748" i="2"/>
  <c r="N1748" i="2" s="1"/>
  <c r="F1747" i="2"/>
  <c r="N1747" i="2" s="1"/>
  <c r="F1746" i="2"/>
  <c r="N1746" i="2" s="1"/>
  <c r="F1745" i="2"/>
  <c r="N1745" i="2" s="1"/>
  <c r="F1744" i="2"/>
  <c r="N1744" i="2" s="1"/>
  <c r="F1743" i="2"/>
  <c r="N1743" i="2" s="1"/>
  <c r="F1742" i="2"/>
  <c r="N1742" i="2" s="1"/>
  <c r="F1741" i="2"/>
  <c r="N1741" i="2" s="1"/>
  <c r="F1740" i="2"/>
  <c r="N1740" i="2" s="1"/>
  <c r="F1739" i="2"/>
  <c r="N1739" i="2" s="1"/>
  <c r="F1738" i="2"/>
  <c r="N1738" i="2" s="1"/>
  <c r="F1737" i="2"/>
  <c r="N1737" i="2" s="1"/>
  <c r="F1736" i="2"/>
  <c r="N1736" i="2" s="1"/>
  <c r="F1735" i="2"/>
  <c r="N1735" i="2" s="1"/>
  <c r="F1734" i="2"/>
  <c r="N1734" i="2" s="1"/>
  <c r="F1733" i="2"/>
  <c r="N1733" i="2" s="1"/>
  <c r="F1732" i="2"/>
  <c r="N1732" i="2" s="1"/>
  <c r="F1731" i="2"/>
  <c r="N1731" i="2" s="1"/>
  <c r="F1730" i="2"/>
  <c r="N1730" i="2" s="1"/>
  <c r="F1729" i="2"/>
  <c r="N1729" i="2" s="1"/>
  <c r="F1728" i="2"/>
  <c r="N1728" i="2" s="1"/>
  <c r="F1727" i="2"/>
  <c r="N1727" i="2" s="1"/>
  <c r="F1726" i="2"/>
  <c r="N1726" i="2" s="1"/>
  <c r="F1725" i="2"/>
  <c r="N1725" i="2" s="1"/>
  <c r="F1724" i="2"/>
  <c r="N1724" i="2" s="1"/>
  <c r="F1723" i="2"/>
  <c r="N1723" i="2" s="1"/>
  <c r="F1722" i="2"/>
  <c r="N1722" i="2" s="1"/>
  <c r="F1721" i="2"/>
  <c r="N1721" i="2" s="1"/>
  <c r="F1720" i="2"/>
  <c r="N1720" i="2" s="1"/>
  <c r="F1719" i="2"/>
  <c r="N1719" i="2" s="1"/>
  <c r="F1718" i="2"/>
  <c r="N1718" i="2" s="1"/>
  <c r="F1717" i="2"/>
  <c r="N1717" i="2" s="1"/>
  <c r="F1716" i="2"/>
  <c r="N1716" i="2" s="1"/>
  <c r="F1715" i="2"/>
  <c r="N1715" i="2" s="1"/>
  <c r="F1631" i="2"/>
  <c r="N1631" i="2" s="1"/>
  <c r="F1630" i="2"/>
  <c r="N1630" i="2" s="1"/>
  <c r="F1629" i="2"/>
  <c r="N1629" i="2" s="1"/>
  <c r="F1628" i="2"/>
  <c r="N1628" i="2" s="1"/>
  <c r="F1627" i="2"/>
  <c r="N1627" i="2" s="1"/>
  <c r="F1626" i="2"/>
  <c r="N1626" i="2" s="1"/>
  <c r="F1625" i="2"/>
  <c r="N1625" i="2" s="1"/>
  <c r="F1624" i="2"/>
  <c r="N1624" i="2" s="1"/>
  <c r="F1623" i="2"/>
  <c r="N1623" i="2" s="1"/>
  <c r="F1622" i="2"/>
  <c r="N1622" i="2" s="1"/>
  <c r="F1621" i="2"/>
  <c r="N1621" i="2" s="1"/>
  <c r="F1620" i="2"/>
  <c r="N1620" i="2" s="1"/>
  <c r="F1619" i="2"/>
  <c r="N1619" i="2" s="1"/>
  <c r="F1618" i="2"/>
  <c r="N1618" i="2" s="1"/>
  <c r="F1617" i="2"/>
  <c r="N1617" i="2" s="1"/>
  <c r="F1616" i="2"/>
  <c r="N1616" i="2" s="1"/>
  <c r="F1615" i="2"/>
  <c r="N1615" i="2" s="1"/>
  <c r="F1614" i="2"/>
  <c r="N1614" i="2" s="1"/>
  <c r="F1613" i="2"/>
  <c r="N1613" i="2" s="1"/>
  <c r="F1612" i="2"/>
  <c r="N1612" i="2" s="1"/>
  <c r="F1611" i="2"/>
  <c r="N1611" i="2" s="1"/>
  <c r="F1610" i="2"/>
  <c r="N1610" i="2" s="1"/>
  <c r="F1609" i="2"/>
  <c r="N1609" i="2" s="1"/>
  <c r="F1608" i="2"/>
  <c r="N1608" i="2" s="1"/>
  <c r="F1607" i="2"/>
  <c r="N1607" i="2" s="1"/>
  <c r="F1606" i="2"/>
  <c r="N1606" i="2" s="1"/>
  <c r="F1605" i="2"/>
  <c r="N1605" i="2" s="1"/>
  <c r="F1604" i="2"/>
  <c r="N1604" i="2" s="1"/>
  <c r="F1603" i="2"/>
  <c r="N1603" i="2" s="1"/>
  <c r="F1602" i="2"/>
  <c r="N1602" i="2" s="1"/>
  <c r="F1601" i="2"/>
  <c r="N1601" i="2" s="1"/>
  <c r="F1600" i="2"/>
  <c r="N1600" i="2" s="1"/>
  <c r="F1599" i="2"/>
  <c r="N1599" i="2" s="1"/>
  <c r="F1598" i="2"/>
  <c r="N1598" i="2" s="1"/>
  <c r="F1597" i="2"/>
  <c r="N1597" i="2" s="1"/>
  <c r="F1596" i="2"/>
  <c r="N1596" i="2" s="1"/>
  <c r="F1595" i="2"/>
  <c r="N1595" i="2" s="1"/>
  <c r="F1594" i="2"/>
  <c r="N1594" i="2" s="1"/>
  <c r="F1593" i="2"/>
  <c r="N1593" i="2" s="1"/>
  <c r="F1592" i="2"/>
  <c r="N1592" i="2" s="1"/>
  <c r="F1591" i="2"/>
  <c r="N1591" i="2" s="1"/>
  <c r="F1590" i="2"/>
  <c r="N1590" i="2" s="1"/>
  <c r="F1589" i="2"/>
  <c r="N1589" i="2" s="1"/>
  <c r="F1588" i="2"/>
  <c r="N1588" i="2" s="1"/>
  <c r="F1587" i="2"/>
  <c r="N1587" i="2" s="1"/>
  <c r="F1586" i="2"/>
  <c r="N1586" i="2" s="1"/>
  <c r="F1585" i="2"/>
  <c r="N1585" i="2" s="1"/>
  <c r="F1584" i="2"/>
  <c r="N1584" i="2" s="1"/>
  <c r="F1583" i="2"/>
  <c r="N1583" i="2" s="1"/>
  <c r="F1582" i="2"/>
  <c r="N1582" i="2" s="1"/>
  <c r="F1581" i="2"/>
  <c r="N1581" i="2" s="1"/>
  <c r="F1580" i="2"/>
  <c r="N1580" i="2" s="1"/>
  <c r="F1579" i="2"/>
  <c r="N1579" i="2" s="1"/>
  <c r="F1578" i="2"/>
  <c r="N1578" i="2" s="1"/>
  <c r="F1577" i="2"/>
  <c r="N1577" i="2" s="1"/>
  <c r="F1576" i="2"/>
  <c r="N1576" i="2" s="1"/>
  <c r="F1575" i="2"/>
  <c r="N1575" i="2" s="1"/>
  <c r="F1574" i="2"/>
  <c r="N1574" i="2" s="1"/>
  <c r="F1573" i="2"/>
  <c r="N1573" i="2" s="1"/>
  <c r="F1572" i="2"/>
  <c r="N1572" i="2" s="1"/>
  <c r="F1571" i="2"/>
  <c r="N1571" i="2" s="1"/>
  <c r="F1570" i="2"/>
  <c r="N1570" i="2" s="1"/>
  <c r="F1569" i="2"/>
  <c r="N1569" i="2" s="1"/>
  <c r="F1568" i="2"/>
  <c r="N1568" i="2" s="1"/>
  <c r="F1567" i="2"/>
  <c r="N1567" i="2" s="1"/>
  <c r="F1566" i="2"/>
  <c r="N1566" i="2" s="1"/>
  <c r="F1565" i="2"/>
  <c r="N1565" i="2" s="1"/>
  <c r="F1564" i="2"/>
  <c r="N1564" i="2" s="1"/>
  <c r="F1563" i="2"/>
  <c r="N1563" i="2" s="1"/>
  <c r="F1562" i="2"/>
  <c r="N1562" i="2" s="1"/>
  <c r="F1561" i="2"/>
  <c r="N1561" i="2" s="1"/>
  <c r="F1560" i="2"/>
  <c r="N1560" i="2" s="1"/>
  <c r="F1559" i="2"/>
  <c r="N1559" i="2" s="1"/>
  <c r="F1558" i="2"/>
  <c r="N1558" i="2" s="1"/>
  <c r="F1557" i="2"/>
  <c r="N1557" i="2" s="1"/>
  <c r="F1556" i="2"/>
  <c r="N1556" i="2" s="1"/>
  <c r="F1555" i="2"/>
  <c r="N1555" i="2" s="1"/>
  <c r="F1554" i="2"/>
  <c r="N1554" i="2" s="1"/>
  <c r="F1553" i="2"/>
  <c r="N1553" i="2" s="1"/>
  <c r="F1552" i="2"/>
  <c r="N1552" i="2" s="1"/>
  <c r="F1551" i="2"/>
  <c r="N1551" i="2" s="1"/>
  <c r="F1550" i="2"/>
  <c r="N1550" i="2" s="1"/>
  <c r="F1549" i="2"/>
  <c r="N1549" i="2" s="1"/>
  <c r="F1548" i="2"/>
  <c r="N1548" i="2" s="1"/>
  <c r="F1547" i="2"/>
  <c r="N1547" i="2" s="1"/>
  <c r="F1546" i="2"/>
  <c r="N1546" i="2" s="1"/>
  <c r="F1545" i="2"/>
  <c r="N1545" i="2" s="1"/>
  <c r="F1544" i="2"/>
  <c r="N1544" i="2" s="1"/>
  <c r="F1543" i="2"/>
  <c r="N1543" i="2" s="1"/>
  <c r="F1542" i="2"/>
  <c r="N1542" i="2" s="1"/>
  <c r="F1541" i="2"/>
  <c r="N1541" i="2" s="1"/>
  <c r="F1540" i="2"/>
  <c r="N1540" i="2" s="1"/>
  <c r="F1539" i="2"/>
  <c r="N1539" i="2" s="1"/>
  <c r="F1538" i="2"/>
  <c r="N1538" i="2" s="1"/>
  <c r="F1537" i="2"/>
  <c r="N1537" i="2" s="1"/>
  <c r="F1536" i="2"/>
  <c r="N1536" i="2" s="1"/>
  <c r="F1535" i="2"/>
  <c r="N1535" i="2" s="1"/>
  <c r="F1417" i="2"/>
  <c r="N1417" i="2" s="1"/>
  <c r="F1356" i="2"/>
  <c r="N1356" i="2" s="1"/>
  <c r="F1355" i="2"/>
  <c r="N1355" i="2" s="1"/>
  <c r="F1354" i="2"/>
  <c r="N1354" i="2" s="1"/>
  <c r="F1353" i="2"/>
  <c r="N1353" i="2" s="1"/>
  <c r="F1352" i="2"/>
  <c r="N1352" i="2" s="1"/>
  <c r="F1351" i="2"/>
  <c r="N1351" i="2" s="1"/>
  <c r="F1350" i="2"/>
  <c r="N1350" i="2" s="1"/>
  <c r="F1349" i="2"/>
  <c r="N1349" i="2" s="1"/>
  <c r="F1348" i="2"/>
  <c r="N1348" i="2" s="1"/>
  <c r="F1347" i="2"/>
  <c r="N1347" i="2" s="1"/>
  <c r="F1346" i="2"/>
  <c r="N1346" i="2" s="1"/>
  <c r="F1345" i="2"/>
  <c r="N1345" i="2" s="1"/>
  <c r="F1344" i="2"/>
  <c r="N1344" i="2" s="1"/>
  <c r="F1343" i="2"/>
  <c r="N1343" i="2" s="1"/>
  <c r="F1342" i="2"/>
  <c r="N1342" i="2" s="1"/>
  <c r="F1341" i="2"/>
  <c r="N1341" i="2" s="1"/>
  <c r="F1340" i="2"/>
  <c r="N1340" i="2" s="1"/>
  <c r="F1339" i="2"/>
  <c r="N1339" i="2" s="1"/>
  <c r="F1338" i="2"/>
  <c r="N1338" i="2" s="1"/>
  <c r="F1337" i="2"/>
  <c r="N1337" i="2" s="1"/>
  <c r="F1336" i="2"/>
  <c r="N1336" i="2" s="1"/>
  <c r="F1335" i="2"/>
  <c r="N1335" i="2" s="1"/>
  <c r="F1334" i="2"/>
  <c r="N1334" i="2" s="1"/>
  <c r="F1333" i="2"/>
  <c r="N1333" i="2" s="1"/>
  <c r="F1332" i="2"/>
  <c r="N1332" i="2" s="1"/>
  <c r="F1331" i="2"/>
  <c r="N1331" i="2" s="1"/>
  <c r="F1330" i="2"/>
  <c r="N1330" i="2" s="1"/>
  <c r="F1329" i="2"/>
  <c r="N1329" i="2" s="1"/>
  <c r="F1328" i="2"/>
  <c r="N1328" i="2" s="1"/>
  <c r="F1327" i="2"/>
  <c r="N1327" i="2" s="1"/>
  <c r="F1326" i="2"/>
  <c r="N1326" i="2" s="1"/>
  <c r="F1325" i="2"/>
  <c r="N1325" i="2" s="1"/>
  <c r="F1324" i="2"/>
  <c r="N1324" i="2" s="1"/>
  <c r="F1323" i="2"/>
  <c r="N1323" i="2" s="1"/>
  <c r="F1322" i="2"/>
  <c r="N1322" i="2" s="1"/>
  <c r="F1321" i="2"/>
  <c r="N1321" i="2" s="1"/>
  <c r="F1320" i="2"/>
  <c r="N1320" i="2" s="1"/>
  <c r="F1319" i="2"/>
  <c r="N1319" i="2" s="1"/>
  <c r="F1318" i="2"/>
  <c r="N1318" i="2" s="1"/>
  <c r="F1317" i="2"/>
  <c r="N1317" i="2" s="1"/>
  <c r="F1316" i="2"/>
  <c r="N1316" i="2" s="1"/>
  <c r="F1315" i="2"/>
  <c r="N1315" i="2" s="1"/>
  <c r="F1314" i="2"/>
  <c r="N1314" i="2" s="1"/>
  <c r="F1313" i="2"/>
  <c r="N1313" i="2" s="1"/>
  <c r="F1312" i="2"/>
  <c r="N1312" i="2" s="1"/>
  <c r="F1311" i="2"/>
  <c r="N1311" i="2" s="1"/>
  <c r="F1310" i="2"/>
  <c r="N1310" i="2" s="1"/>
  <c r="F1309" i="2"/>
  <c r="N1309" i="2" s="1"/>
  <c r="F1308" i="2"/>
  <c r="N1308" i="2" s="1"/>
  <c r="F1307" i="2"/>
  <c r="N1307" i="2" s="1"/>
  <c r="F1306" i="2"/>
  <c r="N1306" i="2" s="1"/>
  <c r="F1305" i="2"/>
  <c r="N1305" i="2" s="1"/>
  <c r="F1304" i="2"/>
  <c r="N1304" i="2" s="1"/>
  <c r="F1303" i="2"/>
  <c r="N1303" i="2" s="1"/>
  <c r="F1302" i="2"/>
  <c r="N1302" i="2" s="1"/>
  <c r="F1301" i="2"/>
  <c r="N1301" i="2" s="1"/>
  <c r="F1300" i="2"/>
  <c r="N1300" i="2" s="1"/>
  <c r="F1299" i="2"/>
  <c r="N1299" i="2" s="1"/>
  <c r="F1298" i="2"/>
  <c r="N1298" i="2" s="1"/>
  <c r="F1297" i="2"/>
  <c r="N1297" i="2" s="1"/>
  <c r="F1296" i="2"/>
  <c r="N1296" i="2" s="1"/>
  <c r="F1295" i="2"/>
  <c r="N1295" i="2" s="1"/>
  <c r="F1294" i="2"/>
  <c r="N1294" i="2" s="1"/>
  <c r="F1293" i="2"/>
  <c r="N1293" i="2" s="1"/>
  <c r="F1292" i="2"/>
  <c r="N1292" i="2" s="1"/>
  <c r="F1291" i="2"/>
  <c r="N1291" i="2" s="1"/>
  <c r="F1290" i="2"/>
  <c r="N1290" i="2" s="1"/>
  <c r="F1289" i="2"/>
  <c r="N1289" i="2" s="1"/>
  <c r="F1288" i="2"/>
  <c r="N1288" i="2" s="1"/>
  <c r="F1287" i="2"/>
  <c r="N1287" i="2" s="1"/>
  <c r="F1286" i="2"/>
  <c r="N1286" i="2" s="1"/>
  <c r="F1285" i="2"/>
  <c r="N1285" i="2" s="1"/>
  <c r="F1284" i="2"/>
  <c r="N1284" i="2" s="1"/>
  <c r="F1283" i="2"/>
  <c r="N1283" i="2" s="1"/>
  <c r="F1282" i="2"/>
  <c r="N1282" i="2" s="1"/>
  <c r="F1281" i="2"/>
  <c r="N1281" i="2" s="1"/>
  <c r="F1280" i="2"/>
  <c r="N1280" i="2" s="1"/>
  <c r="F1279" i="2"/>
  <c r="N1279" i="2" s="1"/>
  <c r="F1278" i="2"/>
  <c r="N1278" i="2" s="1"/>
  <c r="F1277" i="2"/>
  <c r="N1277" i="2" s="1"/>
  <c r="F1276" i="2"/>
  <c r="N1276" i="2" s="1"/>
  <c r="F1275" i="2"/>
  <c r="N1275" i="2" s="1"/>
  <c r="F1274" i="2"/>
  <c r="N1274" i="2" s="1"/>
  <c r="F1273" i="2"/>
  <c r="N1273" i="2" s="1"/>
  <c r="F1272" i="2"/>
  <c r="N1272" i="2" s="1"/>
  <c r="F1271" i="2"/>
  <c r="N1271" i="2" s="1"/>
  <c r="F1270" i="2"/>
  <c r="N1270" i="2" s="1"/>
  <c r="F1269" i="2"/>
  <c r="N1269" i="2" s="1"/>
  <c r="F1268" i="2"/>
  <c r="N1268" i="2" s="1"/>
  <c r="F1267" i="2"/>
  <c r="N1267" i="2" s="1"/>
  <c r="F1266" i="2"/>
  <c r="N1266" i="2" s="1"/>
  <c r="F1265" i="2"/>
  <c r="N1265" i="2" s="1"/>
  <c r="F1264" i="2"/>
  <c r="N1264" i="2" s="1"/>
  <c r="F1263" i="2"/>
  <c r="N1263" i="2" s="1"/>
  <c r="F1262" i="2"/>
  <c r="N1262" i="2" s="1"/>
  <c r="F1261" i="2"/>
  <c r="N1261" i="2" s="1"/>
  <c r="F1260" i="2"/>
  <c r="N1260" i="2" s="1"/>
  <c r="F1259" i="2"/>
  <c r="N1259" i="2" s="1"/>
  <c r="F1258" i="2"/>
  <c r="N1258" i="2" s="1"/>
  <c r="F1257" i="2"/>
  <c r="N1257" i="2" s="1"/>
  <c r="F1256" i="2"/>
  <c r="N1256" i="2" s="1"/>
  <c r="F1255" i="2"/>
  <c r="N1255" i="2" s="1"/>
  <c r="F1254" i="2"/>
  <c r="N1254" i="2" s="1"/>
  <c r="F1253" i="2"/>
  <c r="N1253" i="2" s="1"/>
  <c r="F1252" i="2"/>
  <c r="N1252" i="2" s="1"/>
  <c r="F1251" i="2"/>
  <c r="N1251" i="2" s="1"/>
  <c r="F1250" i="2"/>
  <c r="N1250" i="2" s="1"/>
  <c r="F1249" i="2"/>
  <c r="N1249" i="2" s="1"/>
  <c r="F1248" i="2"/>
  <c r="N1248" i="2" s="1"/>
  <c r="F1247" i="2"/>
  <c r="N1247" i="2" s="1"/>
  <c r="F1246" i="2"/>
  <c r="N1246" i="2" s="1"/>
  <c r="F1245" i="2"/>
  <c r="N1245" i="2" s="1"/>
  <c r="F1244" i="2"/>
  <c r="N1244" i="2" s="1"/>
  <c r="F1243" i="2"/>
  <c r="N1243" i="2" s="1"/>
  <c r="F1242" i="2"/>
  <c r="N1242" i="2" s="1"/>
  <c r="F1241" i="2"/>
  <c r="N1241" i="2" s="1"/>
  <c r="F1240" i="2"/>
  <c r="N1240" i="2" s="1"/>
  <c r="F1239" i="2"/>
  <c r="N1239" i="2" s="1"/>
  <c r="F1238" i="2"/>
  <c r="N1238" i="2" s="1"/>
  <c r="F1100" i="2"/>
  <c r="N1100" i="2" s="1"/>
  <c r="F956" i="2"/>
  <c r="N956" i="2" s="1"/>
  <c r="F780" i="2"/>
  <c r="N780" i="2" s="1"/>
  <c r="F779" i="2"/>
  <c r="N779" i="2" s="1"/>
  <c r="F778" i="2"/>
  <c r="N778" i="2" s="1"/>
  <c r="F777" i="2"/>
  <c r="N777" i="2" s="1"/>
  <c r="F776" i="2"/>
  <c r="N776" i="2" s="1"/>
  <c r="F775" i="2"/>
  <c r="N775" i="2" s="1"/>
  <c r="F774" i="2"/>
  <c r="N774" i="2" s="1"/>
  <c r="F773" i="2"/>
  <c r="N773" i="2" s="1"/>
  <c r="F772" i="2"/>
  <c r="N772" i="2" s="1"/>
  <c r="F771" i="2"/>
  <c r="N771" i="2" s="1"/>
  <c r="F770" i="2"/>
  <c r="N770" i="2" s="1"/>
  <c r="F769" i="2"/>
  <c r="N769" i="2" s="1"/>
  <c r="F768" i="2"/>
  <c r="N768" i="2" s="1"/>
  <c r="F767" i="2"/>
  <c r="N767" i="2" s="1"/>
  <c r="F766" i="2"/>
  <c r="N766" i="2" s="1"/>
  <c r="F765" i="2"/>
  <c r="N765" i="2" s="1"/>
  <c r="F764" i="2"/>
  <c r="N764" i="2" s="1"/>
  <c r="F763" i="2"/>
  <c r="N763" i="2" s="1"/>
  <c r="F762" i="2"/>
  <c r="N762" i="2" s="1"/>
  <c r="F761" i="2"/>
  <c r="N761" i="2" s="1"/>
  <c r="F760" i="2"/>
  <c r="N760" i="2" s="1"/>
  <c r="F759" i="2"/>
  <c r="N759" i="2" s="1"/>
  <c r="F758" i="2"/>
  <c r="N758" i="2" s="1"/>
  <c r="F757" i="2"/>
  <c r="N757" i="2" s="1"/>
  <c r="F756" i="2"/>
  <c r="N756" i="2" s="1"/>
  <c r="F755" i="2"/>
  <c r="N755" i="2" s="1"/>
  <c r="F754" i="2"/>
  <c r="N754" i="2" s="1"/>
  <c r="F753" i="2"/>
  <c r="N753" i="2" s="1"/>
  <c r="F752" i="2"/>
  <c r="N752" i="2" s="1"/>
  <c r="F751" i="2"/>
  <c r="N751" i="2" s="1"/>
  <c r="F750" i="2"/>
  <c r="N750" i="2" s="1"/>
  <c r="F749" i="2"/>
  <c r="N749" i="2" s="1"/>
  <c r="F747" i="2"/>
  <c r="N747" i="2" s="1"/>
  <c r="F746" i="2"/>
  <c r="N746" i="2" s="1"/>
  <c r="F744" i="2"/>
  <c r="N744" i="2" s="1"/>
  <c r="F741" i="2"/>
  <c r="N741" i="2" s="1"/>
  <c r="F740" i="2"/>
  <c r="N740" i="2" s="1"/>
  <c r="F734" i="2"/>
  <c r="N734" i="2" s="1"/>
  <c r="F729" i="2"/>
  <c r="N729" i="2" s="1"/>
  <c r="F728" i="2"/>
  <c r="N728" i="2" s="1"/>
  <c r="F727" i="2"/>
  <c r="N727" i="2" s="1"/>
  <c r="F726" i="2"/>
  <c r="N726" i="2" s="1"/>
  <c r="F725" i="2"/>
  <c r="N725" i="2" s="1"/>
  <c r="F724" i="2"/>
  <c r="N724" i="2" s="1"/>
  <c r="F723" i="2"/>
  <c r="N723" i="2" s="1"/>
  <c r="F722" i="2"/>
  <c r="N722" i="2" s="1"/>
  <c r="F721" i="2"/>
  <c r="N721" i="2" s="1"/>
  <c r="F720" i="2"/>
  <c r="N720" i="2" s="1"/>
  <c r="F719" i="2"/>
  <c r="N719" i="2" s="1"/>
  <c r="F711" i="2"/>
  <c r="N711" i="2" s="1"/>
  <c r="F710" i="2"/>
  <c r="N710" i="2" s="1"/>
  <c r="F709" i="2"/>
  <c r="N709" i="2" s="1"/>
  <c r="F708" i="2"/>
  <c r="N708" i="2" s="1"/>
  <c r="F707" i="2"/>
  <c r="N707" i="2" s="1"/>
  <c r="F706" i="2"/>
  <c r="N706" i="2" s="1"/>
  <c r="F705" i="2"/>
  <c r="N705" i="2" s="1"/>
  <c r="F701" i="2"/>
  <c r="N701" i="2" s="1"/>
  <c r="F700" i="2"/>
  <c r="N700" i="2" s="1"/>
  <c r="F694" i="2"/>
  <c r="N694" i="2" s="1"/>
  <c r="F686" i="2"/>
  <c r="N686" i="2" s="1"/>
  <c r="F685" i="2"/>
  <c r="N685" i="2" s="1"/>
  <c r="F684" i="2"/>
  <c r="N684" i="2" s="1"/>
  <c r="F683" i="2"/>
  <c r="N683" i="2" s="1"/>
  <c r="F682" i="2"/>
  <c r="N682" i="2" s="1"/>
  <c r="F681" i="2"/>
  <c r="N681" i="2" s="1"/>
  <c r="F680" i="2"/>
  <c r="N680" i="2" s="1"/>
  <c r="F677" i="2"/>
  <c r="N677" i="2" s="1"/>
  <c r="F676" i="2"/>
  <c r="N676" i="2" s="1"/>
  <c r="F668" i="2"/>
  <c r="N668" i="2" s="1"/>
  <c r="F667" i="2"/>
  <c r="N667" i="2" s="1"/>
  <c r="F666" i="2"/>
  <c r="N666" i="2" s="1"/>
  <c r="F665" i="2"/>
  <c r="N665" i="2" s="1"/>
  <c r="F664" i="2"/>
  <c r="N664" i="2" s="1"/>
  <c r="F663" i="2"/>
  <c r="N663" i="2" s="1"/>
  <c r="F662" i="2"/>
  <c r="N662" i="2" s="1"/>
  <c r="F661" i="2"/>
  <c r="N661" i="2" s="1"/>
  <c r="F657" i="2"/>
  <c r="N657" i="2" s="1"/>
  <c r="F653" i="2"/>
  <c r="N653" i="2" s="1"/>
  <c r="F652" i="2"/>
  <c r="N652" i="2" s="1"/>
  <c r="F651" i="2"/>
  <c r="N651" i="2" s="1"/>
  <c r="F650" i="2"/>
  <c r="N650" i="2" s="1"/>
  <c r="F649" i="2"/>
  <c r="N649" i="2" s="1"/>
  <c r="F642" i="2"/>
  <c r="N642" i="2" s="1"/>
  <c r="F641" i="2"/>
  <c r="N641" i="2" s="1"/>
  <c r="F640" i="2"/>
  <c r="N640" i="2" s="1"/>
  <c r="F639" i="2"/>
  <c r="N639" i="2" s="1"/>
  <c r="F638" i="2"/>
  <c r="N638" i="2" s="1"/>
  <c r="F637" i="2"/>
  <c r="N637" i="2" s="1"/>
  <c r="F636" i="2"/>
  <c r="N636" i="2" s="1"/>
  <c r="F632" i="2"/>
  <c r="N632" i="2" s="1"/>
  <c r="F628" i="2"/>
  <c r="N628" i="2" s="1"/>
  <c r="F626" i="2"/>
  <c r="N626" i="2" s="1"/>
  <c r="F625" i="2"/>
  <c r="N625" i="2" s="1"/>
  <c r="F624" i="2"/>
  <c r="N624" i="2" s="1"/>
  <c r="F623" i="2"/>
  <c r="N623" i="2" s="1"/>
  <c r="F621" i="2"/>
  <c r="N621" i="2" s="1"/>
  <c r="F620" i="2"/>
  <c r="N620" i="2" s="1"/>
  <c r="F618" i="2"/>
  <c r="N618" i="2" s="1"/>
  <c r="F607" i="2"/>
  <c r="N607" i="2" s="1"/>
  <c r="F606" i="2"/>
  <c r="N606" i="2" s="1"/>
  <c r="F600" i="2"/>
  <c r="N600" i="2" s="1"/>
  <c r="F598" i="2"/>
  <c r="N598" i="2" s="1"/>
  <c r="F597" i="2"/>
  <c r="N597" i="2" s="1"/>
  <c r="F596" i="2"/>
  <c r="N596" i="2" s="1"/>
  <c r="F595" i="2"/>
  <c r="N595" i="2" s="1"/>
  <c r="F594" i="2"/>
  <c r="N594" i="2" s="1"/>
  <c r="F593" i="2"/>
  <c r="N593" i="2" s="1"/>
  <c r="F592" i="2"/>
  <c r="N592" i="2" s="1"/>
  <c r="F591" i="2"/>
  <c r="N591" i="2" s="1"/>
  <c r="F590" i="2"/>
  <c r="N590" i="2" s="1"/>
  <c r="F589" i="2"/>
  <c r="N589" i="2" s="1"/>
  <c r="F588" i="2"/>
  <c r="N588" i="2" s="1"/>
  <c r="F587" i="2"/>
  <c r="N587" i="2" s="1"/>
  <c r="F586" i="2"/>
  <c r="N586" i="2" s="1"/>
  <c r="F585" i="2"/>
  <c r="N585" i="2" s="1"/>
  <c r="F581" i="2"/>
  <c r="N581" i="2" s="1"/>
  <c r="F580" i="2"/>
  <c r="N580" i="2" s="1"/>
  <c r="F579" i="2"/>
  <c r="N579" i="2" s="1"/>
  <c r="F578" i="2"/>
  <c r="N578" i="2" s="1"/>
  <c r="F577" i="2"/>
  <c r="N577" i="2" s="1"/>
  <c r="F576" i="2"/>
  <c r="N576" i="2" s="1"/>
  <c r="F575" i="2"/>
  <c r="N575" i="2" s="1"/>
  <c r="F552" i="2"/>
  <c r="N552" i="2" s="1"/>
  <c r="F524" i="2"/>
  <c r="N524" i="2" s="1"/>
  <c r="F523" i="2"/>
  <c r="N523" i="2" s="1"/>
  <c r="F522" i="2"/>
  <c r="N522" i="2" s="1"/>
  <c r="F520" i="2"/>
  <c r="N520" i="2" s="1"/>
  <c r="F517" i="2"/>
  <c r="N517" i="2" s="1"/>
  <c r="F512" i="2"/>
  <c r="N512" i="2" s="1"/>
  <c r="F511" i="2"/>
  <c r="N511" i="2" s="1"/>
  <c r="F510" i="2"/>
  <c r="N510" i="2" s="1"/>
  <c r="F509" i="2"/>
  <c r="N509" i="2" s="1"/>
  <c r="F507" i="2"/>
  <c r="N507" i="2" s="1"/>
  <c r="F504" i="2"/>
  <c r="N504" i="2" s="1"/>
  <c r="F503" i="2"/>
  <c r="N503" i="2" s="1"/>
  <c r="F502" i="2"/>
  <c r="N502" i="2" s="1"/>
  <c r="F491" i="2"/>
  <c r="N491" i="2" s="1"/>
  <c r="F490" i="2"/>
  <c r="N490" i="2" s="1"/>
  <c r="F488" i="2"/>
  <c r="N488" i="2" s="1"/>
  <c r="F487" i="2"/>
  <c r="N487" i="2" s="1"/>
  <c r="F483" i="2"/>
  <c r="N483" i="2" s="1"/>
  <c r="F479" i="2"/>
  <c r="N479" i="2" s="1"/>
  <c r="F478" i="2"/>
  <c r="N478" i="2" s="1"/>
  <c r="F477" i="2"/>
  <c r="N477" i="2" s="1"/>
  <c r="F470" i="2"/>
  <c r="N470" i="2" s="1"/>
  <c r="F466" i="2"/>
  <c r="N466" i="2" s="1"/>
  <c r="F463" i="2"/>
  <c r="N463" i="2" s="1"/>
  <c r="F461" i="2"/>
  <c r="N461" i="2" s="1"/>
  <c r="F456" i="2"/>
  <c r="N456" i="2" s="1"/>
  <c r="F455" i="2"/>
  <c r="N455" i="2" s="1"/>
  <c r="F452" i="2"/>
  <c r="N452" i="2" s="1"/>
  <c r="F451" i="2"/>
  <c r="N451" i="2" s="1"/>
  <c r="F450" i="2"/>
  <c r="N450" i="2" s="1"/>
  <c r="F449" i="2"/>
  <c r="N449" i="2" s="1"/>
  <c r="F448" i="2"/>
  <c r="N448" i="2" s="1"/>
  <c r="F431" i="2"/>
  <c r="N431" i="2" s="1"/>
  <c r="F430" i="2"/>
  <c r="N430" i="2" s="1"/>
  <c r="F429" i="2"/>
  <c r="N429" i="2" s="1"/>
  <c r="F424" i="2"/>
  <c r="N424" i="2" s="1"/>
  <c r="F423" i="2"/>
  <c r="N423" i="2" s="1"/>
  <c r="F422" i="2"/>
  <c r="N422" i="2" s="1"/>
  <c r="F420" i="2"/>
  <c r="N420" i="2" s="1"/>
  <c r="F419" i="2"/>
  <c r="N419" i="2" s="1"/>
  <c r="F418" i="2"/>
  <c r="N418" i="2" s="1"/>
  <c r="F417" i="2"/>
  <c r="N417" i="2" s="1"/>
  <c r="F416" i="2"/>
  <c r="N416" i="2" s="1"/>
  <c r="F415" i="2"/>
  <c r="N415" i="2" s="1"/>
  <c r="F414" i="2"/>
  <c r="N414" i="2" s="1"/>
  <c r="F411" i="2"/>
  <c r="N411" i="2" s="1"/>
  <c r="F410" i="2"/>
  <c r="N410" i="2" s="1"/>
  <c r="F409" i="2"/>
  <c r="N409" i="2" s="1"/>
  <c r="F408" i="2"/>
  <c r="N408" i="2" s="1"/>
  <c r="F407" i="2"/>
  <c r="N407" i="2" s="1"/>
  <c r="F406" i="2"/>
  <c r="N406" i="2" s="1"/>
  <c r="F405" i="2"/>
  <c r="N405" i="2" s="1"/>
  <c r="F404" i="2"/>
  <c r="N404" i="2" s="1"/>
  <c r="F403" i="2"/>
  <c r="N403" i="2" s="1"/>
  <c r="F385" i="2"/>
  <c r="N385" i="2" s="1"/>
  <c r="F383" i="2"/>
  <c r="N383" i="2" s="1"/>
  <c r="F381" i="2"/>
  <c r="N381" i="2" s="1"/>
  <c r="F372" i="2"/>
  <c r="N372" i="2" s="1"/>
  <c r="F371" i="2"/>
  <c r="N371" i="2" s="1"/>
  <c r="F370" i="2"/>
  <c r="N370" i="2" s="1"/>
  <c r="F369" i="2"/>
  <c r="N369" i="2" s="1"/>
  <c r="F368" i="2"/>
  <c r="N368" i="2" s="1"/>
  <c r="F366" i="2"/>
  <c r="N366" i="2" s="1"/>
  <c r="F364" i="2"/>
  <c r="N364" i="2" s="1"/>
  <c r="F359" i="2"/>
  <c r="N359" i="2" s="1"/>
  <c r="F358" i="2"/>
  <c r="N358" i="2" s="1"/>
  <c r="F357" i="2"/>
  <c r="N357" i="2" s="1"/>
  <c r="F356" i="2"/>
  <c r="N356" i="2" s="1"/>
  <c r="F355" i="2"/>
  <c r="N355" i="2" s="1"/>
  <c r="F354" i="2"/>
  <c r="N354" i="2" s="1"/>
  <c r="F353" i="2"/>
  <c r="N353" i="2" s="1"/>
  <c r="F352" i="2"/>
  <c r="N352" i="2" s="1"/>
  <c r="F350" i="2"/>
  <c r="N350" i="2" s="1"/>
  <c r="F348" i="2"/>
  <c r="N348" i="2" s="1"/>
  <c r="F347" i="2"/>
  <c r="N347" i="2" s="1"/>
  <c r="F346" i="2"/>
  <c r="N346" i="2" s="1"/>
  <c r="F345" i="2"/>
  <c r="N345" i="2" s="1"/>
  <c r="F344" i="2"/>
  <c r="N344" i="2" s="1"/>
  <c r="F343" i="2"/>
  <c r="N343" i="2" s="1"/>
  <c r="F342" i="2"/>
  <c r="N342" i="2" s="1"/>
  <c r="F341" i="2"/>
  <c r="N341" i="2" s="1"/>
  <c r="F340" i="2"/>
  <c r="N340" i="2" s="1"/>
  <c r="F339" i="2"/>
  <c r="N339" i="2" s="1"/>
  <c r="F338" i="2"/>
  <c r="N338" i="2" s="1"/>
  <c r="F337" i="2"/>
  <c r="N337" i="2" s="1"/>
  <c r="F336" i="2"/>
  <c r="N336" i="2" s="1"/>
  <c r="F335" i="2"/>
  <c r="N335" i="2" s="1"/>
  <c r="F334" i="2"/>
  <c r="N334" i="2" s="1"/>
  <c r="F332" i="2"/>
  <c r="N332" i="2" s="1"/>
  <c r="F330" i="2"/>
  <c r="N330" i="2" s="1"/>
  <c r="F329" i="2"/>
  <c r="N329" i="2" s="1"/>
  <c r="F317" i="2"/>
  <c r="N317" i="2" s="1"/>
  <c r="F316" i="2"/>
  <c r="N316" i="2" s="1"/>
  <c r="F315" i="2"/>
  <c r="N315" i="2" s="1"/>
  <c r="F314" i="2"/>
  <c r="N314" i="2" s="1"/>
  <c r="F313" i="2"/>
  <c r="N313" i="2" s="1"/>
  <c r="F312" i="2"/>
  <c r="N312" i="2" s="1"/>
  <c r="F311" i="2"/>
  <c r="N311" i="2" s="1"/>
  <c r="F305" i="2"/>
  <c r="N305" i="2" s="1"/>
  <c r="F304" i="2"/>
  <c r="N304" i="2" s="1"/>
  <c r="F303" i="2"/>
  <c r="N303" i="2" s="1"/>
  <c r="F302" i="2"/>
  <c r="N302" i="2" s="1"/>
  <c r="F301" i="2"/>
  <c r="N301" i="2" s="1"/>
  <c r="F300" i="2"/>
  <c r="N300" i="2" s="1"/>
  <c r="F299" i="2"/>
  <c r="N299" i="2" s="1"/>
  <c r="F295" i="2"/>
  <c r="N295" i="2" s="1"/>
  <c r="F294" i="2"/>
  <c r="N294" i="2" s="1"/>
  <c r="F293" i="2"/>
  <c r="N293" i="2" s="1"/>
  <c r="F292" i="2"/>
  <c r="N292" i="2" s="1"/>
  <c r="F277" i="2"/>
  <c r="N277" i="2" s="1"/>
  <c r="F276" i="2"/>
  <c r="N276" i="2" s="1"/>
  <c r="F275" i="2"/>
  <c r="N275" i="2" s="1"/>
  <c r="F274" i="2"/>
  <c r="N274" i="2" s="1"/>
  <c r="F273" i="2"/>
  <c r="N273" i="2" s="1"/>
  <c r="F272" i="2"/>
  <c r="N272" i="2" s="1"/>
  <c r="F271" i="2"/>
  <c r="N271" i="2" s="1"/>
  <c r="F270" i="2"/>
  <c r="N270" i="2" s="1"/>
  <c r="F269" i="2"/>
  <c r="N269" i="2" s="1"/>
  <c r="F268" i="2"/>
  <c r="N268" i="2" s="1"/>
  <c r="F267" i="2"/>
  <c r="N267" i="2" s="1"/>
  <c r="F266" i="2"/>
  <c r="N266" i="2" s="1"/>
  <c r="F265" i="2"/>
  <c r="N265" i="2" s="1"/>
  <c r="F264" i="2"/>
  <c r="N264" i="2" s="1"/>
  <c r="F263" i="2"/>
  <c r="N263" i="2" s="1"/>
  <c r="F262" i="2"/>
  <c r="N262" i="2" s="1"/>
  <c r="F261" i="2"/>
  <c r="N261" i="2" s="1"/>
  <c r="F260" i="2"/>
  <c r="N260" i="2" s="1"/>
  <c r="F259" i="2"/>
  <c r="N259" i="2" s="1"/>
  <c r="F258" i="2"/>
  <c r="N258" i="2" s="1"/>
  <c r="F257" i="2"/>
  <c r="N257" i="2" s="1"/>
  <c r="F256" i="2"/>
  <c r="N256" i="2" s="1"/>
  <c r="F253" i="2"/>
  <c r="N253" i="2" s="1"/>
  <c r="F250" i="2"/>
  <c r="N250" i="2" s="1"/>
  <c r="F246" i="2"/>
  <c r="N246" i="2" s="1"/>
  <c r="F245" i="2"/>
  <c r="N245" i="2" s="1"/>
  <c r="F244" i="2"/>
  <c r="N244" i="2" s="1"/>
  <c r="F243" i="2"/>
  <c r="N243" i="2" s="1"/>
  <c r="F242" i="2"/>
  <c r="N242" i="2" s="1"/>
  <c r="F233" i="2"/>
  <c r="N233" i="2" s="1"/>
  <c r="F231" i="2"/>
  <c r="N231" i="2" s="1"/>
  <c r="F230" i="2"/>
  <c r="N230" i="2" s="1"/>
  <c r="F229" i="2"/>
  <c r="N229" i="2" s="1"/>
  <c r="F226" i="2"/>
  <c r="N226" i="2" s="1"/>
  <c r="F225" i="2"/>
  <c r="N225" i="2" s="1"/>
  <c r="F215" i="2"/>
  <c r="N215" i="2" s="1"/>
  <c r="F183" i="2"/>
  <c r="N183" i="2" s="1"/>
  <c r="F182" i="2"/>
  <c r="N182" i="2" s="1"/>
  <c r="F180" i="2"/>
  <c r="N180" i="2" s="1"/>
  <c r="F177" i="2"/>
  <c r="N177" i="2" s="1"/>
  <c r="F176" i="2"/>
  <c r="N176" i="2" s="1"/>
  <c r="F175" i="2"/>
  <c r="N175" i="2" s="1"/>
  <c r="F174" i="2"/>
  <c r="N174" i="2" s="1"/>
  <c r="F162" i="2"/>
  <c r="N162" i="2" s="1"/>
  <c r="F161" i="2"/>
  <c r="N161" i="2" s="1"/>
  <c r="F160" i="2"/>
  <c r="N160" i="2" s="1"/>
  <c r="F159" i="2"/>
  <c r="N159" i="2" s="1"/>
  <c r="F158" i="2"/>
  <c r="N158" i="2" s="1"/>
  <c r="F156" i="2"/>
  <c r="N156" i="2" s="1"/>
  <c r="F155" i="2"/>
  <c r="N155" i="2" s="1"/>
  <c r="F154" i="2"/>
  <c r="N154" i="2" s="1"/>
  <c r="F150" i="2"/>
  <c r="N150" i="2" s="1"/>
  <c r="F134" i="2"/>
  <c r="N134" i="2" s="1"/>
  <c r="F133" i="2"/>
  <c r="N133" i="2" s="1"/>
  <c r="F129" i="2"/>
  <c r="N129" i="2" s="1"/>
  <c r="F128" i="2"/>
  <c r="N128" i="2" s="1"/>
  <c r="F127" i="2"/>
  <c r="N127" i="2" s="1"/>
  <c r="F124" i="2"/>
  <c r="N124" i="2" s="1"/>
  <c r="F123" i="2"/>
  <c r="N123" i="2" s="1"/>
  <c r="F121" i="2"/>
  <c r="N121" i="2" s="1"/>
  <c r="F120" i="2"/>
  <c r="N120" i="2" s="1"/>
  <c r="F119" i="2"/>
  <c r="N119" i="2" s="1"/>
  <c r="F118" i="2"/>
  <c r="N118" i="2" s="1"/>
  <c r="F117" i="2"/>
  <c r="N117" i="2" s="1"/>
  <c r="F115" i="2"/>
  <c r="N115" i="2" s="1"/>
  <c r="F109" i="2"/>
  <c r="N109" i="2" s="1"/>
  <c r="F108" i="2"/>
  <c r="N108" i="2" s="1"/>
  <c r="F103" i="2"/>
  <c r="N103" i="2" s="1"/>
  <c r="F102" i="2"/>
  <c r="N102" i="2" s="1"/>
  <c r="F101" i="2"/>
  <c r="N101" i="2" s="1"/>
  <c r="F100" i="2"/>
  <c r="N100" i="2" s="1"/>
  <c r="F99" i="2"/>
  <c r="N99" i="2" s="1"/>
  <c r="F98" i="2"/>
  <c r="N98" i="2" s="1"/>
  <c r="F95" i="2"/>
  <c r="N95" i="2" s="1"/>
  <c r="F94" i="2"/>
  <c r="N94" i="2" s="1"/>
  <c r="F91" i="2"/>
  <c r="N91" i="2" s="1"/>
  <c r="F89" i="2"/>
  <c r="N89" i="2" s="1"/>
  <c r="F88" i="2"/>
  <c r="N88" i="2" s="1"/>
  <c r="F87" i="2"/>
  <c r="N87" i="2" s="1"/>
  <c r="F86" i="2"/>
  <c r="N86" i="2" s="1"/>
  <c r="F83" i="2"/>
  <c r="N83" i="2" s="1"/>
  <c r="F81" i="2"/>
  <c r="N81" i="2" s="1"/>
  <c r="F80" i="2"/>
  <c r="N80" i="2" s="1"/>
  <c r="F79" i="2"/>
  <c r="N79" i="2" s="1"/>
  <c r="F78" i="2"/>
  <c r="N78" i="2" s="1"/>
  <c r="F70" i="2"/>
  <c r="N70" i="2" s="1"/>
  <c r="F69" i="2"/>
  <c r="N69" i="2" s="1"/>
  <c r="F68" i="2"/>
  <c r="N68" i="2" s="1"/>
  <c r="F67" i="2"/>
  <c r="N67" i="2" s="1"/>
  <c r="F66" i="2"/>
  <c r="N66" i="2" s="1"/>
  <c r="F54" i="2"/>
  <c r="N54" i="2" s="1"/>
  <c r="F53" i="2"/>
  <c r="N53" i="2" s="1"/>
  <c r="F42" i="2"/>
  <c r="N42" i="2" s="1"/>
  <c r="F41" i="2"/>
  <c r="N41" i="2" s="1"/>
  <c r="F37" i="2"/>
  <c r="N37" i="2" s="1"/>
  <c r="F35" i="2"/>
  <c r="N35" i="2" s="1"/>
  <c r="F34" i="2"/>
  <c r="N34" i="2" s="1"/>
  <c r="F33" i="2"/>
  <c r="N33" i="2" s="1"/>
  <c r="F32" i="2"/>
  <c r="N32" i="2" s="1"/>
  <c r="F31" i="2"/>
  <c r="N31" i="2" s="1"/>
  <c r="F30" i="2"/>
  <c r="N30" i="2" s="1"/>
  <c r="F29" i="2"/>
  <c r="N29" i="2" s="1"/>
  <c r="F28" i="2"/>
  <c r="N28" i="2" s="1"/>
  <c r="F27" i="2"/>
  <c r="N27" i="2" s="1"/>
  <c r="F26" i="2"/>
  <c r="N26" i="2" s="1"/>
  <c r="F25" i="2"/>
  <c r="N25" i="2" s="1"/>
  <c r="F24" i="2"/>
  <c r="N24" i="2" s="1"/>
  <c r="F23" i="2"/>
  <c r="N23" i="2" s="1"/>
  <c r="F22" i="2"/>
  <c r="N22" i="2" s="1"/>
  <c r="F21" i="2"/>
  <c r="N21" i="2" s="1"/>
  <c r="F20" i="2"/>
  <c r="N20" i="2" s="1"/>
  <c r="F19" i="2"/>
  <c r="N19" i="2" s="1"/>
  <c r="F18" i="2"/>
  <c r="N18" i="2" s="1"/>
  <c r="F16" i="2"/>
  <c r="N16" i="2" s="1"/>
  <c r="F15" i="2"/>
  <c r="N15" i="2" s="1"/>
  <c r="F14" i="2"/>
  <c r="N14" i="2" s="1"/>
  <c r="F13" i="2"/>
  <c r="N13" i="2" s="1"/>
  <c r="F12" i="2"/>
  <c r="N12" i="2" s="1"/>
  <c r="F11" i="2"/>
  <c r="N11" i="2" s="1"/>
  <c r="F10" i="2"/>
  <c r="N10" i="2" s="1"/>
  <c r="F9" i="2"/>
  <c r="N9" i="2" s="1"/>
  <c r="F8" i="2"/>
  <c r="N8" i="2" s="1"/>
  <c r="F3" i="2"/>
  <c r="N3" i="2" s="1"/>
  <c r="G1" i="2"/>
  <c r="J1" i="2"/>
  <c r="H1" i="2"/>
  <c r="M1" i="2"/>
  <c r="L1" i="2"/>
  <c r="B1" i="2"/>
  <c r="E1" i="2"/>
  <c r="C1" i="2"/>
  <c r="D1" i="2"/>
  <c r="A1" i="2"/>
  <c r="F1" i="2" l="1"/>
  <c r="K1" i="2"/>
  <c r="I1" i="2"/>
</calcChain>
</file>

<file path=xl/sharedStrings.xml><?xml version="1.0" encoding="utf-8"?>
<sst xmlns="http://schemas.openxmlformats.org/spreadsheetml/2006/main" count="42776" uniqueCount="15921">
  <si>
    <t>取得日時</t>
  </si>
  <si>
    <t>調達機関名</t>
  </si>
  <si>
    <t>入札方式</t>
  </si>
  <si>
    <t>調達案件名称</t>
  </si>
  <si>
    <t>案件番号</t>
  </si>
  <si>
    <t>開札日</t>
  </si>
  <si>
    <t>設計額(税抜)</t>
  </si>
  <si>
    <t>予定価格(税抜)</t>
  </si>
  <si>
    <t>調査基準等価格(税抜)</t>
  </si>
  <si>
    <t>課所名</t>
  </si>
  <si>
    <t>落札業者名</t>
  </si>
  <si>
    <t>落札金額</t>
  </si>
  <si>
    <t>参加業者数</t>
  </si>
  <si>
    <t>2026/05/20 14:26:38</t>
  </si>
  <si>
    <t>埼玉県</t>
  </si>
  <si>
    <t>随意契約</t>
  </si>
  <si>
    <t>歩道整備工事（蓮田・東工区歩道整備協議資料作成業務委託）</t>
  </si>
  <si>
    <t>26100158488</t>
  </si>
  <si>
    <t>2026/05/15 09:07</t>
  </si>
  <si>
    <t>1,710,000</t>
  </si>
  <si>
    <t>埼玉県 県土整備部 杉戸県土整備事務所</t>
  </si>
  <si>
    <t>3</t>
  </si>
  <si>
    <t>2026/05/20 14:26:42</t>
  </si>
  <si>
    <t>指名競争入札</t>
  </si>
  <si>
    <t>災害防除工事（地すべり調査業務委託）</t>
  </si>
  <si>
    <t>26000004812</t>
  </si>
  <si>
    <t>2026/05/14 14:00</t>
  </si>
  <si>
    <t>6,110,000</t>
  </si>
  <si>
    <t>4,812,000</t>
  </si>
  <si>
    <t>埼玉県 県土整備部 本庄県土整備事務所</t>
  </si>
  <si>
    <t>株式会社復建技術コンサルタント 埼玉事務所</t>
  </si>
  <si>
    <t>14</t>
  </si>
  <si>
    <t>2026/05/20 14:26:44</t>
  </si>
  <si>
    <t>８埼６設第２号保全計画策定業務委託（豊廼排水機場）</t>
  </si>
  <si>
    <t>26000013319</t>
  </si>
  <si>
    <t>2026/05/14 11:41</t>
  </si>
  <si>
    <t>7,230,000</t>
  </si>
  <si>
    <t>5,798,000</t>
  </si>
  <si>
    <t>埼玉県 農林部 農村整備計画センター</t>
  </si>
  <si>
    <t>新日本設計株式会社 関東事務所</t>
  </si>
  <si>
    <t>6,850,000</t>
  </si>
  <si>
    <t>11</t>
  </si>
  <si>
    <t>2026/05/20 14:26:46</t>
  </si>
  <si>
    <t>８北情設第１号水管理施設実施計画策定業務委託</t>
  </si>
  <si>
    <t>26000012456</t>
  </si>
  <si>
    <t>2026/05/14 11:21</t>
  </si>
  <si>
    <t>4,670,000</t>
  </si>
  <si>
    <t>3,752,000</t>
  </si>
  <si>
    <t>旭工榮株式会社 本店</t>
  </si>
  <si>
    <t>4,500,000</t>
  </si>
  <si>
    <t>2026/05/20 14:26:48</t>
  </si>
  <si>
    <t>８騎情設第１号水管理施設実施計画策定業務委託</t>
  </si>
  <si>
    <t>26000012139</t>
  </si>
  <si>
    <t>2026/05/14 11:02</t>
  </si>
  <si>
    <t>5,720,000</t>
  </si>
  <si>
    <t>4,592,000</t>
  </si>
  <si>
    <t>若鈴コンサルタンツ株式会社 埼玉事務所</t>
  </si>
  <si>
    <t>5,400,000</t>
  </si>
  <si>
    <t>2026/05/20 14:26:50</t>
  </si>
  <si>
    <t>８桜奈設第１号奈倉橋事業計画策定業務委託</t>
  </si>
  <si>
    <t>26000012945</t>
  </si>
  <si>
    <t>2026/05/14 10:42</t>
  </si>
  <si>
    <t>6,400,000</t>
  </si>
  <si>
    <t>5,138,000</t>
  </si>
  <si>
    <t>株式会社日本設計コンサルタント 本店</t>
  </si>
  <si>
    <t>6,200,000</t>
  </si>
  <si>
    <t>2026/05/20 14:26:53</t>
  </si>
  <si>
    <t>８北河設第１号用水路整備事業計画策定業務委託</t>
  </si>
  <si>
    <t>26000012518</t>
  </si>
  <si>
    <t>2026/05/14 10:21</t>
  </si>
  <si>
    <t>5,760,000</t>
  </si>
  <si>
    <t>4,626,000</t>
  </si>
  <si>
    <t>株式会社日本精測コンサルタント 本店</t>
  </si>
  <si>
    <t>5,480,000</t>
  </si>
  <si>
    <t>2026/05/20 14:26:55</t>
  </si>
  <si>
    <t>８道閑設第１号排水機場等事業計画策定業務委託</t>
  </si>
  <si>
    <t>26000013288</t>
  </si>
  <si>
    <t>2026/05/14 10:01</t>
  </si>
  <si>
    <t>2,470,000</t>
  </si>
  <si>
    <t>2,280,000</t>
  </si>
  <si>
    <t>10</t>
  </si>
  <si>
    <t>2026/05/20 14:26:57</t>
  </si>
  <si>
    <t>８霧谷設第１号ため池整備事業計画策定業務委託</t>
  </si>
  <si>
    <t>26000012159</t>
  </si>
  <si>
    <t>2026/05/14 09:43</t>
  </si>
  <si>
    <t>4,530,000</t>
  </si>
  <si>
    <t>3,639,000</t>
  </si>
  <si>
    <t>株式会社栄設計 埼玉事務所</t>
  </si>
  <si>
    <t>4,350,000</t>
  </si>
  <si>
    <t>2026/05/20 14:26:59</t>
  </si>
  <si>
    <t>８下八設第１号変更事業計画書作成業務委託</t>
  </si>
  <si>
    <t>26000010974</t>
  </si>
  <si>
    <t>2026/05/14 09:31</t>
  </si>
  <si>
    <t>7,220,000</t>
  </si>
  <si>
    <t>5,797,000</t>
  </si>
  <si>
    <t>埼玉県 農林部 春日部農林振興センター</t>
  </si>
  <si>
    <t>6,880,000</t>
  </si>
  <si>
    <t>2026/05/20 14:27:05</t>
  </si>
  <si>
    <t>８弥設第１号ほ場整備事業計画策定業務委託</t>
  </si>
  <si>
    <t>26000012081</t>
  </si>
  <si>
    <t>2026/05/14 09:24</t>
  </si>
  <si>
    <t>8,600,000</t>
  </si>
  <si>
    <t>6,902,000</t>
  </si>
  <si>
    <t>8,400,000</t>
  </si>
  <si>
    <t>12</t>
  </si>
  <si>
    <t>2026/05/20 14:27:07</t>
  </si>
  <si>
    <t>赤木慈光線森林管理道調査業務</t>
  </si>
  <si>
    <t>26000010726</t>
  </si>
  <si>
    <t>2026/05/13 09:03</t>
  </si>
  <si>
    <t>1,800,000</t>
  </si>
  <si>
    <t>埼玉県 農林部 寄居林業事務所</t>
  </si>
  <si>
    <t>2026/05/20 14:27:09</t>
  </si>
  <si>
    <t>道路改築工事（蓮田杉戸線・雨水排水施設計画検討業務委託）</t>
  </si>
  <si>
    <t>26100158303</t>
  </si>
  <si>
    <t>2026/05/08 10:03</t>
  </si>
  <si>
    <t>7,649,000</t>
  </si>
  <si>
    <t>6,146,000</t>
  </si>
  <si>
    <t>2026/05/20 14:27:11</t>
  </si>
  <si>
    <t>一般競争入札（ダイレクト入札）</t>
  </si>
  <si>
    <t>ダム等施設管理工事（合角ダム水質調査業務委託）</t>
  </si>
  <si>
    <t>25100157963</t>
  </si>
  <si>
    <t>2026/04/28 13:11</t>
  </si>
  <si>
    <t>15,406,000</t>
  </si>
  <si>
    <t>11,671,000</t>
  </si>
  <si>
    <t>埼玉県 県土整備部 秩父県土整備事務所</t>
  </si>
  <si>
    <t>一般社団法人埼玉県環境検査研究協会 本店</t>
  </si>
  <si>
    <t>9</t>
  </si>
  <si>
    <t>2026/05/20 14:27:14</t>
  </si>
  <si>
    <t>行政手続支援業務委託</t>
  </si>
  <si>
    <t>26000006076</t>
  </si>
  <si>
    <t>2026/04/28 10:02</t>
  </si>
  <si>
    <t>1,345,000</t>
  </si>
  <si>
    <t>埼玉県 環境部 環境整備センター</t>
  </si>
  <si>
    <t>2026/05/20 14:27:16</t>
  </si>
  <si>
    <t>橋りょう修繕工事（環境対策検討業務委託その１）３７１</t>
  </si>
  <si>
    <t>25100158068</t>
  </si>
  <si>
    <t>2026/04/23 14:27</t>
  </si>
  <si>
    <t>17,688,000</t>
  </si>
  <si>
    <t>埼玉県 県土整備部 熊谷県土整備事務所</t>
  </si>
  <si>
    <t>1</t>
  </si>
  <si>
    <t>2026/05/20 14:27:18</t>
  </si>
  <si>
    <t>埼玉県第１４次埼玉県鳥獣保護管理事業計画策定支援業務</t>
  </si>
  <si>
    <t>202604073</t>
  </si>
  <si>
    <t>2026/04/23 10:19</t>
  </si>
  <si>
    <t>6,507,000</t>
  </si>
  <si>
    <t>********</t>
  </si>
  <si>
    <t>4,881,000</t>
  </si>
  <si>
    <t>埼玉県 環境部 みどり自然課</t>
  </si>
  <si>
    <t>一般財団法人自然環境研究センター 本店</t>
  </si>
  <si>
    <t>5,250,000</t>
  </si>
  <si>
    <t>2026/05/20 14:27:20</t>
  </si>
  <si>
    <t>路面下空洞調査業務委託その３</t>
  </si>
  <si>
    <t>25100158088</t>
  </si>
  <si>
    <t>2026/04/23 10:00</t>
  </si>
  <si>
    <t>10,397,000</t>
  </si>
  <si>
    <t>8,248,000</t>
  </si>
  <si>
    <t>埼玉県 県土整備部 道路環境課</t>
  </si>
  <si>
    <t>株式会社協和地質コンサルタント 本店</t>
  </si>
  <si>
    <t>2026/05/20 14:27:22</t>
  </si>
  <si>
    <t>路面性状調査業務委託（システムデータ整備）</t>
  </si>
  <si>
    <t>25100158085</t>
  </si>
  <si>
    <t>2026/04/23 09:34</t>
  </si>
  <si>
    <t>17,329,000</t>
  </si>
  <si>
    <t>13,910,000</t>
  </si>
  <si>
    <t>株式会社保全工学研究所 埼玉事務所</t>
  </si>
  <si>
    <t>6</t>
  </si>
  <si>
    <t>2026/05/20 14:27:24</t>
  </si>
  <si>
    <t>社資（砂防）工事（基礎調査マニュアル改訂等業務委託）</t>
  </si>
  <si>
    <t>25100158082</t>
  </si>
  <si>
    <t>2026/04/22 13:47</t>
  </si>
  <si>
    <t>22,725,000</t>
  </si>
  <si>
    <t>18,238,000</t>
  </si>
  <si>
    <t>埼玉県 県土整備部 河川砂防課</t>
  </si>
  <si>
    <t>株式会社日本インシーク 埼玉支店</t>
  </si>
  <si>
    <t>7</t>
  </si>
  <si>
    <t>2026/05/20 14:27:30</t>
  </si>
  <si>
    <t>（ゼロ債務）０２５大改第６６２号 大久保浄水場・新三郷浄水場ろ過池降灰対策覆蓋化概略検討業務委託</t>
  </si>
  <si>
    <t>25100157490</t>
  </si>
  <si>
    <t>2026/04/21 13:11</t>
  </si>
  <si>
    <t>56,136,000</t>
  </si>
  <si>
    <t>45,062,000</t>
  </si>
  <si>
    <t>埼玉県 企業局 大久保浄水場</t>
  </si>
  <si>
    <t>株式会社東京設計事務所 関東事務所</t>
  </si>
  <si>
    <t>2</t>
  </si>
  <si>
    <t>2026/05/20 14:27:32</t>
  </si>
  <si>
    <t>ダム等施設管理工事（権現堂調節池 水質調査業務委託）</t>
  </si>
  <si>
    <t>25100157971</t>
  </si>
  <si>
    <t>2026/04/21 09:04</t>
  </si>
  <si>
    <t>6,669,000</t>
  </si>
  <si>
    <t>5,081,000</t>
  </si>
  <si>
    <t>復建調査設計株式会社 埼玉事務所</t>
  </si>
  <si>
    <t>5,951,000</t>
  </si>
  <si>
    <t>8</t>
  </si>
  <si>
    <t>2026/05/20 14:27:34</t>
  </si>
  <si>
    <t>簡易公募型／公募型プロポーザル方式</t>
  </si>
  <si>
    <t>道路改築工事（橋りょう設計の手引き改定業務委託）</t>
  </si>
  <si>
    <t>25100156789</t>
  </si>
  <si>
    <t>2026/04/20 09:03</t>
  </si>
  <si>
    <t>16,953,000</t>
  </si>
  <si>
    <t>埼玉県 県土整備部 道路街路課</t>
  </si>
  <si>
    <t>2026/05/20 14:27:38</t>
  </si>
  <si>
    <t>６８３０水質調査業務委託</t>
  </si>
  <si>
    <t>25100157857</t>
  </si>
  <si>
    <t>2026/04/16 14:14</t>
  </si>
  <si>
    <t>6,422,000</t>
  </si>
  <si>
    <t>4,915,000</t>
  </si>
  <si>
    <t>埼玉県 県土整備部 さいたま県土整備事務所</t>
  </si>
  <si>
    <t>エヌエス環境株式会社 東京支社</t>
  </si>
  <si>
    <t>2026/05/20 14:27:40</t>
  </si>
  <si>
    <t>砂防施設工事（Ｒ８柳沢地すべり観測業務委託）</t>
  </si>
  <si>
    <t>25100158033</t>
  </si>
  <si>
    <t>2026/04/14 13:16</t>
  </si>
  <si>
    <t>8,771,000</t>
  </si>
  <si>
    <t>6,935,000</t>
  </si>
  <si>
    <t>埼玉県 県土整備部 東松山県土整備事務所</t>
  </si>
  <si>
    <t>株式会社エイト日本技術開発 北関東支店</t>
  </si>
  <si>
    <t>13</t>
  </si>
  <si>
    <t>2026/05/20 14:27:42</t>
  </si>
  <si>
    <t>砂防施設工事（Ｒ８柴地すべり観測業務委託）</t>
  </si>
  <si>
    <t>25100158028</t>
  </si>
  <si>
    <t>2026/04/14 13:09</t>
  </si>
  <si>
    <t>8,973,000</t>
  </si>
  <si>
    <t>7,097,000</t>
  </si>
  <si>
    <t>応用地質株式会社 東京支社</t>
  </si>
  <si>
    <t>2026/05/20 14:27:44</t>
  </si>
  <si>
    <t>５３１９街路整備工事（費用便益分析業務委託その１）</t>
  </si>
  <si>
    <t>25000314128</t>
  </si>
  <si>
    <t>2026/04/14 13:05</t>
  </si>
  <si>
    <t>12,661,000</t>
  </si>
  <si>
    <t>10,167,000</t>
  </si>
  <si>
    <t>埼玉県 県土整備部 越谷県土整備事務所</t>
  </si>
  <si>
    <t>株式会社協和コンサルタンツ 関東営業所</t>
  </si>
  <si>
    <t>30</t>
  </si>
  <si>
    <t>2026/05/20 14:27:46</t>
  </si>
  <si>
    <t>道路改築工事（日尾工区構造物設計業務委託）</t>
  </si>
  <si>
    <t>25000300394</t>
  </si>
  <si>
    <t>2026/04/07 14:02</t>
  </si>
  <si>
    <t>3,560,000</t>
  </si>
  <si>
    <t>2,863,000</t>
  </si>
  <si>
    <t>サンコーコンサルタント株式会社 北関東支店</t>
  </si>
  <si>
    <t>2026/05/20 14:27:49</t>
  </si>
  <si>
    <t>北部流域元荒川幹線管路改築設計業務委託その２</t>
  </si>
  <si>
    <t>25200157694</t>
  </si>
  <si>
    <t>2026/04/07 10:41</t>
  </si>
  <si>
    <t>13,879,000</t>
  </si>
  <si>
    <t>11,125,000</t>
  </si>
  <si>
    <t>埼玉県 下水道局 荒川左岸北部下水道事務所</t>
  </si>
  <si>
    <t>株式会社オリンピアコンサルタント 埼玉営業所</t>
  </si>
  <si>
    <t>15</t>
  </si>
  <si>
    <t>2026/05/20 14:27:51</t>
  </si>
  <si>
    <t>総委重）橋りょう整備工事（鴻巣立体詳細設計業務委託）</t>
  </si>
  <si>
    <t>25100157134</t>
  </si>
  <si>
    <t>2026/04/07 10:30</t>
  </si>
  <si>
    <t>89,557,000</t>
  </si>
  <si>
    <t>71,897,000</t>
  </si>
  <si>
    <t>埼玉県 総務部 入札課</t>
  </si>
  <si>
    <t>セントラルコンサルタント株式会社 北関東営業所</t>
  </si>
  <si>
    <t>2026/05/20 14:27:56</t>
  </si>
  <si>
    <t>北部流域元荒川幹線管路改築設計業務委託その１</t>
  </si>
  <si>
    <t>25200157693</t>
  </si>
  <si>
    <t>2026/04/07 10:10</t>
  </si>
  <si>
    <t>15,132,000</t>
  </si>
  <si>
    <t>12,122,000</t>
  </si>
  <si>
    <t>共和コンサルタント株式会社 本店</t>
  </si>
  <si>
    <t>2026/05/20 14:27:59</t>
  </si>
  <si>
    <t>南部流域南部幹線管渠改築実施設計業務委託</t>
  </si>
  <si>
    <t>25200157603</t>
  </si>
  <si>
    <t>2026/03/30 12:27</t>
  </si>
  <si>
    <t>9,153,000</t>
  </si>
  <si>
    <t>7,302,000</t>
  </si>
  <si>
    <t>埼玉県 下水道局 荒川左岸南部下水道事務所</t>
  </si>
  <si>
    <t>株式会社ジェーエステック 本店</t>
  </si>
  <si>
    <t>24</t>
  </si>
  <si>
    <t>2026/05/20 14:28:01</t>
  </si>
  <si>
    <t>南部流域芝川幹線管渠改築基本設計業務委託</t>
  </si>
  <si>
    <t>25200157602</t>
  </si>
  <si>
    <t>2026/03/30 11:49</t>
  </si>
  <si>
    <t>9,330,000</t>
  </si>
  <si>
    <t>7,436,000</t>
  </si>
  <si>
    <t>19</t>
  </si>
  <si>
    <t>2026/05/20 14:28:03</t>
  </si>
  <si>
    <t>南部流域鴨川幹線管渠改築実施設計その２業務委託</t>
  </si>
  <si>
    <t>25200157601</t>
  </si>
  <si>
    <t>2026/03/30 11:12</t>
  </si>
  <si>
    <t>9,767,000</t>
  </si>
  <si>
    <t>7,804,000</t>
  </si>
  <si>
    <t>2026/05/20 14:28:05</t>
  </si>
  <si>
    <t>南部流域鴨川幹線管渠改築実施設計その１業務委託</t>
  </si>
  <si>
    <t>25200157600</t>
  </si>
  <si>
    <t>2026/03/30 10:47</t>
  </si>
  <si>
    <t>23</t>
  </si>
  <si>
    <t>2026/05/20 14:28:07</t>
  </si>
  <si>
    <t>交差点整備工事（埼玉工区交通量推計業務委託）</t>
  </si>
  <si>
    <t>25100157345</t>
  </si>
  <si>
    <t>2026/03/26 10:03</t>
  </si>
  <si>
    <t>8,329,000</t>
  </si>
  <si>
    <t>6,689,000</t>
  </si>
  <si>
    <t>埼玉県 県土整備部 行田県土整備事務所</t>
  </si>
  <si>
    <t>株式会社オリエンタルコンサルタンツ 埼玉事務所</t>
  </si>
  <si>
    <t>2026/05/20 14:28:09</t>
  </si>
  <si>
    <t>街路整備工事（積算技術業務委託）</t>
  </si>
  <si>
    <t>25100157491</t>
  </si>
  <si>
    <t>2026/03/26 09:03</t>
  </si>
  <si>
    <t>14,808,000</t>
  </si>
  <si>
    <t>11,886,000</t>
  </si>
  <si>
    <t>三和建設コンサルタンツ株式会社 埼玉事務所</t>
  </si>
  <si>
    <t>2026/05/20 14:28:12</t>
  </si>
  <si>
    <t>橋りょう補修工事（下唐子歩道橋補修設計業務委託）</t>
  </si>
  <si>
    <t>25100157595</t>
  </si>
  <si>
    <t>2026/03/25 13:33</t>
  </si>
  <si>
    <t>6,710,000</t>
  </si>
  <si>
    <t>5,393,000</t>
  </si>
  <si>
    <t>アジア航測株式会社 埼玉支店</t>
  </si>
  <si>
    <t>18</t>
  </si>
  <si>
    <t>2026/05/20 14:28:14</t>
  </si>
  <si>
    <t>橋りょう補修工事（福田歩道橋補修設計業務委託）</t>
  </si>
  <si>
    <t>25100157594</t>
  </si>
  <si>
    <t>2026/03/25 13:24</t>
  </si>
  <si>
    <t>7,475,000</t>
  </si>
  <si>
    <t>6,008,000</t>
  </si>
  <si>
    <t>2026/05/20 14:28:16</t>
  </si>
  <si>
    <t>橋りょう補修工事（水穴歩道橋補修設計業務委託）</t>
  </si>
  <si>
    <t>25100157593</t>
  </si>
  <si>
    <t>2026/03/25 13:16</t>
  </si>
  <si>
    <t>7,489,000</t>
  </si>
  <si>
    <t>6,019,000</t>
  </si>
  <si>
    <t>2026/05/20 14:28:22</t>
  </si>
  <si>
    <t>橋りょう補修工事（岩鼻歩道橋補修設計業務委託）</t>
  </si>
  <si>
    <t>25100157592</t>
  </si>
  <si>
    <t>2026/03/25 13:07</t>
  </si>
  <si>
    <t>9,048,000</t>
  </si>
  <si>
    <t>7,271,000</t>
  </si>
  <si>
    <t>東日本総合計画株式会社 本店</t>
  </si>
  <si>
    <t>2026/05/20 14:28:24</t>
  </si>
  <si>
    <t>河川改修（水辺）工事（合角ダム受変電設備設計業務委託）</t>
  </si>
  <si>
    <t>25000290003</t>
  </si>
  <si>
    <t>2026/03/24 13:25</t>
  </si>
  <si>
    <t>9,304,000</t>
  </si>
  <si>
    <t>7,474,000</t>
  </si>
  <si>
    <t>株式会社スリーエスコンサルタンツ 埼玉営業所</t>
  </si>
  <si>
    <t>2026/05/20 14:28:26</t>
  </si>
  <si>
    <t>７釜兎設第２号ため池実施設計業務委託</t>
  </si>
  <si>
    <t>25000299027</t>
  </si>
  <si>
    <t>2026/03/24 10:11</t>
  </si>
  <si>
    <t>埼玉県 農林部 秩父農林振興センター</t>
  </si>
  <si>
    <t>5,800,000</t>
  </si>
  <si>
    <t>2026/05/20 14:28:28</t>
  </si>
  <si>
    <t>総委重）社資（河川）（不老川護岸詳細設計）西武新宿線上流工区３</t>
  </si>
  <si>
    <t>25000280898</t>
  </si>
  <si>
    <t>2026/03/23 10:07</t>
  </si>
  <si>
    <t>12,797,000</t>
  </si>
  <si>
    <t>10,282,000</t>
  </si>
  <si>
    <t>埼玉県 県土整備部 川越県土整備事務所</t>
  </si>
  <si>
    <t>16</t>
  </si>
  <si>
    <t>2026/05/20 14:28:30</t>
  </si>
  <si>
    <t>社資（河川）工事（女堀川樋管詳細設計業務委託その３）</t>
  </si>
  <si>
    <t>25000287154</t>
  </si>
  <si>
    <t>2026/03/19 14:10</t>
  </si>
  <si>
    <t>15,142,000</t>
  </si>
  <si>
    <t>12,165,000</t>
  </si>
  <si>
    <t>開発虎ノ門コンサルタント株式会社 埼玉事務所</t>
  </si>
  <si>
    <t>21</t>
  </si>
  <si>
    <t>2026/05/20 14:28:33</t>
  </si>
  <si>
    <t>橋りょう架換工事（塩沢橋架換検討業務委託）１６９</t>
  </si>
  <si>
    <t>25000290065</t>
  </si>
  <si>
    <t>2026/03/19 13:48</t>
  </si>
  <si>
    <t>6,181,000</t>
  </si>
  <si>
    <t>4,967,000</t>
  </si>
  <si>
    <t>2026/05/20 14:28:35</t>
  </si>
  <si>
    <t>（ゼロ債務）道路改築工事（仮設検討業務委託）０４８</t>
  </si>
  <si>
    <t>25100157391</t>
  </si>
  <si>
    <t>2026/03/19 13:43</t>
  </si>
  <si>
    <t>6,967,000</t>
  </si>
  <si>
    <t>5,598,000</t>
  </si>
  <si>
    <t>2026/05/20 14:28:37</t>
  </si>
  <si>
    <t>（ゼロ債務）舗装道整備工事（ＦＷＤ調査業務委託）</t>
  </si>
  <si>
    <t>25100157227</t>
  </si>
  <si>
    <t>2026/03/19 11:03</t>
  </si>
  <si>
    <t>7,941,000</t>
  </si>
  <si>
    <t>6,184,000</t>
  </si>
  <si>
    <t>ティーアール・コンサルタント株式会社 本店</t>
  </si>
  <si>
    <t>2026/05/20 14:28:39</t>
  </si>
  <si>
    <t>河川改修（国庫補助）工事（中川・工事監督支援業務委託その２）</t>
  </si>
  <si>
    <t>25000274752</t>
  </si>
  <si>
    <t>2026/03/19 10:44</t>
  </si>
  <si>
    <t>12,006,000</t>
  </si>
  <si>
    <t>9,719,000</t>
  </si>
  <si>
    <t>株式会社アイ・ディー・エー 埼玉営業所</t>
  </si>
  <si>
    <t>2026/05/20 14:28:41</t>
  </si>
  <si>
    <t>７栗設第２号ほ場整備実施設計業務委託</t>
  </si>
  <si>
    <t>25000295534</t>
  </si>
  <si>
    <t>2026/03/19 09:19</t>
  </si>
  <si>
    <t>10,810,000</t>
  </si>
  <si>
    <t>8,679,000</t>
  </si>
  <si>
    <t>埼玉県 農林部 大里農林振興センター</t>
  </si>
  <si>
    <t>2026/05/20 14:28:47</t>
  </si>
  <si>
    <t>７仙女調第２号生物生息状況調査業務委託</t>
  </si>
  <si>
    <t>25000302365</t>
  </si>
  <si>
    <t>2026/03/19 09:05</t>
  </si>
  <si>
    <t>1,830,000</t>
  </si>
  <si>
    <t>埼玉県 農林部 東松山農林振興センター</t>
  </si>
  <si>
    <t>2026/05/20 14:28:49</t>
  </si>
  <si>
    <t>自転車歩行者道整備工事（歩道設計業務委託）</t>
  </si>
  <si>
    <t>25100157481</t>
  </si>
  <si>
    <t>2026/03/18 15:32</t>
  </si>
  <si>
    <t>6,611,000</t>
  </si>
  <si>
    <t>5,314,000</t>
  </si>
  <si>
    <t>武州測量株式会社 本店</t>
  </si>
  <si>
    <t>6,180,000</t>
  </si>
  <si>
    <t>2026/05/20 14:28:51</t>
  </si>
  <si>
    <t>河川改修工事（不老川護岸測量設計業務委託）</t>
  </si>
  <si>
    <t>25000281676</t>
  </si>
  <si>
    <t>2026/03/18 15:03</t>
  </si>
  <si>
    <t>10,251,000</t>
  </si>
  <si>
    <t>8,124,000</t>
  </si>
  <si>
    <t>埼玉県 県土整備部 飯能県土整備事務所</t>
  </si>
  <si>
    <t>株式会社大成 本店</t>
  </si>
  <si>
    <t>9,100,000</t>
  </si>
  <si>
    <t>2026/05/20 14:28:54</t>
  </si>
  <si>
    <t>ダム等施設管理工事（アンカー健全度調査業務委託）Ｉブロック</t>
  </si>
  <si>
    <t>25000283505</t>
  </si>
  <si>
    <t>2026/03/18 14:54</t>
  </si>
  <si>
    <t>12,759,000</t>
  </si>
  <si>
    <t>10,103,000</t>
  </si>
  <si>
    <t>明治コンサルタント株式会社 埼玉営業所</t>
  </si>
  <si>
    <t>2026/05/20 14:28:56</t>
  </si>
  <si>
    <t>ダム等施設管理工事（アンカー健全度調査業務委託）ＫＬブロック</t>
  </si>
  <si>
    <t>25000283528</t>
  </si>
  <si>
    <t>2026/03/18 14:44</t>
  </si>
  <si>
    <t>13,017,000</t>
  </si>
  <si>
    <t>10,322,000</t>
  </si>
  <si>
    <t>大日本ダイヤコンサルタント株式会社 関東支社</t>
  </si>
  <si>
    <t>5</t>
  </si>
  <si>
    <t>2026/05/20 14:28:58</t>
  </si>
  <si>
    <t>ダム等施設管理工事（アンカー健全度調査業務委託）Ｅブロック</t>
  </si>
  <si>
    <t>25000283242</t>
  </si>
  <si>
    <t>2026/03/18 14:36</t>
  </si>
  <si>
    <t>13,067,000</t>
  </si>
  <si>
    <t>10,217,000</t>
  </si>
  <si>
    <t>基礎地盤コンサルタンツ株式会社 北関東支店</t>
  </si>
  <si>
    <t>2026/05/20 14:29:00</t>
  </si>
  <si>
    <t>ダム等施設管理工事（アンカー健全度調査業務委託）Ｆブロック</t>
  </si>
  <si>
    <t>25000283460</t>
  </si>
  <si>
    <t>2026/03/18 14:29</t>
  </si>
  <si>
    <t>14,947,000</t>
  </si>
  <si>
    <t>11,721,000</t>
  </si>
  <si>
    <t>2026/05/20 14:29:02</t>
  </si>
  <si>
    <t>ダム等施設管理工事（アンカー健全度調査業務委託）ＧＨブロック</t>
  </si>
  <si>
    <t>25000283483</t>
  </si>
  <si>
    <t>2026/03/18 14:18</t>
  </si>
  <si>
    <t>15,206,000</t>
  </si>
  <si>
    <t>12,073,000</t>
  </si>
  <si>
    <t>中央開発株式会社 関東支店</t>
  </si>
  <si>
    <t>2026/05/20 14:29:04</t>
  </si>
  <si>
    <t>公園等施設補修工事（こども・乳牛コーナーほか再整備基本設計業務委託）</t>
  </si>
  <si>
    <t>25000290817</t>
  </si>
  <si>
    <t>2026/03/18 10:41</t>
  </si>
  <si>
    <t>18,131,000</t>
  </si>
  <si>
    <t>14,560,000</t>
  </si>
  <si>
    <t>埼玉県 都市整備部 営繕・公園事務所</t>
  </si>
  <si>
    <t>株式会社ジャパックス 埼玉営業所</t>
  </si>
  <si>
    <t>2026/05/20 14:29:07</t>
  </si>
  <si>
    <t>７釜兎設第１号管水路実施設計業務委託</t>
  </si>
  <si>
    <t>25000292643</t>
  </si>
  <si>
    <t>2026/03/18 10:25</t>
  </si>
  <si>
    <t>7,035,000</t>
  </si>
  <si>
    <t>8,300,000</t>
  </si>
  <si>
    <t>2026/05/20 14:29:12</t>
  </si>
  <si>
    <t>（ゼロ債務）舗装指定修繕工事（ＦＷＤ調査業務委託）</t>
  </si>
  <si>
    <t>25100157386</t>
  </si>
  <si>
    <t>2026/03/18 10:20</t>
  </si>
  <si>
    <t>5,886,000</t>
  </si>
  <si>
    <t>4,653,000</t>
  </si>
  <si>
    <t>埼玉県 県土整備部 北本県土整備事務所</t>
  </si>
  <si>
    <t>グリーン・コンサルタント株式会社 関東営業所</t>
  </si>
  <si>
    <t>2026/05/20 14:29:15</t>
  </si>
  <si>
    <t>河川改修（水辺）工事（元荒川〆切橋上流護岸設計業務委託）</t>
  </si>
  <si>
    <t>25000291567</t>
  </si>
  <si>
    <t>2026/03/17 13:58</t>
  </si>
  <si>
    <t>4,611,000</t>
  </si>
  <si>
    <t>3,708,000</t>
  </si>
  <si>
    <t>埼玉県 県土整備部 総合治水事務所</t>
  </si>
  <si>
    <t>17</t>
  </si>
  <si>
    <t>2026/05/20 14:29:17</t>
  </si>
  <si>
    <t>砂防施設事業工事（金崎工区地すべり調査業務委託その２）</t>
  </si>
  <si>
    <t>25000280673</t>
  </si>
  <si>
    <t>2026/03/17 13:45</t>
  </si>
  <si>
    <t>7,951,000</t>
  </si>
  <si>
    <t>6,276,000</t>
  </si>
  <si>
    <t>2026/05/20 14:29:19</t>
  </si>
  <si>
    <t>砂防施設事業工事（金崎工区地すべり調査業務委託その１）</t>
  </si>
  <si>
    <t>25000280655</t>
  </si>
  <si>
    <t>2026/03/17 13:37</t>
  </si>
  <si>
    <t>10,280,000</t>
  </si>
  <si>
    <t>8,145,000</t>
  </si>
  <si>
    <t>2026/05/20 14:29:21</t>
  </si>
  <si>
    <t>河改（（仮称）堀兼調節池概略設計）</t>
  </si>
  <si>
    <t>25100156462</t>
  </si>
  <si>
    <t>2026/03/17 13:03</t>
  </si>
  <si>
    <t>41,807,000</t>
  </si>
  <si>
    <t>2026/05/20 14:29:23</t>
  </si>
  <si>
    <t>（ゼロ債務）８中反地すべり防止施設詳細点検業務</t>
  </si>
  <si>
    <t>25100157411</t>
  </si>
  <si>
    <t>2026/03/16 09:20</t>
  </si>
  <si>
    <t>6,680,000</t>
  </si>
  <si>
    <t>5,236,000</t>
  </si>
  <si>
    <t>東日設計コンサルタント株式会社 北関東支店</t>
  </si>
  <si>
    <t>5,238,000</t>
  </si>
  <si>
    <t>2026/05/20 14:29:26</t>
  </si>
  <si>
    <t>（ゼロ債務）総委重）５２３１道改（道路詳細設計委託・和光工区）</t>
  </si>
  <si>
    <t>25000287537</t>
  </si>
  <si>
    <t>2026/03/13 16:48</t>
  </si>
  <si>
    <t>18,137,000</t>
  </si>
  <si>
    <t>14,570,000</t>
  </si>
  <si>
    <t>埼玉県 県土整備部 朝霞県土整備事務所</t>
  </si>
  <si>
    <t>2026/05/20 14:29:28</t>
  </si>
  <si>
    <t>道路改築工事（大滝トンネル工事監督支援業務委託その１４）</t>
  </si>
  <si>
    <t>25100157298</t>
  </si>
  <si>
    <t>2026/03/13 13:32</t>
  </si>
  <si>
    <t>8,657,000</t>
  </si>
  <si>
    <t>7,011,000</t>
  </si>
  <si>
    <t>埼玉県 県土整備部 西関東連絡道路建設事務所</t>
  </si>
  <si>
    <t>2026/05/20 14:29:30</t>
  </si>
  <si>
    <t>５６２３河改（水辺）（黒・河床低下対策整備検討委託）</t>
  </si>
  <si>
    <t>25000220520</t>
  </si>
  <si>
    <t>2026/03/13 10:07</t>
  </si>
  <si>
    <t>23,172,000</t>
  </si>
  <si>
    <t>2026/05/20 14:29:32</t>
  </si>
  <si>
    <t>７吉見－１５号吉見大和田地区産業団地実施設計その２業務委託</t>
  </si>
  <si>
    <t>25100157264</t>
  </si>
  <si>
    <t>2026/03/13 09:31</t>
  </si>
  <si>
    <t>14,762,000</t>
  </si>
  <si>
    <t>11,857,000</t>
  </si>
  <si>
    <t>埼玉県 企業局 地域整備事務所</t>
  </si>
  <si>
    <t>2026/05/20 14:29:38</t>
  </si>
  <si>
    <t>０２５新改第３０３号新三郷浄水場監視制御設備等更新設計業務委託</t>
  </si>
  <si>
    <t>25100156772</t>
  </si>
  <si>
    <t>2026/03/13 09:30</t>
  </si>
  <si>
    <t>70,200,000</t>
  </si>
  <si>
    <t>56,359,000</t>
  </si>
  <si>
    <t>株式会社建設技術研究所 関東事務所</t>
  </si>
  <si>
    <t>2026/05/20 14:29:40</t>
  </si>
  <si>
    <t>（ゼロ債務）０２５行受第６０１号 水門橋送水管移設設計業務委託</t>
  </si>
  <si>
    <t>25100157237</t>
  </si>
  <si>
    <t>2026/03/12 14:31</t>
  </si>
  <si>
    <t>10,310,000</t>
  </si>
  <si>
    <t>8,285,000</t>
  </si>
  <si>
    <t>埼玉県 企業局 行田浄水場</t>
  </si>
  <si>
    <t>2026/05/20 14:29:42</t>
  </si>
  <si>
    <t>（ゼロ債務）河川改修工事（小林調節池外・工事監督支援業務委託その２）</t>
  </si>
  <si>
    <t>25100157269</t>
  </si>
  <si>
    <t>2026/03/12 09:02</t>
  </si>
  <si>
    <t>11,955,000</t>
  </si>
  <si>
    <t>9,678,000</t>
  </si>
  <si>
    <t>日本振興株式会社 埼玉事務所</t>
  </si>
  <si>
    <t>2026/05/20 14:29:45</t>
  </si>
  <si>
    <t>（ゼロ債務）８上ミ治山地すべり調査業務</t>
  </si>
  <si>
    <t>25100157358</t>
  </si>
  <si>
    <t>2026/03/12 09:01</t>
  </si>
  <si>
    <t>13,310,000</t>
  </si>
  <si>
    <t>10,449,000</t>
  </si>
  <si>
    <t>2026/05/20 14:29:47</t>
  </si>
  <si>
    <t>ダム等施設管理工事（権現堂調節池 テレメータ設備等更新工設計業務委託）</t>
  </si>
  <si>
    <t>25000276516</t>
  </si>
  <si>
    <t>2026/03/12 08:42</t>
  </si>
  <si>
    <t>12,427,000</t>
  </si>
  <si>
    <t>9,985,000</t>
  </si>
  <si>
    <t>三井共同建設コンサルタント株式会社 北関東事務所</t>
  </si>
  <si>
    <t>2026/05/20 14:29:49</t>
  </si>
  <si>
    <t>（ゼロ債務）舗装道整備工事（ＦＷＤ調査業務委託その２）</t>
  </si>
  <si>
    <t>25100157214</t>
  </si>
  <si>
    <t>2026/03/11 15:44</t>
  </si>
  <si>
    <t>4,918,000</t>
  </si>
  <si>
    <t>3,885,000</t>
  </si>
  <si>
    <t>ニチレキ株式会社 埼玉営業所</t>
  </si>
  <si>
    <t>2026/05/20 14:29:51</t>
  </si>
  <si>
    <t>（ゼロ債務）舗装道整備工事（ＦＷＤ調査業務委託その１）</t>
  </si>
  <si>
    <t>25100157213</t>
  </si>
  <si>
    <t>2026/03/11 15:33</t>
  </si>
  <si>
    <t>4,935,000</t>
  </si>
  <si>
    <t>3,899,000</t>
  </si>
  <si>
    <t>2026/05/20 14:29:53</t>
  </si>
  <si>
    <t>砂防施設工事（落合沢外全体計画策定業務委託）</t>
  </si>
  <si>
    <t>25000271285</t>
  </si>
  <si>
    <t>2026/03/11 14:37</t>
  </si>
  <si>
    <t>13,014,000</t>
  </si>
  <si>
    <t>10,453,000</t>
  </si>
  <si>
    <t>株式会社ウエスコ 埼玉営業所</t>
  </si>
  <si>
    <t>2026/05/20 14:29:56</t>
  </si>
  <si>
    <t>道路構造物維持工事（Ｒ７秩父湖大橋・桟道橋詳細点検業務委託）</t>
  </si>
  <si>
    <t>25100157121</t>
  </si>
  <si>
    <t>2026/03/10 13:17</t>
  </si>
  <si>
    <t>19,501,000</t>
  </si>
  <si>
    <t>15,699,000</t>
  </si>
  <si>
    <t>44</t>
  </si>
  <si>
    <t>2026/05/20 14:29:58</t>
  </si>
  <si>
    <t>（ゼロ債務）５３１７橋りょう修繕工事（大口橋・大口橋側道橋補修設計業務委託）</t>
  </si>
  <si>
    <t>25100157125</t>
  </si>
  <si>
    <t>2026/03/10 10:02</t>
  </si>
  <si>
    <t>7,239,000</t>
  </si>
  <si>
    <t>5,817,000</t>
  </si>
  <si>
    <t>株式会社東洋シビル 本店</t>
  </si>
  <si>
    <t>2026/05/20 14:30:03</t>
  </si>
  <si>
    <t>河川改修工事（工事監督支援業務委託）７２２</t>
  </si>
  <si>
    <t>25300027429</t>
  </si>
  <si>
    <t>2026/03/06 15:07</t>
  </si>
  <si>
    <t>9,001,000</t>
  </si>
  <si>
    <t>7,286,000</t>
  </si>
  <si>
    <t>株式会社ＵＲリンケージ 埼玉事務所</t>
  </si>
  <si>
    <t>2026/05/20 14:30:06</t>
  </si>
  <si>
    <t>７久喜－３４号 工事監督支援その５業務委託</t>
  </si>
  <si>
    <t>25100157133</t>
  </si>
  <si>
    <t>2026/03/06 13:32</t>
  </si>
  <si>
    <t>12,908,000</t>
  </si>
  <si>
    <t>10,437,000</t>
  </si>
  <si>
    <t>2026/05/20 14:30:08</t>
  </si>
  <si>
    <t>道路改築工事（長尾根バイパス（トンネル関連）地表地質踏査業務委託）</t>
  </si>
  <si>
    <t>25000278924</t>
  </si>
  <si>
    <t>2026/03/06 13:31</t>
  </si>
  <si>
    <t>8,966,000</t>
  </si>
  <si>
    <t>7,200,000</t>
  </si>
  <si>
    <t>2026/05/20 14:30:10</t>
  </si>
  <si>
    <t>工事監督支援業務委託（Ｒ８前期）</t>
  </si>
  <si>
    <t>25100157150</t>
  </si>
  <si>
    <t>12,049,000</t>
  </si>
  <si>
    <t>9,761,000</t>
  </si>
  <si>
    <t>埼玉県 都市整備部 八潮新都市建設事務所</t>
  </si>
  <si>
    <t>2026/05/20 14:30:12</t>
  </si>
  <si>
    <t>（ゼロ債務）社資交（改築）工事（橋りょう設計業務委託）１２５</t>
  </si>
  <si>
    <t>25100157141</t>
  </si>
  <si>
    <t>2026/03/06 13:22</t>
  </si>
  <si>
    <t>17,196,000</t>
  </si>
  <si>
    <t>13,813,000</t>
  </si>
  <si>
    <t>株式会社日本海コンサルタント 関東支店</t>
  </si>
  <si>
    <t>58</t>
  </si>
  <si>
    <t>2026/05/20 14:30:14</t>
  </si>
  <si>
    <t>ダム等施設管理工事（権現堂調節池 監視制御設備更新工設計業務委託）</t>
  </si>
  <si>
    <t>25000276501</t>
  </si>
  <si>
    <t>2026/03/06 09:23</t>
  </si>
  <si>
    <t>17,744,000</t>
  </si>
  <si>
    <t>14,249,000</t>
  </si>
  <si>
    <t>2026/05/20 14:30:16</t>
  </si>
  <si>
    <t>（ゼロ債務）８飯森治山測量設計業務</t>
  </si>
  <si>
    <t>25100157207</t>
  </si>
  <si>
    <t>2026/03/06 09:06</t>
  </si>
  <si>
    <t>4,060,000</t>
  </si>
  <si>
    <t>3,251,000</t>
  </si>
  <si>
    <t>一般社団法人埼玉県治山林道協会 本店</t>
  </si>
  <si>
    <t>3,750,000</t>
  </si>
  <si>
    <t>2026/05/20 14:30:19</t>
  </si>
  <si>
    <t>（ゼロ債務）総委重）道路改築工事（長尾根バイパス橋梁詳細設計業務委託）</t>
  </si>
  <si>
    <t>25100156581</t>
  </si>
  <si>
    <t>2026/03/05 15:30</t>
  </si>
  <si>
    <t>55,718,000</t>
  </si>
  <si>
    <t>44,737,000</t>
  </si>
  <si>
    <t>2026/05/20 14:30:21</t>
  </si>
  <si>
    <t>（ゼロ債務）砂防維持修繕工事（猪俣川測量設計業務委託）</t>
  </si>
  <si>
    <t>25100157181</t>
  </si>
  <si>
    <t>2026/03/05 13:50</t>
  </si>
  <si>
    <t>3,329,000</t>
  </si>
  <si>
    <t>2,623,000</t>
  </si>
  <si>
    <t>株式会社間正測量設計事務所 本店</t>
  </si>
  <si>
    <t>3,070,000</t>
  </si>
  <si>
    <t>2026/05/20 14:30:23</t>
  </si>
  <si>
    <t>南部流域処理場機械濃縮設備補機ポンプ等改築実施設計業務委託</t>
  </si>
  <si>
    <t>25200157178</t>
  </si>
  <si>
    <t>2026/03/05 13:33</t>
  </si>
  <si>
    <t>17,337,000</t>
  </si>
  <si>
    <t>13,936,000</t>
  </si>
  <si>
    <t>2026/05/20 14:30:29</t>
  </si>
  <si>
    <t>砂防維持修繕工事（工事監督支援業務委託Ｒ８）</t>
  </si>
  <si>
    <t>25000279153</t>
  </si>
  <si>
    <t>2026/03/05 13:21</t>
  </si>
  <si>
    <t>8,475,000</t>
  </si>
  <si>
    <t>6,861,000</t>
  </si>
  <si>
    <t>2026/05/20 14:30:31</t>
  </si>
  <si>
    <t>河川改修工事（忍川・工事監督支援業務委託その４）</t>
  </si>
  <si>
    <t>25000266503</t>
  </si>
  <si>
    <t>2026/03/05 09:30</t>
  </si>
  <si>
    <t>12,469,000</t>
  </si>
  <si>
    <t>10,094,000</t>
  </si>
  <si>
    <t>2026/05/20 14:30:33</t>
  </si>
  <si>
    <t>（ゼロ債務）自転車通行工事（路面標示設計業務委託・愛宕工区）</t>
  </si>
  <si>
    <t>25100157136</t>
  </si>
  <si>
    <t>2026/03/04 10:40</t>
  </si>
  <si>
    <t>7,755,000</t>
  </si>
  <si>
    <t>6,231,000</t>
  </si>
  <si>
    <t>塩川設計測量株式会社 本店</t>
  </si>
  <si>
    <t>2026/05/20 14:30:35</t>
  </si>
  <si>
    <t>（ゼロ債務）自転車通行工事（路面標示設計業務委託・中妻工区）</t>
  </si>
  <si>
    <t>25100157135</t>
  </si>
  <si>
    <t>2026/03/04 10:20</t>
  </si>
  <si>
    <t>8,567,000</t>
  </si>
  <si>
    <t>6,883,000</t>
  </si>
  <si>
    <t>埼玉コンサルタント株式会社 本店</t>
  </si>
  <si>
    <t>2026/05/20 14:30:37</t>
  </si>
  <si>
    <t>（ゼロ債務）自歩道整備工事（小敷谷交差点修正設計業務委託）</t>
  </si>
  <si>
    <t>25100157127</t>
  </si>
  <si>
    <t>2026/03/04 10:00</t>
  </si>
  <si>
    <t>9,009,000</t>
  </si>
  <si>
    <t>7,201,000</t>
  </si>
  <si>
    <t>株式会社アドバンス 本店</t>
  </si>
  <si>
    <t>7,900,000</t>
  </si>
  <si>
    <t>2026/05/20 14:30:40</t>
  </si>
  <si>
    <t>自転車歩行者道整備工事（阿須工区道路測量設計業務委託）</t>
  </si>
  <si>
    <t>25000261860</t>
  </si>
  <si>
    <t>2026/03/03 14:00</t>
  </si>
  <si>
    <t>5,532,000</t>
  </si>
  <si>
    <t>4,410,000</t>
  </si>
  <si>
    <t>株式会社セントラル測量 本店</t>
  </si>
  <si>
    <t>5,150,000</t>
  </si>
  <si>
    <t>2026/05/20 14:30:42</t>
  </si>
  <si>
    <t>橋りょう架換工事（建武橋道路付属物設計業務委託）</t>
  </si>
  <si>
    <t>25100157065</t>
  </si>
  <si>
    <t>2026/03/03 13:50</t>
  </si>
  <si>
    <t>6,620,000</t>
  </si>
  <si>
    <t>5,320,000</t>
  </si>
  <si>
    <t>2026/05/20 14:30:44</t>
  </si>
  <si>
    <t>道路改築工事（秩父公園橋交差点交通量調査業務委託）</t>
  </si>
  <si>
    <t>25100157122</t>
  </si>
  <si>
    <t>2026/03/03 13:25</t>
  </si>
  <si>
    <t>3,379,000</t>
  </si>
  <si>
    <t>2,597,000</t>
  </si>
  <si>
    <t>秩父測量設計株式会社 本店</t>
  </si>
  <si>
    <t>3,140,000</t>
  </si>
  <si>
    <t>2026/05/20 14:30:46</t>
  </si>
  <si>
    <t>（ゼロ債務）５６４６災害防除工事（土留修繕設計業務委託）</t>
  </si>
  <si>
    <t>25100157131</t>
  </si>
  <si>
    <t>2026/03/02 13:40</t>
  </si>
  <si>
    <t>3,203,000</t>
  </si>
  <si>
    <t>2,576,000</t>
  </si>
  <si>
    <t>株式会社建設技術センター 本店</t>
  </si>
  <si>
    <t>2026/05/20 14:30:49</t>
  </si>
  <si>
    <t>５６４１道路環境整備工事（鳩ヶ谷地下道側道冠水対策設計業務委託）</t>
  </si>
  <si>
    <t>25000277174</t>
  </si>
  <si>
    <t>2026/03/02 13:30</t>
  </si>
  <si>
    <t>7,736,000</t>
  </si>
  <si>
    <t>6,217,000</t>
  </si>
  <si>
    <t>2026/05/20 14:30:54</t>
  </si>
  <si>
    <t>道環境（４６３ＢＰ冠水状況調査）</t>
  </si>
  <si>
    <t>25100157158</t>
  </si>
  <si>
    <t>2026/03/02 13:29</t>
  </si>
  <si>
    <t>5,354,000</t>
  </si>
  <si>
    <t>4,299,000</t>
  </si>
  <si>
    <t>三協測量設計株式会社 本店</t>
  </si>
  <si>
    <t>4,980,000</t>
  </si>
  <si>
    <t>2026/05/20 14:30:56</t>
  </si>
  <si>
    <t>交差点（所沢青梅（北野天神前）修正測量設計）</t>
  </si>
  <si>
    <t>25100157155</t>
  </si>
  <si>
    <t>2026/03/02 13:23</t>
  </si>
  <si>
    <t>8,608,000</t>
  </si>
  <si>
    <t>6,780,000</t>
  </si>
  <si>
    <t>司測量設計調査株式会社 本店</t>
  </si>
  <si>
    <t>8,000,000</t>
  </si>
  <si>
    <t>2026/05/20 14:30:59</t>
  </si>
  <si>
    <t>道路改築工事（費用便益分析業務委託）</t>
  </si>
  <si>
    <t>25000278951</t>
  </si>
  <si>
    <t>2026/02/27 14:01</t>
  </si>
  <si>
    <t>1,646,000</t>
  </si>
  <si>
    <t>2026/05/20 14:31:01</t>
  </si>
  <si>
    <t>道路改築工事（長尾根バイパス環境調査業務委託その２）</t>
  </si>
  <si>
    <t>25000270509</t>
  </si>
  <si>
    <t>2026/02/27 13:45</t>
  </si>
  <si>
    <t>9,271,000</t>
  </si>
  <si>
    <t>7,444,000</t>
  </si>
  <si>
    <t>32</t>
  </si>
  <si>
    <t>2026/05/20 14:31:03</t>
  </si>
  <si>
    <t>道路改築工事（長尾根バイパス環境調査業務委託その１）</t>
  </si>
  <si>
    <t>25000270476</t>
  </si>
  <si>
    <t>2026/02/27 13:31</t>
  </si>
  <si>
    <t>11,000,000</t>
  </si>
  <si>
    <t>8,831,000</t>
  </si>
  <si>
    <t>東洋技研コンサルタント株式会社 埼玉営業所</t>
  </si>
  <si>
    <t>31</t>
  </si>
  <si>
    <t>2026/05/20 14:31:05</t>
  </si>
  <si>
    <t>道路改築工事（積算技術業務委託その２）</t>
  </si>
  <si>
    <t>25000267694</t>
  </si>
  <si>
    <t>2026/02/26 15:31</t>
  </si>
  <si>
    <t>11,383,000</t>
  </si>
  <si>
    <t>9,137,000</t>
  </si>
  <si>
    <t>2026/05/20 14:31:07</t>
  </si>
  <si>
    <t>道路改築工事（積算技術業務委託その１）</t>
  </si>
  <si>
    <t>25000268025</t>
  </si>
  <si>
    <t>2026/02/26 15:02</t>
  </si>
  <si>
    <t>11,537,000</t>
  </si>
  <si>
    <t>9,261,000</t>
  </si>
  <si>
    <t>株式会社セリオス 埼玉営業所</t>
  </si>
  <si>
    <t>2026/05/20 14:31:09</t>
  </si>
  <si>
    <t>道路改築工事（積算技術業務委託その５）</t>
  </si>
  <si>
    <t>25000267761</t>
  </si>
  <si>
    <t>2026/02/26 14:31</t>
  </si>
  <si>
    <t>11,921,000</t>
  </si>
  <si>
    <t>9,569,000</t>
  </si>
  <si>
    <t>2026/05/20 14:31:12</t>
  </si>
  <si>
    <t>道路改築工事（積算技術業務委託その３）</t>
  </si>
  <si>
    <t>25000268115</t>
  </si>
  <si>
    <t>2026/02/26 14:03</t>
  </si>
  <si>
    <t>13,867,000</t>
  </si>
  <si>
    <t>11,131,000</t>
  </si>
  <si>
    <t>2026/05/20 14:31:14</t>
  </si>
  <si>
    <t>道路改築工事（積算技術業務委託その４）</t>
  </si>
  <si>
    <t>25000267705</t>
  </si>
  <si>
    <t>2026/02/26 13:35</t>
  </si>
  <si>
    <t>14,308,000</t>
  </si>
  <si>
    <t>11,484,000</t>
  </si>
  <si>
    <t>2026/05/20 14:31:19</t>
  </si>
  <si>
    <t>５３１８社会資本整備総合交付金（交通安全）工事（歩道詳細設計業務委託）</t>
  </si>
  <si>
    <t>25000266990</t>
  </si>
  <si>
    <t>2026/02/26 11:05</t>
  </si>
  <si>
    <t>9,204,000</t>
  </si>
  <si>
    <t>7,307,000</t>
  </si>
  <si>
    <t>ＮｉＸＪＡＰＡＮ株式会社 埼玉営業所</t>
  </si>
  <si>
    <t>25</t>
  </si>
  <si>
    <t>2026/05/20 14:31:22</t>
  </si>
  <si>
    <t>砂防施設（補助）工事（下モ地すべり概成判断業務委託）</t>
  </si>
  <si>
    <t>25000273260</t>
  </si>
  <si>
    <t>2026/02/25 13:22</t>
  </si>
  <si>
    <t>5,726,000</t>
  </si>
  <si>
    <t>4,503,000</t>
  </si>
  <si>
    <t>株式会社オオバ 北関東支店</t>
  </si>
  <si>
    <t>2026/05/20 14:31:24</t>
  </si>
  <si>
    <t>砂防施設（補助）工事（Ｒ８空堀川地すべり観測業務委託）</t>
  </si>
  <si>
    <t>25000273264</t>
  </si>
  <si>
    <t>2026/02/25 13:12</t>
  </si>
  <si>
    <t>9,046,000</t>
  </si>
  <si>
    <t>7,155,000</t>
  </si>
  <si>
    <t>2026/05/20 14:31:26</t>
  </si>
  <si>
    <t>総委重）砂防施設（補助）工事（Ｒ８上の山地すべり観測業務委託）</t>
  </si>
  <si>
    <t>25000266611</t>
  </si>
  <si>
    <t>2026/02/25 13:09</t>
  </si>
  <si>
    <t>18,105,000</t>
  </si>
  <si>
    <t>14,458,000</t>
  </si>
  <si>
    <t>日本工営株式会社 北関東事務所</t>
  </si>
  <si>
    <t>2026/05/20 14:31:28</t>
  </si>
  <si>
    <t>（ゼロ債務）河川改修工事（飯盛川排水機場操作規則検討業務委託）</t>
  </si>
  <si>
    <t>25100156830</t>
  </si>
  <si>
    <t>2026/02/24 14:09</t>
  </si>
  <si>
    <t>14,849,000</t>
  </si>
  <si>
    <t>11,919,000</t>
  </si>
  <si>
    <t>株式会社ニュージェック 埼玉事務所</t>
  </si>
  <si>
    <t>2026/05/20 14:31:30</t>
  </si>
  <si>
    <t>社資（維持）工事（久那工区測量設計業務委託）</t>
  </si>
  <si>
    <t>25000266711</t>
  </si>
  <si>
    <t>2026/02/24 13:51</t>
  </si>
  <si>
    <t>5,612,000</t>
  </si>
  <si>
    <t>4,414,000</t>
  </si>
  <si>
    <t>株式会社間瀬コンサルタント 北関東営業所</t>
  </si>
  <si>
    <t>2026/05/20 14:31:32</t>
  </si>
  <si>
    <t>南部流域荒川中継汚水ポンプ設備改築実施設計業務委託（ＤＸ）</t>
  </si>
  <si>
    <t>25200156924</t>
  </si>
  <si>
    <t>2026/02/20 13:31</t>
  </si>
  <si>
    <t>15,195,000</t>
  </si>
  <si>
    <t>12,213,000</t>
  </si>
  <si>
    <t>中日本建設コンサルタント株式会社 北関東事務所</t>
  </si>
  <si>
    <t>12,248,000</t>
  </si>
  <si>
    <t>2026/05/20 14:31:35</t>
  </si>
  <si>
    <t>（ゼロ債務）河改（新河岸川護岸設計）</t>
  </si>
  <si>
    <t>25100157001</t>
  </si>
  <si>
    <t>5,828,000</t>
  </si>
  <si>
    <t>4,602,000</t>
  </si>
  <si>
    <t>4,608,000</t>
  </si>
  <si>
    <t>2026/05/20 14:31:37</t>
  </si>
  <si>
    <t>（ゼロ債務）舗装道（舗装たわみ量調査）</t>
  </si>
  <si>
    <t>25100156973</t>
  </si>
  <si>
    <t>2026/02/20 13:22</t>
  </si>
  <si>
    <t>7,171,000</t>
  </si>
  <si>
    <t>5,671,000</t>
  </si>
  <si>
    <t>2026/05/20 14:31:39</t>
  </si>
  <si>
    <t>５１２０街整（スクラム）（土地利用履歴調査委託）</t>
  </si>
  <si>
    <t>25000270403</t>
  </si>
  <si>
    <t>2026/02/20 13:11</t>
  </si>
  <si>
    <t>2,815,000</t>
  </si>
  <si>
    <t>2,261,000</t>
  </si>
  <si>
    <t>株式会社アースリサーチ 本店</t>
  </si>
  <si>
    <t>2026/05/20 14:31:46</t>
  </si>
  <si>
    <t>（ゼロ債務）総委重）河川改修工事（小山川堤防強化設計業務委託その２）７６９</t>
  </si>
  <si>
    <t>25338778722</t>
  </si>
  <si>
    <t>2026/02/19 14:22</t>
  </si>
  <si>
    <t>15,391,000</t>
  </si>
  <si>
    <t>12,364,000</t>
  </si>
  <si>
    <t>20</t>
  </si>
  <si>
    <t>2026/05/20 14:31:48</t>
  </si>
  <si>
    <t>（ゼロ債務）総委重）河川改修工事（小山川堤防強化設計業務委託その１）７６８</t>
  </si>
  <si>
    <t>25338778720</t>
  </si>
  <si>
    <t>2026/02/19 14:12</t>
  </si>
  <si>
    <t>2026/05/20 14:31:50</t>
  </si>
  <si>
    <t>（ゼロ債務）舗装道整備工事（ＦＷＤ調査業務委託）５２５</t>
  </si>
  <si>
    <t>25100156796</t>
  </si>
  <si>
    <t>2026/02/19 13:36</t>
  </si>
  <si>
    <t>7,214,000</t>
  </si>
  <si>
    <t>5,615,000</t>
  </si>
  <si>
    <t>2026/05/20 14:31:52</t>
  </si>
  <si>
    <t>（ゼロ債務）道路改築工事（パイプライン移設設計業務委託）</t>
  </si>
  <si>
    <t>25100156607</t>
  </si>
  <si>
    <t>2026/02/19 12:30</t>
  </si>
  <si>
    <t>12,072,000</t>
  </si>
  <si>
    <t>9,697,000</t>
  </si>
  <si>
    <t>2026/05/20 14:31:54</t>
  </si>
  <si>
    <t>（ゼロ債務）総委重）河川改修工事（原市沼川事業評価業務委託）</t>
  </si>
  <si>
    <t>25100156769</t>
  </si>
  <si>
    <t>2026/02/18 14:45</t>
  </si>
  <si>
    <t>5,568,000</t>
  </si>
  <si>
    <t>4,471,000</t>
  </si>
  <si>
    <t>八千代エンジニヤリング株式会社 関東センター</t>
  </si>
  <si>
    <t>2026/05/20 14:31:57</t>
  </si>
  <si>
    <t>（ゼロ債務）総委重）河川改修工事（白子川・笹目川事業評価業務委託）</t>
  </si>
  <si>
    <t>25100156768</t>
  </si>
  <si>
    <t>2026/02/18 14:21</t>
  </si>
  <si>
    <t>7,019,000</t>
  </si>
  <si>
    <t>5,636,000</t>
  </si>
  <si>
    <t>2026/05/20 14:31:59</t>
  </si>
  <si>
    <t>（ゼロ債務）総委重）河川改修工事（越辺川事業評価業務委託）</t>
  </si>
  <si>
    <t>25100156767</t>
  </si>
  <si>
    <t>2026/02/18 14:02</t>
  </si>
  <si>
    <t>15,024,000</t>
  </si>
  <si>
    <t>12,061,000</t>
  </si>
  <si>
    <t>2026/05/20 14:32:01</t>
  </si>
  <si>
    <t>総委重）社資（河川）工事（綾瀬川横根地区樋管詳細設計業務委託その５）</t>
  </si>
  <si>
    <t>25000248855</t>
  </si>
  <si>
    <t>2026/02/18 13:45</t>
  </si>
  <si>
    <t>17,911,000</t>
  </si>
  <si>
    <t>14,389,000</t>
  </si>
  <si>
    <t>2026/05/20 14:32:03</t>
  </si>
  <si>
    <t>南部流域処理場ほか直流電源設備等改築実施設計業務委託</t>
  </si>
  <si>
    <t>25200156838</t>
  </si>
  <si>
    <t>2026/02/18 13:33</t>
  </si>
  <si>
    <t>10,461,000</t>
  </si>
  <si>
    <t>8,403,000</t>
  </si>
  <si>
    <t>2026/05/20 14:32:05</t>
  </si>
  <si>
    <t>総委重）社資（河川）工事（綾瀬川横根地区樋管詳細設計業務委託その４）</t>
  </si>
  <si>
    <t>25000248777</t>
  </si>
  <si>
    <t>2026/02/18 13:25</t>
  </si>
  <si>
    <t>2026/05/20 14:32:11</t>
  </si>
  <si>
    <t>総委重）砂防施設事業工事（栗尾沢堰堤改築詳細設計業務委託）</t>
  </si>
  <si>
    <t>25000247677</t>
  </si>
  <si>
    <t>2026/02/17 14:07</t>
  </si>
  <si>
    <t>11,336,000</t>
  </si>
  <si>
    <t>9,106,000</t>
  </si>
  <si>
    <t>株式会社東京建設コンサルタント 埼玉事務所</t>
  </si>
  <si>
    <t>2026/05/20 14:32:13</t>
  </si>
  <si>
    <t>総委重）砂防施設事業工事（城峯沢堰堤改築詳細設計業務委託）</t>
  </si>
  <si>
    <t>25000247724</t>
  </si>
  <si>
    <t>2026/02/17 14:02</t>
  </si>
  <si>
    <t>12,869,000</t>
  </si>
  <si>
    <t>10,336,000</t>
  </si>
  <si>
    <t>2026/05/20 14:32:15</t>
  </si>
  <si>
    <t>総委重）橋補（公共）（北山田歩道橋外２橋補修設計）</t>
  </si>
  <si>
    <t>25100156699</t>
  </si>
  <si>
    <t>2026/02/16 13:30</t>
  </si>
  <si>
    <t>15,813,000</t>
  </si>
  <si>
    <t>12,703,000</t>
  </si>
  <si>
    <t>2026/05/20 14:32:18</t>
  </si>
  <si>
    <t>河川改修工事（新方川護岸修正設計業務委託）</t>
  </si>
  <si>
    <t>25000256351</t>
  </si>
  <si>
    <t>2026/02/16 13:20</t>
  </si>
  <si>
    <t>2,800,000</t>
  </si>
  <si>
    <t>2,252,000</t>
  </si>
  <si>
    <t>2026/05/20 14:32:20</t>
  </si>
  <si>
    <t>総委重）電線地中化（道路）整備工事（第２次埼玉県無電柱化推進計画改訂支援業務委託）</t>
  </si>
  <si>
    <t>25100156746</t>
  </si>
  <si>
    <t>2026/02/13 14:04</t>
  </si>
  <si>
    <t>21,226,000</t>
  </si>
  <si>
    <t>17,042,000</t>
  </si>
  <si>
    <t>2026/05/20 14:32:22</t>
  </si>
  <si>
    <t>河川改修工事（気候変動を踏まえた治水計画検討業務委託その１）</t>
  </si>
  <si>
    <t>25000190309</t>
  </si>
  <si>
    <t>2026/02/13 13:41</t>
  </si>
  <si>
    <t>31,961,000</t>
  </si>
  <si>
    <t>2026/05/20 14:32:24</t>
  </si>
  <si>
    <t>（ゼロ債務）５１１６交差点整備工事（測量設計業務委託）</t>
  </si>
  <si>
    <t>25100156794</t>
  </si>
  <si>
    <t>2026/02/13 13:40</t>
  </si>
  <si>
    <t>7,727,000</t>
  </si>
  <si>
    <t>6,072,000</t>
  </si>
  <si>
    <t>2026/05/20 14:32:26</t>
  </si>
  <si>
    <t>橋りょう修繕工事（積算技術業務委託その３）</t>
  </si>
  <si>
    <t>25000253615</t>
  </si>
  <si>
    <t>2026/02/12 14:34</t>
  </si>
  <si>
    <t>11,609,000</t>
  </si>
  <si>
    <t>9,318,000</t>
  </si>
  <si>
    <t>株式会社アジア共同設計コンサルタント 埼玉支店</t>
  </si>
  <si>
    <t>2026/05/20 14:32:29</t>
  </si>
  <si>
    <t>橋りょう修繕工事（積算技術業務委託その２）</t>
  </si>
  <si>
    <t>25000253688</t>
  </si>
  <si>
    <t>2026/02/12 14:19</t>
  </si>
  <si>
    <t>2026/05/20 14:32:31</t>
  </si>
  <si>
    <t>河川改修調査工事（河川計画資料等管理システム更新業務委託その２）</t>
  </si>
  <si>
    <t>25000255158</t>
  </si>
  <si>
    <t>2026/02/12 13:44</t>
  </si>
  <si>
    <t>8,517,000</t>
  </si>
  <si>
    <t>6,838,000</t>
  </si>
  <si>
    <t>2026/05/20 14:32:37</t>
  </si>
  <si>
    <t>橋りょう修繕工事（積算技術業務委託その１）</t>
  </si>
  <si>
    <t>25000253598</t>
  </si>
  <si>
    <t>2026/02/12 13:34</t>
  </si>
  <si>
    <t>14,582,000</t>
  </si>
  <si>
    <t>11,704,000</t>
  </si>
  <si>
    <t>2026/05/20 14:32:39</t>
  </si>
  <si>
    <t>河川改修調査工事（河川計画資料等管理システム更新業務委託その１）</t>
  </si>
  <si>
    <t>25000255114</t>
  </si>
  <si>
    <t>2026/02/12 13:23</t>
  </si>
  <si>
    <t>第一測量設計株式会社 本店</t>
  </si>
  <si>
    <t>2026/05/20 14:32:41</t>
  </si>
  <si>
    <t>社資交付金（路面下空洞調査業務委託その２）</t>
  </si>
  <si>
    <t>25100156560</t>
  </si>
  <si>
    <t>2026/02/12 10:07</t>
  </si>
  <si>
    <t>79,151,000</t>
  </si>
  <si>
    <t>63,303,000</t>
  </si>
  <si>
    <t>ジオ・サーチ株式会社 埼玉事務所</t>
  </si>
  <si>
    <t>2026/05/20 14:32:43</t>
  </si>
  <si>
    <t>社資交付金（路面下空洞調査業務委託その１）</t>
  </si>
  <si>
    <t>25100156559</t>
  </si>
  <si>
    <t>2026/02/12 09:35</t>
  </si>
  <si>
    <t>82,659,000</t>
  </si>
  <si>
    <t>66,120,000</t>
  </si>
  <si>
    <t>4</t>
  </si>
  <si>
    <t>2026/05/20 14:32:45</t>
  </si>
  <si>
    <t>道路改築工事（皆野寄居ＢＰ防草対策検討業務委託）</t>
  </si>
  <si>
    <t>25000252951</t>
  </si>
  <si>
    <t>2026/02/10 13:46</t>
  </si>
  <si>
    <t>3,991,000</t>
  </si>
  <si>
    <t>3,208,000</t>
  </si>
  <si>
    <t>株式会社ヤマホン 本店</t>
  </si>
  <si>
    <t>3,700,000</t>
  </si>
  <si>
    <t>2026/05/20 14:32:47</t>
  </si>
  <si>
    <t>道路改築工事（贄川工区水路設計業務委託）</t>
  </si>
  <si>
    <t>25000252094</t>
  </si>
  <si>
    <t>2026/02/10 13:40</t>
  </si>
  <si>
    <t>6,263,000</t>
  </si>
  <si>
    <t>5,034,000</t>
  </si>
  <si>
    <t>株式会社福山コンサルタント 埼玉営業所</t>
  </si>
  <si>
    <t>2026/05/20 14:32:50</t>
  </si>
  <si>
    <t>（ゼロ債務）８山中治山測量設計業務委託</t>
  </si>
  <si>
    <t>25100156695</t>
  </si>
  <si>
    <t>2026/02/09 14:00</t>
  </si>
  <si>
    <t>4,050,000</t>
  </si>
  <si>
    <t>3,235,000</t>
  </si>
  <si>
    <t>埼玉県 農林部 川越農林振興センター</t>
  </si>
  <si>
    <t>3,780,000</t>
  </si>
  <si>
    <t>2026/05/20 14:32:52</t>
  </si>
  <si>
    <t>道路安全施設工事（黒岩工区張出歩道補修設計業務委託）</t>
  </si>
  <si>
    <t>25000248177</t>
  </si>
  <si>
    <t>2026/02/09 13:30</t>
  </si>
  <si>
    <t>12,215,000</t>
  </si>
  <si>
    <t>9,815,000</t>
  </si>
  <si>
    <t>日本エンジニアリング株式会社 埼玉営業所</t>
  </si>
  <si>
    <t>2026/05/20 14:32:54</t>
  </si>
  <si>
    <t>砂防維持修繕工事（霞川測量設計業務委託）</t>
  </si>
  <si>
    <t>25000250150</t>
  </si>
  <si>
    <t>2026/02/09 13:20</t>
  </si>
  <si>
    <t>16,899,000</t>
  </si>
  <si>
    <t>13,446,000</t>
  </si>
  <si>
    <t>株式会社チーム関東 本店</t>
  </si>
  <si>
    <t>2026/05/20 14:32:56</t>
  </si>
  <si>
    <t>（ゼロ債務）川の再生推進工事（スロープ護岸詳細設計業務委託）</t>
  </si>
  <si>
    <t>25100156465</t>
  </si>
  <si>
    <t>2026/02/06 13:40</t>
  </si>
  <si>
    <t>4,256,000</t>
  </si>
  <si>
    <t>3,422,000</t>
  </si>
  <si>
    <t>2026/05/20 14:33:02</t>
  </si>
  <si>
    <t>（ゼロ債務）総委重）街路改良（公共）工事（袋陣屋線電線共同溝詳細設計業務委託）</t>
  </si>
  <si>
    <t>25100156532</t>
  </si>
  <si>
    <t>2026/02/06 13:36</t>
  </si>
  <si>
    <t>14,794,000</t>
  </si>
  <si>
    <t>11,885,000</t>
  </si>
  <si>
    <t>埼玉県 県土整備部 鉄道高架建設事務所</t>
  </si>
  <si>
    <t>2026/05/20 14:33:04</t>
  </si>
  <si>
    <t>総委重）河改（入間川河床変動解析）</t>
  </si>
  <si>
    <t>25000253166</t>
  </si>
  <si>
    <t>2026/02/06 13:30</t>
  </si>
  <si>
    <t>18,081,000</t>
  </si>
  <si>
    <t>14,512,000</t>
  </si>
  <si>
    <t>2026/05/20 14:33:06</t>
  </si>
  <si>
    <t>（ゼロ債務）５３４３舗装道（ＦＷＤ調査委託）</t>
  </si>
  <si>
    <t>25000256612</t>
  </si>
  <si>
    <t>2026/02/06 13:17</t>
  </si>
  <si>
    <t>3,631,000</t>
  </si>
  <si>
    <t>2,859,000</t>
  </si>
  <si>
    <t>株式会社パスコ さいたま支店</t>
  </si>
  <si>
    <t>2026/05/20 14:33:08</t>
  </si>
  <si>
    <t>公園等施設補修工事（こども・恐竜コーナー再整備基本設計業務委託）</t>
  </si>
  <si>
    <t>25000242401</t>
  </si>
  <si>
    <t>2026/02/06 10:12</t>
  </si>
  <si>
    <t>15,203,000</t>
  </si>
  <si>
    <t>12,210,000</t>
  </si>
  <si>
    <t>2026/05/20 14:33:10</t>
  </si>
  <si>
    <t>総委重）５４４９河川改修（水辺）工事（鴻沼川護岸修繕設計業務委託）</t>
  </si>
  <si>
    <t>25000247302</t>
  </si>
  <si>
    <t>2026/02/05 14:18</t>
  </si>
  <si>
    <t>8,736,000</t>
  </si>
  <si>
    <t>7,021,000</t>
  </si>
  <si>
    <t>2026/05/20 14:33:13</t>
  </si>
  <si>
    <t>（ゼロ債務）橋りょう修繕工事（新上宿橋補修設計業務委託）</t>
  </si>
  <si>
    <t>25100156517</t>
  </si>
  <si>
    <t>2026/02/05 13:47</t>
  </si>
  <si>
    <t>9,368,000</t>
  </si>
  <si>
    <t>7,526,000</t>
  </si>
  <si>
    <t>71</t>
  </si>
  <si>
    <t>2026/05/20 14:33:15</t>
  </si>
  <si>
    <t>（ゼロ債務）橋りょう架換工事（往還橋・橋りょう予備設計業務委託）</t>
  </si>
  <si>
    <t>25100156798</t>
  </si>
  <si>
    <t>2026/02/05 13:46</t>
  </si>
  <si>
    <t>7,902,000</t>
  </si>
  <si>
    <t>6,350,000</t>
  </si>
  <si>
    <t>ピーシー技研株式会社 本店</t>
  </si>
  <si>
    <t>2026/05/20 14:33:17</t>
  </si>
  <si>
    <t>５９８２河川改修工事（芝川積算技術業務委託）</t>
  </si>
  <si>
    <t>25000248738</t>
  </si>
  <si>
    <t>2026/02/05 13:32</t>
  </si>
  <si>
    <t>13,481,000</t>
  </si>
  <si>
    <t>10,816,000</t>
  </si>
  <si>
    <t>2026/05/20 14:33:19</t>
  </si>
  <si>
    <t>橋りょう修繕工事（上ノ谷橋耐震補強修正設計業務委託）４２２</t>
  </si>
  <si>
    <t>25000243731</t>
  </si>
  <si>
    <t>2026/02/05 13:08</t>
  </si>
  <si>
    <t>13,658,000</t>
  </si>
  <si>
    <t>10,971,000</t>
  </si>
  <si>
    <t>富士コンサルタンツ株式会社 埼玉営業所</t>
  </si>
  <si>
    <t>51</t>
  </si>
  <si>
    <t>2026/05/20 14:33:21</t>
  </si>
  <si>
    <t>（ゼロ債務）５３１６街路整備工事（道路詳細設計業務委託）</t>
  </si>
  <si>
    <t>25100156546</t>
  </si>
  <si>
    <t>2026/02/05 13:01</t>
  </si>
  <si>
    <t>8,118,000</t>
  </si>
  <si>
    <t>6,524,000</t>
  </si>
  <si>
    <t>いであ株式会社 北関東営業所</t>
  </si>
  <si>
    <t>2026/05/20 14:33:27</t>
  </si>
  <si>
    <t>道路構造物維持工事（橋りょう詳細点検業務委託Ｒ７－５）</t>
  </si>
  <si>
    <t>25100156339</t>
  </si>
  <si>
    <t>2026/02/03 13:45</t>
  </si>
  <si>
    <t>11,592,000</t>
  </si>
  <si>
    <t>9,335,000</t>
  </si>
  <si>
    <t>43</t>
  </si>
  <si>
    <t>2026/05/20 14:33:29</t>
  </si>
  <si>
    <t>５５０９河改（新・護岸実施設計委託）</t>
  </si>
  <si>
    <t>25000251090</t>
  </si>
  <si>
    <t>2026/01/30 13:03</t>
  </si>
  <si>
    <t>9,063,000</t>
  </si>
  <si>
    <t>7,283,000</t>
  </si>
  <si>
    <t>中央コンサルタンツ株式会社 北関東事務所</t>
  </si>
  <si>
    <t>2026/05/20 14:33:31</t>
  </si>
  <si>
    <t>７古情設第１号水管理施設実施計画策定等業務委託</t>
  </si>
  <si>
    <t>25000248043</t>
  </si>
  <si>
    <t>2026/01/30 10:02</t>
  </si>
  <si>
    <t>7,720,000</t>
  </si>
  <si>
    <t>6,199,000</t>
  </si>
  <si>
    <t>7,380,000</t>
  </si>
  <si>
    <t>2026/05/20 14:33:34</t>
  </si>
  <si>
    <t>葛西用水路ＰＲ資料作成業務委託</t>
  </si>
  <si>
    <t>25000250637</t>
  </si>
  <si>
    <t>2026/01/29 15:30</t>
  </si>
  <si>
    <t>1,330,000</t>
  </si>
  <si>
    <t>2026/05/20 14:33:36</t>
  </si>
  <si>
    <t>（ゼロ債務）橋りょう修繕工事（人道１号函渠橋補修設計業務委託）</t>
  </si>
  <si>
    <t>25100156521</t>
  </si>
  <si>
    <t>2026/01/29 15:10</t>
  </si>
  <si>
    <t>5,820,000</t>
  </si>
  <si>
    <t>4,677,000</t>
  </si>
  <si>
    <t>ジーアンドエスエンジニアリング株式会社 埼玉営業所</t>
  </si>
  <si>
    <t>2026/05/20 14:33:38</t>
  </si>
  <si>
    <t>橋りょう架換工事（建武橋取付道路工積算技術業務委託）</t>
  </si>
  <si>
    <t>25100156366</t>
  </si>
  <si>
    <t>11,103,000</t>
  </si>
  <si>
    <t>8,913,000</t>
  </si>
  <si>
    <t>2026/05/20 14:33:40</t>
  </si>
  <si>
    <t>（ゼロ債務）橋りょう修繕工事（上日影橋補修設計業務委託）</t>
  </si>
  <si>
    <t>25100156518</t>
  </si>
  <si>
    <t>2026/01/29 15:00</t>
  </si>
  <si>
    <t>7,672,000</t>
  </si>
  <si>
    <t>6,164,000</t>
  </si>
  <si>
    <t>株式会社なドマン技術研究所 本店</t>
  </si>
  <si>
    <t>2026/05/20 14:33:42</t>
  </si>
  <si>
    <t>バリアフリー安全対策工事（工事監督支援業務委託）</t>
  </si>
  <si>
    <t>25000225318</t>
  </si>
  <si>
    <t>2026/01/29 13:10</t>
  </si>
  <si>
    <t>13,394,000</t>
  </si>
  <si>
    <t>10,843,000</t>
  </si>
  <si>
    <t>2026/05/20 14:33:44</t>
  </si>
  <si>
    <t>（ゼロ債務）橋りょう修繕工事（畠中橋撤去設計業務委託）</t>
  </si>
  <si>
    <t>25100156516</t>
  </si>
  <si>
    <t>2026/01/29 09:04</t>
  </si>
  <si>
    <t>8,253,000</t>
  </si>
  <si>
    <t>6,631,000</t>
  </si>
  <si>
    <t>2026/05/20 14:33:46</t>
  </si>
  <si>
    <t>７仙女調第１号生物生息状況調査業務委託</t>
  </si>
  <si>
    <t>25000250808</t>
  </si>
  <si>
    <t>2026/01/28 09:00</t>
  </si>
  <si>
    <t>1,660,000</t>
  </si>
  <si>
    <t>2026/05/20 14:33:52</t>
  </si>
  <si>
    <t>右岸流域新河岸川幹線ほか土木資材価格調査業務委託</t>
  </si>
  <si>
    <t>25200156360</t>
  </si>
  <si>
    <t>2026/01/27 14:01</t>
  </si>
  <si>
    <t>2,201,000</t>
  </si>
  <si>
    <t>1,766,000</t>
  </si>
  <si>
    <t>埼玉県 下水道局 荒川右岸下水道事務所</t>
  </si>
  <si>
    <t>トレンドデザイン株式会社 さいたま事務所</t>
  </si>
  <si>
    <t>2026/05/20 14:33:54</t>
  </si>
  <si>
    <t>舗装指定修繕工事（ＦＷＤ調査業務委託その４）</t>
  </si>
  <si>
    <t>25100156334</t>
  </si>
  <si>
    <t>2026/01/27 13:45</t>
  </si>
  <si>
    <t>5,059,000</t>
  </si>
  <si>
    <t>3,997,000</t>
  </si>
  <si>
    <t>2026/05/20 14:33:56</t>
  </si>
  <si>
    <t>砂防施設工事（藤倉川護岸設計業務委託）</t>
  </si>
  <si>
    <t>25000229139</t>
  </si>
  <si>
    <t>2026/01/27 13:40</t>
  </si>
  <si>
    <t>6,286,000</t>
  </si>
  <si>
    <t>5,051,000</t>
  </si>
  <si>
    <t>株式会社南建設 本店</t>
  </si>
  <si>
    <t>5,680,000</t>
  </si>
  <si>
    <t>2026/05/20 14:33:59</t>
  </si>
  <si>
    <t>右岸流域新河岸川北幹線路面下空洞化調査業務委託</t>
  </si>
  <si>
    <t>25200156361</t>
  </si>
  <si>
    <t>2026/01/27 13:30</t>
  </si>
  <si>
    <t>2,959,000</t>
  </si>
  <si>
    <t>2,360,000</t>
  </si>
  <si>
    <t>株式会社日さく 東日本支社</t>
  </si>
  <si>
    <t>2026/05/20 14:34:01</t>
  </si>
  <si>
    <t>７山吹谷荒廃森林再生測量設計業務委託</t>
  </si>
  <si>
    <t>25000235678</t>
  </si>
  <si>
    <t>2026/01/23 13:05</t>
  </si>
  <si>
    <t>6,730,000</t>
  </si>
  <si>
    <t>5,305,000</t>
  </si>
  <si>
    <t>株式会社創栄都市技研 本店</t>
  </si>
  <si>
    <t>2026/05/20 14:34:03</t>
  </si>
  <si>
    <t>（ゼロ債務）総委重）橋りょう修繕工事（池田橋外補修設計業務委託）</t>
  </si>
  <si>
    <t>25100156343</t>
  </si>
  <si>
    <t>2026/01/23 09:35</t>
  </si>
  <si>
    <t>12,649,000</t>
  </si>
  <si>
    <t>10,159,000</t>
  </si>
  <si>
    <t>2026/05/20 14:34:05</t>
  </si>
  <si>
    <t>（ゼロ債務）橋りょう修繕工事（工事監督支援業務委託その２）</t>
  </si>
  <si>
    <t>25100156296</t>
  </si>
  <si>
    <t>2026/01/23 09:04</t>
  </si>
  <si>
    <t>17,380,000</t>
  </si>
  <si>
    <t>14,069,000</t>
  </si>
  <si>
    <t>株式会社高島テクノロジーセンター 埼玉営業所</t>
  </si>
  <si>
    <t>2026/05/20 14:34:07</t>
  </si>
  <si>
    <t>古利根流域処理場導水路可とう化設計業務委託</t>
  </si>
  <si>
    <t>25200156365</t>
  </si>
  <si>
    <t>2026/01/22 14:13</t>
  </si>
  <si>
    <t>10,948,000</t>
  </si>
  <si>
    <t>8,794,000</t>
  </si>
  <si>
    <t>2026/05/20 14:34:10</t>
  </si>
  <si>
    <t>総委重）砂防施設工事（柳田川全体計画策定業務委託）</t>
  </si>
  <si>
    <t>25000215164</t>
  </si>
  <si>
    <t>2026/01/22 13:30</t>
  </si>
  <si>
    <t>11,827,000</t>
  </si>
  <si>
    <t>9,500,000</t>
  </si>
  <si>
    <t>2026/05/20 14:34:12</t>
  </si>
  <si>
    <t>（ゼロ債務）総委地）社資（街路）工事（道路詳細設計業務委託）</t>
  </si>
  <si>
    <t>25100156286</t>
  </si>
  <si>
    <t>2026/01/22 13:04</t>
  </si>
  <si>
    <t>14,139,000</t>
  </si>
  <si>
    <t>11,359,000</t>
  </si>
  <si>
    <t>11,500,000</t>
  </si>
  <si>
    <t>2026/05/20 14:34:17</t>
  </si>
  <si>
    <t>河川改修工事（福川・漏水対策護岸詳細設計業務委託）</t>
  </si>
  <si>
    <t>25000219972</t>
  </si>
  <si>
    <t>2026/01/22 09:43</t>
  </si>
  <si>
    <t>17,130,000</t>
  </si>
  <si>
    <t>13,757,000</t>
  </si>
  <si>
    <t>株式会社日水コン 埼玉事務所</t>
  </si>
  <si>
    <t>2026/05/20 14:34:20</t>
  </si>
  <si>
    <t>（ゼロ債務）総委重）橋修（県単）（川越線高架橋補修設計業務委託）</t>
  </si>
  <si>
    <t>25100156320</t>
  </si>
  <si>
    <t>2026/01/21 13:32</t>
  </si>
  <si>
    <t>11,291,000</t>
  </si>
  <si>
    <t>9,072,000</t>
  </si>
  <si>
    <t>2026/05/20 14:34:22</t>
  </si>
  <si>
    <t>（ゼロ債務）総委重）橋修（県単）（狭山大橋補修設計業務委託）</t>
  </si>
  <si>
    <t>25100156312</t>
  </si>
  <si>
    <t>2026/01/21 13:23</t>
  </si>
  <si>
    <t>11,930,000</t>
  </si>
  <si>
    <t>9,585,000</t>
  </si>
  <si>
    <t>2026/05/20 14:34:24</t>
  </si>
  <si>
    <t>（ゼロ債務）砂防維持修繕工事（長寿命化計画調査設計業務委託その１２）</t>
  </si>
  <si>
    <t>25100156249</t>
  </si>
  <si>
    <t>2026/01/20 13:32</t>
  </si>
  <si>
    <t>7,385,000</t>
  </si>
  <si>
    <t>5,934,000</t>
  </si>
  <si>
    <t>株式会社荒川瀧石 本店</t>
  </si>
  <si>
    <t>6,650,000</t>
  </si>
  <si>
    <t>2026/05/20 14:34:26</t>
  </si>
  <si>
    <t>５４５４排水機場等維持修繕工事（鴨川第一、第二調節池排水機場受変電設備設計業務委託）</t>
  </si>
  <si>
    <t>25000227258</t>
  </si>
  <si>
    <t>2026/01/20 13:21</t>
  </si>
  <si>
    <t>16,220,000</t>
  </si>
  <si>
    <t>13,026,000</t>
  </si>
  <si>
    <t>2026/05/20 14:34:28</t>
  </si>
  <si>
    <t>砂防施設工事（西の沢外砂防基本計画検討業務委託）</t>
  </si>
  <si>
    <t>25000213006</t>
  </si>
  <si>
    <t>2026/01/20 13:18</t>
  </si>
  <si>
    <t>15,363,000</t>
  </si>
  <si>
    <t>12,338,000</t>
  </si>
  <si>
    <t>砂防エンジニアリング株式会社 本店</t>
  </si>
  <si>
    <t>2026/05/20 14:34:31</t>
  </si>
  <si>
    <t>総委重）橋りょう修繕工事（押切橋水平力分担構造設計業務委託）３８５</t>
  </si>
  <si>
    <t>25000176927</t>
  </si>
  <si>
    <t>2026/01/20 10:39</t>
  </si>
  <si>
    <t>20,532,000</t>
  </si>
  <si>
    <t>16,493,000</t>
  </si>
  <si>
    <t>2026/05/20 14:34:33</t>
  </si>
  <si>
    <t>排水機場等維持修繕工事（排水機場設備更新工積算支援業務委託）</t>
  </si>
  <si>
    <t>25100156459</t>
  </si>
  <si>
    <t>2026/01/20 10:04</t>
  </si>
  <si>
    <t>7,196,000</t>
  </si>
  <si>
    <t>5,777,000</t>
  </si>
  <si>
    <t>埼玉県 県土整備部 河川環境課</t>
  </si>
  <si>
    <t>2026/05/20 14:34:35</t>
  </si>
  <si>
    <t>総委重）橋りょう架換工事（和田橋詳細設計業務委託）１０７</t>
  </si>
  <si>
    <t>25000188889</t>
  </si>
  <si>
    <t>2026/01/16 13:30</t>
  </si>
  <si>
    <t>35,694,000</t>
  </si>
  <si>
    <t>28,601,000</t>
  </si>
  <si>
    <t>2026/05/20 14:34:37</t>
  </si>
  <si>
    <t>河川改修（水辺）工事（倉松川護岸点検修繕検討業務委託）</t>
  </si>
  <si>
    <t>25000214267</t>
  </si>
  <si>
    <t>2026/01/16 13:20</t>
  </si>
  <si>
    <t>12,043,000</t>
  </si>
  <si>
    <t>9,674,000</t>
  </si>
  <si>
    <t>パシフィックコンサルタンツ株式会社 埼玉事務所</t>
  </si>
  <si>
    <t>2026/05/20 14:34:43</t>
  </si>
  <si>
    <t>2026/05/20 14:34:45</t>
  </si>
  <si>
    <t>２５水防情報システム整備工事（川の防災情報（Ｗｅｂ）システム改修業務委託）</t>
  </si>
  <si>
    <t>25000234132</t>
  </si>
  <si>
    <t>2026/01/16 12:07</t>
  </si>
  <si>
    <t>2026/05/20 14:34:47</t>
  </si>
  <si>
    <t>河川改修（水辺）工事（倉松川樋籠工区護岸設計業務委託）</t>
  </si>
  <si>
    <t>25000213114</t>
  </si>
  <si>
    <t>2026/01/15 13:30</t>
  </si>
  <si>
    <t>6,245,000</t>
  </si>
  <si>
    <t>5,020,000</t>
  </si>
  <si>
    <t>埼玉測量設計株式会社 本店</t>
  </si>
  <si>
    <t>2026/05/20 14:34:49</t>
  </si>
  <si>
    <t>（ゼロ債務）社資（交通安全）工事（歩道設計業務委託）</t>
  </si>
  <si>
    <t>25100156338</t>
  </si>
  <si>
    <t>2026/01/15 13:03</t>
  </si>
  <si>
    <t>6,327,000</t>
  </si>
  <si>
    <t>5,086,000</t>
  </si>
  <si>
    <t>2026/05/20 14:34:51</t>
  </si>
  <si>
    <t>河川改修工事（諏訪山橋施工計画検討業務委託）</t>
  </si>
  <si>
    <t>25000211127</t>
  </si>
  <si>
    <t>2026/01/15 09:30</t>
  </si>
  <si>
    <t>5,958,000</t>
  </si>
  <si>
    <t>4,789,000</t>
  </si>
  <si>
    <t>2026/05/20 14:34:54</t>
  </si>
  <si>
    <t>総委地）アクセスルート強靭化推進工事（黒山工区その１外測量設計業務委託）</t>
  </si>
  <si>
    <t>25000212839</t>
  </si>
  <si>
    <t>2026/01/14 13:30</t>
  </si>
  <si>
    <t>10,250,000</t>
  </si>
  <si>
    <t>8,070,000</t>
  </si>
  <si>
    <t>西武測量設計株式会社 本店</t>
  </si>
  <si>
    <t>8,890,000</t>
  </si>
  <si>
    <t>2026/05/20 14:34:56</t>
  </si>
  <si>
    <t>総委地）アクセスルート強靭化推進工事（黒岩工区外測量設計業務委託）</t>
  </si>
  <si>
    <t>25000215486</t>
  </si>
  <si>
    <t>2026/01/14 13:23</t>
  </si>
  <si>
    <t>12,133,000</t>
  </si>
  <si>
    <t>9,613,000</t>
  </si>
  <si>
    <t>2026/05/20 14:34:58</t>
  </si>
  <si>
    <t>総委地）アクセスルート強靭化推進工事（長沢工区その１外測量設計業務委託）</t>
  </si>
  <si>
    <t>25000213546</t>
  </si>
  <si>
    <t>2026/01/14 13:15</t>
  </si>
  <si>
    <t>14,923,000</t>
  </si>
  <si>
    <t>11,865,000</t>
  </si>
  <si>
    <t>日南技術株式会社 本店</t>
  </si>
  <si>
    <t>12,690,000</t>
  </si>
  <si>
    <t>2026/05/20 14:35:00</t>
  </si>
  <si>
    <t>総委重）砂防施設事業工事（森戸入沢堰堤改築詳細設計業務委託）</t>
  </si>
  <si>
    <t>25000203587</t>
  </si>
  <si>
    <t>2026/01/13 14:11</t>
  </si>
  <si>
    <t>2026/05/20 14:35:02</t>
  </si>
  <si>
    <t>道路構造物維持工事（橋りょう詳細点検業務委託Ｒ７－６）</t>
  </si>
  <si>
    <t>25100156097</t>
  </si>
  <si>
    <t>2026/01/13 14:02</t>
  </si>
  <si>
    <t>7,362,000</t>
  </si>
  <si>
    <t>株式会社長大テック 埼玉営業所</t>
  </si>
  <si>
    <t>2026/05/20 14:35:08</t>
  </si>
  <si>
    <t>道路構造物維持工事（橋りょう詳細点検業務委託Ｒ７－３）</t>
  </si>
  <si>
    <t>25100156096</t>
  </si>
  <si>
    <t>2026/01/13 13:53</t>
  </si>
  <si>
    <t>12,713,000</t>
  </si>
  <si>
    <t>10,256,000</t>
  </si>
  <si>
    <t>株式会社東洋コンサルタント 埼玉支店</t>
  </si>
  <si>
    <t>41</t>
  </si>
  <si>
    <t>2026/05/20 14:35:10</t>
  </si>
  <si>
    <t>道路構造物維持工事（橋りょう詳細点検業務委託Ｒ７－７）</t>
  </si>
  <si>
    <t>25100156095</t>
  </si>
  <si>
    <t>2026/01/13 13:45</t>
  </si>
  <si>
    <t>14,811,000</t>
  </si>
  <si>
    <t>12,077,000</t>
  </si>
  <si>
    <t>40</t>
  </si>
  <si>
    <t>2026/05/20 14:35:12</t>
  </si>
  <si>
    <t>道路構造物維持工事（橋りょう詳細点検業務委託Ｒ７－４）</t>
  </si>
  <si>
    <t>25100156094</t>
  </si>
  <si>
    <t>2026/01/13 13:36</t>
  </si>
  <si>
    <t>16,561,000</t>
  </si>
  <si>
    <t>13,382,000</t>
  </si>
  <si>
    <t>2026/05/20 14:35:14</t>
  </si>
  <si>
    <t>総委重）５３０３街路整備工事（谷塚仲町工区電線共同溝予備設計業務委託）</t>
  </si>
  <si>
    <t>25000216482</t>
  </si>
  <si>
    <t>2026/01/13 13:31</t>
  </si>
  <si>
    <t>10,661,000</t>
  </si>
  <si>
    <t>8,564,000</t>
  </si>
  <si>
    <t>2026/05/20 14:35:17</t>
  </si>
  <si>
    <t>道路構造物維持工事（橋りょう詳細点検業務委託Ｒ７－２）</t>
  </si>
  <si>
    <t>25100156093</t>
  </si>
  <si>
    <t>2026/01/13 13:27</t>
  </si>
  <si>
    <t>16,622,000</t>
  </si>
  <si>
    <t>13,387,000</t>
  </si>
  <si>
    <t>42</t>
  </si>
  <si>
    <t>2026/05/20 14:35:19</t>
  </si>
  <si>
    <t>道路構造物維持工事（橋りょう詳細点検業務委託Ｒ７－１）</t>
  </si>
  <si>
    <t>25100156092</t>
  </si>
  <si>
    <t>2026/01/13 13:19</t>
  </si>
  <si>
    <t>13,847,000</t>
  </si>
  <si>
    <t>2026/05/20 14:35:21</t>
  </si>
  <si>
    <t>公園等施設補修工事（４号公園桜再生モデル整備計画策定業務委託）</t>
  </si>
  <si>
    <t>25000219244</t>
  </si>
  <si>
    <t>2026/01/13 13:04</t>
  </si>
  <si>
    <t>9,246,000</t>
  </si>
  <si>
    <t>7,423,000</t>
  </si>
  <si>
    <t>埼玉県 都市整備部 大宮公園事務所</t>
  </si>
  <si>
    <t>株式会社シティ・プランニング 埼玉事務所</t>
  </si>
  <si>
    <t>2026/05/20 14:35:23</t>
  </si>
  <si>
    <t>総委重）５３０４街路整備工事（谷塚仲町工区道路詳細設計業務委託）</t>
  </si>
  <si>
    <t>25000216471</t>
  </si>
  <si>
    <t>2026/01/13 13:02</t>
  </si>
  <si>
    <t>13,922,000</t>
  </si>
  <si>
    <t>11,185,000</t>
  </si>
  <si>
    <t>2026/05/20 14:35:25</t>
  </si>
  <si>
    <t>右岸流域管渠改築設計業務委託（シン４～シン５ほか）</t>
  </si>
  <si>
    <t>25200156203</t>
  </si>
  <si>
    <t>2026/01/09 14:30</t>
  </si>
  <si>
    <t>13,496,000</t>
  </si>
  <si>
    <t>10,840,000</t>
  </si>
  <si>
    <t>株式会社弘洋第一コンサルタンツ 東京支社さいたま営業所</t>
  </si>
  <si>
    <t>2026/05/20 14:35:28</t>
  </si>
  <si>
    <t>右岸流域管渠改築設計業務委託（シン１０～シン１１ほか）</t>
  </si>
  <si>
    <t>25200156202</t>
  </si>
  <si>
    <t>2026/01/09 14:01</t>
  </si>
  <si>
    <t>14,003,000</t>
  </si>
  <si>
    <t>11,247,000</t>
  </si>
  <si>
    <t>2026/05/20 14:35:33</t>
  </si>
  <si>
    <t>右岸流域管渠改築設計業務委託（シン４９～シン５０ほか）</t>
  </si>
  <si>
    <t>25200156201</t>
  </si>
  <si>
    <t>2026/01/09 13:32</t>
  </si>
  <si>
    <t>17,642,000</t>
  </si>
  <si>
    <t>14,168,000</t>
  </si>
  <si>
    <t>新都市設計株式会社 本店</t>
  </si>
  <si>
    <t>2026/05/20 14:35:35</t>
  </si>
  <si>
    <t>０２５管委第３号 大久保浄水場排水処理施設等改修・運営事業公募資料作成等支援業務委託</t>
  </si>
  <si>
    <t>90HJ0020251209-01</t>
  </si>
  <si>
    <t>2026/01/09 10:01</t>
  </si>
  <si>
    <t>38,820,000</t>
  </si>
  <si>
    <t>31,153,000</t>
  </si>
  <si>
    <t>埼玉県 企業局 水道管理課</t>
  </si>
  <si>
    <t>株式会社ＮＪＳ 関東事務所</t>
  </si>
  <si>
    <t>36,450,000</t>
  </si>
  <si>
    <t>2026/05/20 14:35:38</t>
  </si>
  <si>
    <t>総委重）河川改修工事（鳩川護岸詳細設計業務委託）</t>
  </si>
  <si>
    <t>25000217980</t>
  </si>
  <si>
    <t>2026/01/07 13:05</t>
  </si>
  <si>
    <t>15,560,000</t>
  </si>
  <si>
    <t>12,499,000</t>
  </si>
  <si>
    <t>2026/05/20 14:35:40</t>
  </si>
  <si>
    <t>川の再生推進工事（日高地区河川利活用設計業務委託）</t>
  </si>
  <si>
    <t>25000208036</t>
  </si>
  <si>
    <t>2026/01/06 13:10</t>
  </si>
  <si>
    <t>4,164,000</t>
  </si>
  <si>
    <t>3,348,000</t>
  </si>
  <si>
    <t>3,900,000</t>
  </si>
  <si>
    <t>2026/05/20 14:35:42</t>
  </si>
  <si>
    <t>南部流域南部幹線ほか人孔浮上防止対策修正設計業務委託</t>
  </si>
  <si>
    <t>25200156183</t>
  </si>
  <si>
    <t>2025/12/26 13:38</t>
  </si>
  <si>
    <t>5,994,000</t>
  </si>
  <si>
    <t>4,817,000</t>
  </si>
  <si>
    <t>2026/05/20 14:35:44</t>
  </si>
  <si>
    <t>道路構造物維持工事（橋梁点検業務委託その８）３３８</t>
  </si>
  <si>
    <t>25000207394</t>
  </si>
  <si>
    <t>2025/12/25 14:00</t>
  </si>
  <si>
    <t>13,694,000</t>
  </si>
  <si>
    <t>11,016,000</t>
  </si>
  <si>
    <t>株式会社キミコン 埼玉営業所</t>
  </si>
  <si>
    <t>2026/05/20 14:35:46</t>
  </si>
  <si>
    <t>道路構造物維持工事（橋梁点検業務委託その７）３３７</t>
  </si>
  <si>
    <t>25000207324</t>
  </si>
  <si>
    <t>2025/12/25 13:43</t>
  </si>
  <si>
    <t>13,697,000</t>
  </si>
  <si>
    <t>11,024,000</t>
  </si>
  <si>
    <t>2026/05/20 14:35:49</t>
  </si>
  <si>
    <t>道路構造物維持工事（橋梁点検業務委託その６）３３６</t>
  </si>
  <si>
    <t>25000207286</t>
  </si>
  <si>
    <t>2025/12/25 13:29</t>
  </si>
  <si>
    <t>14,038,000</t>
  </si>
  <si>
    <t>11,285,000</t>
  </si>
  <si>
    <t>39</t>
  </si>
  <si>
    <t>2026/05/20 14:35:51</t>
  </si>
  <si>
    <t>５７６１河川改修工事（藤右衛門川水理解析業務委託）</t>
  </si>
  <si>
    <t>25000121728</t>
  </si>
  <si>
    <t>2025/12/25 13:08</t>
  </si>
  <si>
    <t>22,368,000</t>
  </si>
  <si>
    <t>22,367,000</t>
  </si>
  <si>
    <t>2026/05/20 14:35:53</t>
  </si>
  <si>
    <t>道路構造物維持工事（橋梁点検業務委託その５）３３５</t>
  </si>
  <si>
    <t>25000207220</t>
  </si>
  <si>
    <t>14,147,000</t>
  </si>
  <si>
    <t>11,375,000</t>
  </si>
  <si>
    <t>2026/05/20 14:35:59</t>
  </si>
  <si>
    <t>右岸流域下水道事業計画ほか資料作成業務委託</t>
  </si>
  <si>
    <t>25200156152</t>
  </si>
  <si>
    <t>2025/12/25 10:09</t>
  </si>
  <si>
    <t>4,527,000</t>
  </si>
  <si>
    <t>3,918,000</t>
  </si>
  <si>
    <t>2026/05/20 14:36:01</t>
  </si>
  <si>
    <t>25000221823</t>
  </si>
  <si>
    <t>2025/12/24 10:00</t>
  </si>
  <si>
    <t>1,781,000</t>
  </si>
  <si>
    <t>2026/05/20 14:36:03</t>
  </si>
  <si>
    <t>土壌汚染調査業務委託（Ｒ７－１）</t>
  </si>
  <si>
    <t>25000210849</t>
  </si>
  <si>
    <t>2025/12/23 14:02</t>
  </si>
  <si>
    <t>18,023,000</t>
  </si>
  <si>
    <t>15,107,000</t>
  </si>
  <si>
    <t>株式会社アサノ大成基礎エンジニアリング 北関東事務所</t>
  </si>
  <si>
    <t>2026/05/20 14:36:05</t>
  </si>
  <si>
    <t>令和７年度県産木材加工流通体制強化に向けた実行可能性調査（集約化工場導入計画検討）委託業務</t>
  </si>
  <si>
    <t>100</t>
  </si>
  <si>
    <t>2025/12/23 13:31</t>
  </si>
  <si>
    <t>4,538,000</t>
  </si>
  <si>
    <t>3,693,000</t>
  </si>
  <si>
    <t>埼玉県 農林部 森づくり課</t>
  </si>
  <si>
    <t>4,000,000</t>
  </si>
  <si>
    <t>2026/05/20 14:36:07</t>
  </si>
  <si>
    <t>河改（国水辺）（九十川排水機場計装設備等更新設計）</t>
  </si>
  <si>
    <t>25000207233</t>
  </si>
  <si>
    <t>2025/12/23 13:21</t>
  </si>
  <si>
    <t>17,172,000</t>
  </si>
  <si>
    <t>13,795,000</t>
  </si>
  <si>
    <t>株式会社日本水工コンサルタント 関東支店</t>
  </si>
  <si>
    <t>2026/05/20 14:36:09</t>
  </si>
  <si>
    <t>荒川左岸北部下水道事務所設備機器価格調査業務委託その５</t>
  </si>
  <si>
    <t>25200156090</t>
  </si>
  <si>
    <t>2025/12/23 10:33</t>
  </si>
  <si>
    <t>1,077,000</t>
  </si>
  <si>
    <t>2026/05/20 14:36:12</t>
  </si>
  <si>
    <t>５３０５交差点整備工事（砂原交差点修正設計業務委託）</t>
  </si>
  <si>
    <t>25000215420</t>
  </si>
  <si>
    <t>2025/12/23 10:03</t>
  </si>
  <si>
    <t>1,806,000</t>
  </si>
  <si>
    <t>2026/05/20 14:36:14</t>
  </si>
  <si>
    <t>荒川左岸北部下水道事務所設備機器価格調査業務委託その１</t>
  </si>
  <si>
    <t>25200156107</t>
  </si>
  <si>
    <t>2025/12/23 10:02</t>
  </si>
  <si>
    <t>6,843,000</t>
  </si>
  <si>
    <t>5,495,000</t>
  </si>
  <si>
    <t>太洋エンジニアリング株式会社 北関東営業所</t>
  </si>
  <si>
    <t>2026/05/20 14:36:16</t>
  </si>
  <si>
    <t>荒川左岸北部下水道事務所設備機器価格調査業務委託その２</t>
  </si>
  <si>
    <t>25200156100</t>
  </si>
  <si>
    <t>2025/12/23 09:33</t>
  </si>
  <si>
    <t>8,677,000</t>
  </si>
  <si>
    <t>2026/05/20 14:36:18</t>
  </si>
  <si>
    <t>道路構造物維持工事（橋りょう定期点検業務委託その８）</t>
  </si>
  <si>
    <t>25100156072</t>
  </si>
  <si>
    <t>2025/12/22 14:07</t>
  </si>
  <si>
    <t>8,333,000</t>
  </si>
  <si>
    <t>6,701,000</t>
  </si>
  <si>
    <t>2026/05/20 14:36:24</t>
  </si>
  <si>
    <t>道路構造物維持工事（橋りょう定期点検業務委託その７）</t>
  </si>
  <si>
    <t>25100156071</t>
  </si>
  <si>
    <t>2025/12/22 13:57</t>
  </si>
  <si>
    <t>9,038,000</t>
  </si>
  <si>
    <t>7,257,000</t>
  </si>
  <si>
    <t>2026/05/20 14:36:26</t>
  </si>
  <si>
    <t>道路構造物維持工事（橋りょう定期点検業務委託その９）</t>
  </si>
  <si>
    <t>25100156070</t>
  </si>
  <si>
    <t>2025/12/22 13:40</t>
  </si>
  <si>
    <t>9,968,000</t>
  </si>
  <si>
    <t>8,014,000</t>
  </si>
  <si>
    <t>ＮＥテクノ株式会社 本店</t>
  </si>
  <si>
    <t>35</t>
  </si>
  <si>
    <t>2026/05/20 14:36:28</t>
  </si>
  <si>
    <t>社資（改築）工事（町役場前交差点詳細設計業務委託）</t>
  </si>
  <si>
    <t>25000211138</t>
  </si>
  <si>
    <t>2025/12/22 13:03</t>
  </si>
  <si>
    <t>4,751,000</t>
  </si>
  <si>
    <t>5,226,100</t>
  </si>
  <si>
    <t>3,820,000</t>
  </si>
  <si>
    <t>4,420,000</t>
  </si>
  <si>
    <t>2026/05/20 14:36:30</t>
  </si>
  <si>
    <t>５１１６街整（スクラム）（環境調査委託その９）</t>
  </si>
  <si>
    <t>25000212356</t>
  </si>
  <si>
    <t>2025/12/19 13:21</t>
  </si>
  <si>
    <t>6,897,000</t>
  </si>
  <si>
    <t>5,538,000</t>
  </si>
  <si>
    <t>2026/05/20 14:36:33</t>
  </si>
  <si>
    <t>５１１５街整（スクラム）（道路雨水方針策定委託）</t>
  </si>
  <si>
    <t>25000205317</t>
  </si>
  <si>
    <t>2025/12/19 13:12</t>
  </si>
  <si>
    <t>10,690,000</t>
  </si>
  <si>
    <t>8,582,000</t>
  </si>
  <si>
    <t>株式会社サンワコン 埼玉営業所</t>
  </si>
  <si>
    <t>2026/05/20 14:36:35</t>
  </si>
  <si>
    <t>７治山施設点検業務</t>
  </si>
  <si>
    <t>25000208517</t>
  </si>
  <si>
    <t>2025/12/19 08:53</t>
  </si>
  <si>
    <t>5,450,000</t>
  </si>
  <si>
    <t>4,383,000</t>
  </si>
  <si>
    <t>2026/05/20 14:36:37</t>
  </si>
  <si>
    <t>橋りょう修繕工事（新根金橋外積算技術業務委託）</t>
  </si>
  <si>
    <t>25000203562</t>
  </si>
  <si>
    <t>2025/12/18 09:00</t>
  </si>
  <si>
    <t>14,953,000</t>
  </si>
  <si>
    <t>12,002,000</t>
  </si>
  <si>
    <t>2026/05/20 14:36:39</t>
  </si>
  <si>
    <t>旧警察本部分庁舎（木崎）ほか石綿含有建材調査業務委託</t>
  </si>
  <si>
    <t>R7Y03</t>
  </si>
  <si>
    <t>2025/12/17 10:10</t>
  </si>
  <si>
    <t>5,610,000</t>
  </si>
  <si>
    <t>3,740,000</t>
  </si>
  <si>
    <t>埼玉県 警察本部 施設課</t>
  </si>
  <si>
    <t>株式会社環境総合研究所 本店</t>
  </si>
  <si>
    <t>4,150,000</t>
  </si>
  <si>
    <t>2026/05/20 14:36:41</t>
  </si>
  <si>
    <t>道構維持（南古谷停電線地中化詳細設計）</t>
  </si>
  <si>
    <t>25000202269</t>
  </si>
  <si>
    <t>2025/12/15 13:44</t>
  </si>
  <si>
    <t>10,736,000</t>
  </si>
  <si>
    <t>8,626,000</t>
  </si>
  <si>
    <t>株式会社復建エンジニヤリング 北関東事務所</t>
  </si>
  <si>
    <t>2026/05/20 14:36:43</t>
  </si>
  <si>
    <t>総委重）５２８１街路整備工事（吉越橋耐震補強設計業務委託）</t>
  </si>
  <si>
    <t>25000165143</t>
  </si>
  <si>
    <t>2025/12/15 10:30</t>
  </si>
  <si>
    <t>25,236,000</t>
  </si>
  <si>
    <t>20,264,000</t>
  </si>
  <si>
    <t>2026/05/20 14:36:49</t>
  </si>
  <si>
    <t>【債務】５４４８交付金（河川）工事（与野中央公園調節池工事監督支援業務委託その５）</t>
  </si>
  <si>
    <t>25100155990</t>
  </si>
  <si>
    <t>2025/12/12 13:20</t>
  </si>
  <si>
    <t>15,682,000</t>
  </si>
  <si>
    <t>12,695,000</t>
  </si>
  <si>
    <t>2026/05/20 14:36:51</t>
  </si>
  <si>
    <t>総委重）５１１３街整（スクラム）（道路排水設計委託）</t>
  </si>
  <si>
    <t>25000200538</t>
  </si>
  <si>
    <t>2025/12/12 13:12</t>
  </si>
  <si>
    <t>15,083,000</t>
  </si>
  <si>
    <t>12,114,000</t>
  </si>
  <si>
    <t>株式会社大洋画地 本店</t>
  </si>
  <si>
    <t>12,146,000</t>
  </si>
  <si>
    <t>2026/05/20 14:36:53</t>
  </si>
  <si>
    <t>７川島設第２号機能保全計画更新業務委託</t>
  </si>
  <si>
    <t>25000202967</t>
  </si>
  <si>
    <t>2025/12/12 09:00</t>
  </si>
  <si>
    <t>4,440,000</t>
  </si>
  <si>
    <t>3,565,000</t>
  </si>
  <si>
    <t>4,250,000</t>
  </si>
  <si>
    <t>2026/05/20 14:36:56</t>
  </si>
  <si>
    <t>右岸流域人孔浮上防止対策実施設計業務委託その１</t>
  </si>
  <si>
    <t>25200155973</t>
  </si>
  <si>
    <t>2025/12/11 14:14</t>
  </si>
  <si>
    <t>11,344,000</t>
  </si>
  <si>
    <t>9,112,000</t>
  </si>
  <si>
    <t>2026/05/20 14:36:58</t>
  </si>
  <si>
    <t>右岸流域人孔浮上防止対策実施設計業務委託その２</t>
  </si>
  <si>
    <t>25200155974</t>
  </si>
  <si>
    <t>2025/12/11 13:34</t>
  </si>
  <si>
    <t>12,873,000</t>
  </si>
  <si>
    <t>10,340,000</t>
  </si>
  <si>
    <t>株式会社井沢設計 埼玉営業所</t>
  </si>
  <si>
    <t>2026/05/20 14:37:00</t>
  </si>
  <si>
    <t>河川改修工事（能淵寺橋取付道路測量設計業務委託）</t>
  </si>
  <si>
    <t>25000197980</t>
  </si>
  <si>
    <t>2025/12/11 13:30</t>
  </si>
  <si>
    <t>5,542,000</t>
  </si>
  <si>
    <t>4,430,000</t>
  </si>
  <si>
    <t>井田起業株式会社 本店</t>
  </si>
  <si>
    <t>5,190,000</t>
  </si>
  <si>
    <t>2026/05/20 14:37:02</t>
  </si>
  <si>
    <t>河川改修工事（道橋施工計画検討業務委託）</t>
  </si>
  <si>
    <t>25000188757</t>
  </si>
  <si>
    <t>2025/12/11 09:39</t>
  </si>
  <si>
    <t>5,702,000</t>
  </si>
  <si>
    <t>4,583,000</t>
  </si>
  <si>
    <t>2026/05/20 14:37:04</t>
  </si>
  <si>
    <t>古利根流域下水道事業計画変更図書作成業務委託</t>
  </si>
  <si>
    <t>25200156002</t>
  </si>
  <si>
    <t>2025/12/11 09:08</t>
  </si>
  <si>
    <t>2,742,000</t>
  </si>
  <si>
    <t>2,208,000</t>
  </si>
  <si>
    <t>2026/05/20 14:37:07</t>
  </si>
  <si>
    <t>橋りょう修繕工事（滝馬室歩道橋補修設計業務委託）</t>
  </si>
  <si>
    <t>25000196935</t>
  </si>
  <si>
    <t>2025/12/10 11:20</t>
  </si>
  <si>
    <t>7,087,000</t>
  </si>
  <si>
    <t>5,698,000</t>
  </si>
  <si>
    <t>2026/05/20 14:37:09</t>
  </si>
  <si>
    <t>橋りょう修繕工事（西後歩道橋補修設計業務委託）</t>
  </si>
  <si>
    <t>25000196919</t>
  </si>
  <si>
    <t>2025/12/10 11:00</t>
  </si>
  <si>
    <t>7,124,000</t>
  </si>
  <si>
    <t>5,728,000</t>
  </si>
  <si>
    <t>2026/05/20 14:37:14</t>
  </si>
  <si>
    <t>荒上流域荒川上流幹線管渠改築実施設計業務委託その１</t>
  </si>
  <si>
    <t>25200156005</t>
  </si>
  <si>
    <t>2025/12/10 10:10</t>
  </si>
  <si>
    <t>9,951,000</t>
  </si>
  <si>
    <t>7,994,000</t>
  </si>
  <si>
    <t>2026/05/20 14:37:16</t>
  </si>
  <si>
    <t>令和７年度盛土規制法に係る既存盛土等の優先度評価業務委託（その2）</t>
  </si>
  <si>
    <t>25000200525</t>
  </si>
  <si>
    <t>2025/12/10 10:05</t>
  </si>
  <si>
    <t>29,508,000</t>
  </si>
  <si>
    <t>23,685,000</t>
  </si>
  <si>
    <t>埼玉県 都市整備部 都市計画課</t>
  </si>
  <si>
    <t>株式会社千代田コンサルタント 埼玉営業所</t>
  </si>
  <si>
    <t>2026/05/20 14:37:19</t>
  </si>
  <si>
    <t>公園等建設工事（誰もが遊べる広場実施設計業務委託）</t>
  </si>
  <si>
    <t>25000196520</t>
  </si>
  <si>
    <t>2025/12/09 13:13</t>
  </si>
  <si>
    <t>14,384,000</t>
  </si>
  <si>
    <t>埼玉県 都市整備部 公園スタジアム課</t>
  </si>
  <si>
    <t>22</t>
  </si>
  <si>
    <t>2026/05/20 14:37:21</t>
  </si>
  <si>
    <t>７水土里ＧⅠＳデータ作成業務委託</t>
  </si>
  <si>
    <t>25000205139</t>
  </si>
  <si>
    <t>2025/12/09 09:00</t>
  </si>
  <si>
    <t>380,000</t>
  </si>
  <si>
    <t>2026/05/20 14:37:23</t>
  </si>
  <si>
    <t>河川改修調査工事（Ｒ７年度末河川改修状況調査業務委託）</t>
  </si>
  <si>
    <t>25000189441</t>
  </si>
  <si>
    <t>2025/12/08 14:02</t>
  </si>
  <si>
    <t>10,271,000</t>
  </si>
  <si>
    <t>8,246,000</t>
  </si>
  <si>
    <t>2026/05/20 14:37:25</t>
  </si>
  <si>
    <t>７治山施設点検業務委託</t>
  </si>
  <si>
    <t>25000196146</t>
  </si>
  <si>
    <t>2025/12/05 13:40</t>
  </si>
  <si>
    <t>4,960,000</t>
  </si>
  <si>
    <t>3,983,000</t>
  </si>
  <si>
    <t>株式会社ランド佐藤技術士事務所 本店</t>
  </si>
  <si>
    <t>2026/05/20 14:37:27</t>
  </si>
  <si>
    <t>７川島設第１号遠隔制御設備実施設計業務委託</t>
  </si>
  <si>
    <t>25000195062</t>
  </si>
  <si>
    <t>2025/12/05 09:02</t>
  </si>
  <si>
    <t>7,170,000</t>
  </si>
  <si>
    <t>5,757,000</t>
  </si>
  <si>
    <t>6,900,000</t>
  </si>
  <si>
    <t>2026/05/20 14:37:29</t>
  </si>
  <si>
    <t>バリアフリー安全対策工事（排水対策業務委託）七本木工区</t>
  </si>
  <si>
    <t>25000197134</t>
  </si>
  <si>
    <t>2025/12/04 13:49</t>
  </si>
  <si>
    <t>4,307,000</t>
  </si>
  <si>
    <t>3,370,000</t>
  </si>
  <si>
    <t>本庄測量設計株式会社 本店</t>
  </si>
  <si>
    <t>4,040,000</t>
  </si>
  <si>
    <t>2026/05/20 14:37:32</t>
  </si>
  <si>
    <t>荒上流域荒川上流幹線人孔浮上診断業務委託その２</t>
  </si>
  <si>
    <t>25200155948</t>
  </si>
  <si>
    <t>2025/12/04 11:36</t>
  </si>
  <si>
    <t>8,925,000</t>
  </si>
  <si>
    <t>7,045,000</t>
  </si>
  <si>
    <t>2026/05/20 14:37:34</t>
  </si>
  <si>
    <t>荒上流域荒川上流幹線人孔浮上診断業務委託その１</t>
  </si>
  <si>
    <t>25200155947</t>
  </si>
  <si>
    <t>2025/12/04 11:11</t>
  </si>
  <si>
    <t>11,414,000</t>
  </si>
  <si>
    <t>9,045,000</t>
  </si>
  <si>
    <t>2026/05/20 14:37:39</t>
  </si>
  <si>
    <t>５２９６排水機場等維持修繕工事（大場川下流排水機場中央監視装置設計業務委託）</t>
  </si>
  <si>
    <t>25100155931</t>
  </si>
  <si>
    <t>2025/12/04 11:02</t>
  </si>
  <si>
    <t>18,118,000</t>
  </si>
  <si>
    <t>14,550,000</t>
  </si>
  <si>
    <t>2026/05/20 14:37:42</t>
  </si>
  <si>
    <t>市野川流域小川幹線人孔浮上診断業務委託</t>
  </si>
  <si>
    <t>25200155946</t>
  </si>
  <si>
    <t>2025/12/04 10:41</t>
  </si>
  <si>
    <t>13,086,000</t>
  </si>
  <si>
    <t>10,356,000</t>
  </si>
  <si>
    <t>トーカイテック株式会社 本店</t>
  </si>
  <si>
    <t>2026/05/20 14:37:44</t>
  </si>
  <si>
    <t>５２９５排水機場等維持修繕工事（辰井川排水機場中央監視装置設計業務委託）</t>
  </si>
  <si>
    <t>25100155934</t>
  </si>
  <si>
    <t>2025/12/04 10:33</t>
  </si>
  <si>
    <t>2026/05/20 14:37:46</t>
  </si>
  <si>
    <t>市野川流域滑川幹線人孔浮上診断業務委託</t>
  </si>
  <si>
    <t>25200155945</t>
  </si>
  <si>
    <t>2025/12/04 10:17</t>
  </si>
  <si>
    <t>14,459,000</t>
  </si>
  <si>
    <t>11,431,000</t>
  </si>
  <si>
    <t>2026/05/20 14:37:48</t>
  </si>
  <si>
    <t>ダム等施設管理工事（権現堂調節池 ＣＣＴＶ設備更新工設計業務委託）</t>
  </si>
  <si>
    <t>25000189236</t>
  </si>
  <si>
    <t>2025/12/04 09:21</t>
  </si>
  <si>
    <t>16,865,000</t>
  </si>
  <si>
    <t>13,548,000</t>
  </si>
  <si>
    <t>株式会社長大 北関東支店</t>
  </si>
  <si>
    <t>2026/05/20 14:37:50</t>
  </si>
  <si>
    <t>令和７年度都市計画図書電子化業務委託</t>
  </si>
  <si>
    <t>20251119</t>
  </si>
  <si>
    <t>2025/12/04 09:02</t>
  </si>
  <si>
    <t>4,535,000</t>
  </si>
  <si>
    <t>3,501,100</t>
  </si>
  <si>
    <t>4,180,000</t>
  </si>
  <si>
    <t>2026/05/20 14:37:52</t>
  </si>
  <si>
    <t>総委重）橋りょう修繕工事（小山橋耐震補強設計業務委託）４２４</t>
  </si>
  <si>
    <t>25000148924</t>
  </si>
  <si>
    <t>2025/12/02 14:30</t>
  </si>
  <si>
    <t>22,227,000</t>
  </si>
  <si>
    <t>17,851,000</t>
  </si>
  <si>
    <t>2026/05/20 14:37:54</t>
  </si>
  <si>
    <t>総委重）橋りょう修繕工事（寄居橋耐震補強設計業務委託）４２３</t>
  </si>
  <si>
    <t>25000148959</t>
  </si>
  <si>
    <t>2025/12/02 11:30</t>
  </si>
  <si>
    <t>45,127,000</t>
  </si>
  <si>
    <t>36,235,000</t>
  </si>
  <si>
    <t>2026/05/20 14:37:57</t>
  </si>
  <si>
    <t>災害防除工事（特定道路土工構造物点検業務委託その１）</t>
  </si>
  <si>
    <t>25100155921</t>
  </si>
  <si>
    <t>2025/12/01 14:40</t>
  </si>
  <si>
    <t>3,726,000</t>
  </si>
  <si>
    <t>2,989,000</t>
  </si>
  <si>
    <t>2026/05/20 14:37:59</t>
  </si>
  <si>
    <t>災害防除工事（特定道路土工構造物点検業務委託その５）</t>
  </si>
  <si>
    <t>25100155920</t>
  </si>
  <si>
    <t>2025/12/01 14:30</t>
  </si>
  <si>
    <t>8,345,000</t>
  </si>
  <si>
    <t>6,700,000</t>
  </si>
  <si>
    <t>2026/05/20 14:38:04</t>
  </si>
  <si>
    <t>災害防除工事（特定道路土工構造物点検業務委託その４）</t>
  </si>
  <si>
    <t>25100155919</t>
  </si>
  <si>
    <t>2025/12/01 14:24</t>
  </si>
  <si>
    <t>8,570,000</t>
  </si>
  <si>
    <t>6,881,000</t>
  </si>
  <si>
    <t>2026/05/20 14:38:07</t>
  </si>
  <si>
    <t>災害防除工事（特定道路土工構造物点検業務委託その３）</t>
  </si>
  <si>
    <t>25100155918</t>
  </si>
  <si>
    <t>2025/12/01 14:18</t>
  </si>
  <si>
    <t>2026/05/20 14:38:09</t>
  </si>
  <si>
    <t>災害防除工事（特定道路土工構造物点検業務委託その２）</t>
  </si>
  <si>
    <t>25100155917</t>
  </si>
  <si>
    <t>2025/12/01 14:00</t>
  </si>
  <si>
    <t>国土防災技術株式会社 東京支店</t>
  </si>
  <si>
    <t>2026/05/20 14:38:11</t>
  </si>
  <si>
    <t>緊急浚渫推進（砂防）工事（樫久保入測量・設計業務委託）</t>
  </si>
  <si>
    <t>25000184904</t>
  </si>
  <si>
    <t>2025/12/01 13:30</t>
  </si>
  <si>
    <t>9,938,000</t>
  </si>
  <si>
    <t>2026/05/20 14:38:13</t>
  </si>
  <si>
    <t>河改（水辺）（柳瀬川護岸復旧設計）</t>
  </si>
  <si>
    <t>25000185076</t>
  </si>
  <si>
    <t>2025/11/28 13:21</t>
  </si>
  <si>
    <t>6,647,000</t>
  </si>
  <si>
    <t>5,343,000</t>
  </si>
  <si>
    <t>2026/05/20 14:38:15</t>
  </si>
  <si>
    <t>５７５７排水機場等維持修繕工事（柳根水門修繕設計業務委託）</t>
  </si>
  <si>
    <t>25000097983</t>
  </si>
  <si>
    <t>2025/11/28 13:07</t>
  </si>
  <si>
    <t>18,096,000</t>
  </si>
  <si>
    <t>18,054,000</t>
  </si>
  <si>
    <t>2026/05/20 14:38:18</t>
  </si>
  <si>
    <t>道路改築工事（長尾根バイパス道路詳細修正設計業務委託）</t>
  </si>
  <si>
    <t>25000185920</t>
  </si>
  <si>
    <t>2025/11/27 13:31</t>
  </si>
  <si>
    <t>14,267,000</t>
  </si>
  <si>
    <t>11,460,000</t>
  </si>
  <si>
    <t>2026/05/20 14:38:20</t>
  </si>
  <si>
    <t>急傾斜地崩壊対策工事（川寺法面工詳細設計業務委託）</t>
  </si>
  <si>
    <t>25000181687</t>
  </si>
  <si>
    <t>2025/11/25 14:50</t>
  </si>
  <si>
    <t>4,725,000</t>
  </si>
  <si>
    <t>3,799,000</t>
  </si>
  <si>
    <t>2026/05/20 14:38:22</t>
  </si>
  <si>
    <t>急傾斜地崩壊対策工事（宿本工区修正設計業務委託）</t>
  </si>
  <si>
    <t>25000181517</t>
  </si>
  <si>
    <t>2025/11/25 14:30</t>
  </si>
  <si>
    <t>3,913,000</t>
  </si>
  <si>
    <t>3,146,000</t>
  </si>
  <si>
    <t>高橋測量設計株式会社 本店</t>
  </si>
  <si>
    <t>3,550,000</t>
  </si>
  <si>
    <t>2026/05/20 14:38:24</t>
  </si>
  <si>
    <t>交付金（改築）工事（中新田工区道路詳細設計業務委託）</t>
  </si>
  <si>
    <t>25000181712</t>
  </si>
  <si>
    <t>2025/11/25 13:43</t>
  </si>
  <si>
    <t>8,072,000</t>
  </si>
  <si>
    <t>6,487,000</t>
  </si>
  <si>
    <t>2026/05/20 14:38:30</t>
  </si>
  <si>
    <t>橋りょう架換工事（片柳二号橋下部工詳細設計業務委託）</t>
  </si>
  <si>
    <t>25000181723</t>
  </si>
  <si>
    <t>2025/11/25 13:20</t>
  </si>
  <si>
    <t>16,212,000</t>
  </si>
  <si>
    <t>13,022,000</t>
  </si>
  <si>
    <t>株式会社ＣＰＣ 埼玉事務所</t>
  </si>
  <si>
    <t>2026/05/20 14:38:32</t>
  </si>
  <si>
    <t>総委重）道路改築工事（高麗川橋予備設計業務委託）</t>
  </si>
  <si>
    <t>25000170203</t>
  </si>
  <si>
    <t>2025/11/25 13:10</t>
  </si>
  <si>
    <t>18,033,000</t>
  </si>
  <si>
    <t>14,485,000</t>
  </si>
  <si>
    <t>2026/05/20 14:38:34</t>
  </si>
  <si>
    <t>５３３２道構維持（足立陸橋点検委託）</t>
  </si>
  <si>
    <t>25000181237</t>
  </si>
  <si>
    <t>2025/11/21 13:50</t>
  </si>
  <si>
    <t>9,193,000</t>
  </si>
  <si>
    <t>7,396,000</t>
  </si>
  <si>
    <t>2026/05/20 14:38:36</t>
  </si>
  <si>
    <t>５３３１道構維持（志木陸橋点検委託）</t>
  </si>
  <si>
    <t>25000181233</t>
  </si>
  <si>
    <t>2025/11/21 13:23</t>
  </si>
  <si>
    <t>14,055,000</t>
  </si>
  <si>
    <t>11,306,000</t>
  </si>
  <si>
    <t>株式会社トーニチコンサルタント 北関東事務所</t>
  </si>
  <si>
    <t>2026/05/20 14:38:39</t>
  </si>
  <si>
    <t>河川改修（水辺）工事（吉野川測量設計業務委託）６４７</t>
  </si>
  <si>
    <t>25000178081</t>
  </si>
  <si>
    <t>2025/11/20 13:50</t>
  </si>
  <si>
    <t>8,044,000</t>
  </si>
  <si>
    <t>6,388,000</t>
  </si>
  <si>
    <t>株式会社技術開発コンサルタント 本店</t>
  </si>
  <si>
    <t>7,350,000</t>
  </si>
  <si>
    <t>2026/05/20 14:38:41</t>
  </si>
  <si>
    <t>河川改修（水辺）工事（忍川護岸設計業務委託）６４９</t>
  </si>
  <si>
    <t>25000178089</t>
  </si>
  <si>
    <t>2025/11/20 13:45</t>
  </si>
  <si>
    <t>8,788,000</t>
  </si>
  <si>
    <t>7,062,000</t>
  </si>
  <si>
    <t>有限会社エスケイプランニング 本店</t>
  </si>
  <si>
    <t>8,340,000</t>
  </si>
  <si>
    <t>2026/05/20 14:38:43</t>
  </si>
  <si>
    <t>道路改築工事（大滝トンネル工事監督支援業務委託その１３）</t>
  </si>
  <si>
    <t>25000181826</t>
  </si>
  <si>
    <t>2025/11/20 13:31</t>
  </si>
  <si>
    <t>8,398,000</t>
  </si>
  <si>
    <t>6,801,000</t>
  </si>
  <si>
    <t>7,970,000</t>
  </si>
  <si>
    <t>2026/05/20 14:38:45</t>
  </si>
  <si>
    <t>地区－２）地域整備事業候補地選定調査修正設計業務委託</t>
  </si>
  <si>
    <t>25100155770</t>
  </si>
  <si>
    <t>2025/11/20 10:10</t>
  </si>
  <si>
    <t>15,589,000</t>
  </si>
  <si>
    <t>12,514,000</t>
  </si>
  <si>
    <t>埼玉県 企業局 地域整備課</t>
  </si>
  <si>
    <t>株式会社テイコク さいたま営業所</t>
  </si>
  <si>
    <t>2026/05/20 14:38:47</t>
  </si>
  <si>
    <t>電線地中化工事（修正設計業務委託その２）</t>
  </si>
  <si>
    <t>25000172594</t>
  </si>
  <si>
    <t>2025/11/20 09:51</t>
  </si>
  <si>
    <t>14,024,000</t>
  </si>
  <si>
    <t>11,266,000</t>
  </si>
  <si>
    <t>2026/05/20 14:38:49</t>
  </si>
  <si>
    <t>河川改修工事（豊野橋施工計画検討業務委託）</t>
  </si>
  <si>
    <t>25000172707</t>
  </si>
  <si>
    <t>2025/11/20 09:31</t>
  </si>
  <si>
    <t>8,099,000</t>
  </si>
  <si>
    <t>6,508,000</t>
  </si>
  <si>
    <t>2026/05/20 14:38:55</t>
  </si>
  <si>
    <t>７萩平笠山線森林管理道舗装調査測量設計業務</t>
  </si>
  <si>
    <t>25000186227</t>
  </si>
  <si>
    <t>2025/11/20 09:03</t>
  </si>
  <si>
    <t>9,360,000</t>
  </si>
  <si>
    <t>7,370,000</t>
  </si>
  <si>
    <t>8,390,000</t>
  </si>
  <si>
    <t>2026/05/20 14:38:57</t>
  </si>
  <si>
    <t>道路安全施設工事（門型標識定期点検業務委託その２）</t>
  </si>
  <si>
    <t>25000181253</t>
  </si>
  <si>
    <t>2025/11/19 14:46</t>
  </si>
  <si>
    <t>10,804,000</t>
  </si>
  <si>
    <t>8,702,000</t>
  </si>
  <si>
    <t>28</t>
  </si>
  <si>
    <t>2026/05/20 14:39:00</t>
  </si>
  <si>
    <t>道路安全施設工事（門型標識定期点検業務委託その１）</t>
  </si>
  <si>
    <t>25000181247</t>
  </si>
  <si>
    <t>2025/11/19 14:02</t>
  </si>
  <si>
    <t>11,743,000</t>
  </si>
  <si>
    <t>9,460,000</t>
  </si>
  <si>
    <t>株式会社八州 北関東支社</t>
  </si>
  <si>
    <t>2026/05/20 14:39:02</t>
  </si>
  <si>
    <t>街路整備工事（交通量調査業務委託）</t>
  </si>
  <si>
    <t>25000180778</t>
  </si>
  <si>
    <t>2025/11/18 13:10</t>
  </si>
  <si>
    <t>7,673,000</t>
  </si>
  <si>
    <t>5,968,000</t>
  </si>
  <si>
    <t>7,280,000</t>
  </si>
  <si>
    <t>2026/05/20 14:39:04</t>
  </si>
  <si>
    <t>総委重）河川改修工事（安藤川堰予備設計業務委託）</t>
  </si>
  <si>
    <t>25000175639</t>
  </si>
  <si>
    <t>2025/11/18 13:06</t>
  </si>
  <si>
    <t>17,578,000</t>
  </si>
  <si>
    <t>14,116,000</t>
  </si>
  <si>
    <t>2026/05/20 14:39:06</t>
  </si>
  <si>
    <t>道路築造実施設計業務委託（Ｒ７－１）</t>
  </si>
  <si>
    <t>25000169949</t>
  </si>
  <si>
    <t>2025/11/14 14:17</t>
  </si>
  <si>
    <t>14,496,000</t>
  </si>
  <si>
    <t>11,529,000</t>
  </si>
  <si>
    <t>2026/05/20 14:39:08</t>
  </si>
  <si>
    <t>交差点整備工事（測量設計業務委託）蛭川交差点外</t>
  </si>
  <si>
    <t>25000179497</t>
  </si>
  <si>
    <t>2025/11/13 14:30</t>
  </si>
  <si>
    <t>9,000,000</t>
  </si>
  <si>
    <t>7,108,000</t>
  </si>
  <si>
    <t>8,490,000</t>
  </si>
  <si>
    <t>2026/05/20 14:39:10</t>
  </si>
  <si>
    <t>河川改修工事（忍川・設計図書作成業務委託）</t>
  </si>
  <si>
    <t>25000178528</t>
  </si>
  <si>
    <t>2025/11/13 10:30</t>
  </si>
  <si>
    <t>1,691,000</t>
  </si>
  <si>
    <t>2026/05/20 14:39:13</t>
  </si>
  <si>
    <t>橋りょう修繕工事（べにばな陸橋補修設計業務委託）</t>
  </si>
  <si>
    <t>25000173508</t>
  </si>
  <si>
    <t>2025/11/13 10:21</t>
  </si>
  <si>
    <t>10,500,000</t>
  </si>
  <si>
    <t>8,435,000</t>
  </si>
  <si>
    <t>33</t>
  </si>
  <si>
    <t>2026/05/20 14:39:15</t>
  </si>
  <si>
    <t>橋りょう修繕工事（金剛坊橋耐震補強設計業務委託）</t>
  </si>
  <si>
    <t>25000172541</t>
  </si>
  <si>
    <t>2025/11/13 10:00</t>
  </si>
  <si>
    <t>14,375,000</t>
  </si>
  <si>
    <t>11,545,000</t>
  </si>
  <si>
    <t>2026/05/20 14:39:20</t>
  </si>
  <si>
    <t>街路整備工事（Ｒ７工事監督支援業務委託）</t>
  </si>
  <si>
    <t>25100155618</t>
  </si>
  <si>
    <t>2025/11/13 09:02</t>
  </si>
  <si>
    <t>9,598,000</t>
  </si>
  <si>
    <t>7,770,000</t>
  </si>
  <si>
    <t>第一復建株式会社 埼玉事務所</t>
  </si>
  <si>
    <t>2026/05/20 14:39:23</t>
  </si>
  <si>
    <t>南部流域処理場３系水処理電気設備改築実施設計業務委託</t>
  </si>
  <si>
    <t>25200155648</t>
  </si>
  <si>
    <t>2025/11/12 13:35</t>
  </si>
  <si>
    <t>17,727,000</t>
  </si>
  <si>
    <t>14,236,000</t>
  </si>
  <si>
    <t>株式会社三水コンサルタント 埼玉事務所</t>
  </si>
  <si>
    <t>2026/05/20 14:39:25</t>
  </si>
  <si>
    <t>公園等施設補修工事（秩父・災害関連園地修正設計業務委託）</t>
  </si>
  <si>
    <t>25100155737</t>
  </si>
  <si>
    <t>2025/11/12 10:44</t>
  </si>
  <si>
    <t>3,569,000</t>
  </si>
  <si>
    <t>株式会社千島測量設計 本店</t>
  </si>
  <si>
    <t>2026/05/20 14:39:27</t>
  </si>
  <si>
    <t>砂防維持修繕工事（桃の木沢改築・更新予備設計業務委託）</t>
  </si>
  <si>
    <t>25000175915</t>
  </si>
  <si>
    <t>2025/11/11 13:28</t>
  </si>
  <si>
    <t>7,710,000</t>
  </si>
  <si>
    <t>6,195,000</t>
  </si>
  <si>
    <t>2026/05/20 14:39:29</t>
  </si>
  <si>
    <t>砂防維持修繕工事（大内沢改築・更新予備設計業務委託）</t>
  </si>
  <si>
    <t>25000176879</t>
  </si>
  <si>
    <t>2025/11/11 13:20</t>
  </si>
  <si>
    <t>2026/05/20 14:39:31</t>
  </si>
  <si>
    <t>総委重）社資（改築）工事（町役場前歩道橋詳細設計業務委託）</t>
  </si>
  <si>
    <t>25000168218</t>
  </si>
  <si>
    <t>2025/11/11 13:10</t>
  </si>
  <si>
    <t>17,546,000</t>
  </si>
  <si>
    <t>14,091,000</t>
  </si>
  <si>
    <t>2026/05/20 14:39:33</t>
  </si>
  <si>
    <t>総委重）急傾（本郷③詳細設計）</t>
  </si>
  <si>
    <t>25000164767</t>
  </si>
  <si>
    <t>2025/11/10 13:28</t>
  </si>
  <si>
    <t>8,972,000</t>
  </si>
  <si>
    <t>7,210,000</t>
  </si>
  <si>
    <t>2026/05/20 14:39:36</t>
  </si>
  <si>
    <t>総委重）砂防（上ノ原団地地区法面詳細調査）</t>
  </si>
  <si>
    <t>25000164220</t>
  </si>
  <si>
    <t>2025/11/10 13:22</t>
  </si>
  <si>
    <t>13,295,000</t>
  </si>
  <si>
    <t>10,699,000</t>
  </si>
  <si>
    <t>2026/05/20 14:39:38</t>
  </si>
  <si>
    <t>交差点（坂之下修正測量設計）</t>
  </si>
  <si>
    <t>25000176714</t>
  </si>
  <si>
    <t>2025/11/07 14:16</t>
  </si>
  <si>
    <t>6,493,000</t>
  </si>
  <si>
    <t>5,085,000</t>
  </si>
  <si>
    <t>5,890,000</t>
  </si>
  <si>
    <t>2026/05/20 14:39:40</t>
  </si>
  <si>
    <t>５２２８道改（付替水路詳細設計委託）</t>
  </si>
  <si>
    <t>25000174038</t>
  </si>
  <si>
    <t>2025/11/07 13:04</t>
  </si>
  <si>
    <t>1,732,000</t>
  </si>
  <si>
    <t>2026/05/20 14:39:46</t>
  </si>
  <si>
    <t>７太田部峠２号線森林管理道改良測量設計業務委託（大久保橋架換予備設計）</t>
  </si>
  <si>
    <t>25000171551</t>
  </si>
  <si>
    <t>2025/11/07 10:39</t>
  </si>
  <si>
    <t>8,580,000</t>
  </si>
  <si>
    <t>2026/05/20 14:39:48</t>
  </si>
  <si>
    <t>５２８０道路改築工事（道路詳細設計業務委託）</t>
  </si>
  <si>
    <t>25000166577</t>
  </si>
  <si>
    <t>2025/11/06 14:51</t>
  </si>
  <si>
    <t>18,020,000</t>
  </si>
  <si>
    <t>14,476,000</t>
  </si>
  <si>
    <t>60</t>
  </si>
  <si>
    <t>2026/05/20 14:39:50</t>
  </si>
  <si>
    <t>７広河原逆川線森林管理道改良測量設計業務委託</t>
  </si>
  <si>
    <t>25000168669</t>
  </si>
  <si>
    <t>2025/11/06 14:00</t>
  </si>
  <si>
    <t>2,560,000</t>
  </si>
  <si>
    <t>2,025,000</t>
  </si>
  <si>
    <t>2,390,000</t>
  </si>
  <si>
    <t>2026/05/20 14:39:52</t>
  </si>
  <si>
    <t>７大名栗線森林管理道改良測量設計業務委託</t>
  </si>
  <si>
    <t>25000168923</t>
  </si>
  <si>
    <t>2025/11/06 13:46</t>
  </si>
  <si>
    <t>1,324,000</t>
  </si>
  <si>
    <t>1,550,000</t>
  </si>
  <si>
    <t>2026/05/20 14:39:54</t>
  </si>
  <si>
    <t>自歩道整備工事（測量設計業務委託）児玉工区</t>
  </si>
  <si>
    <t>25100155603</t>
  </si>
  <si>
    <t>2025/11/06 13:40</t>
  </si>
  <si>
    <t>6,374,000</t>
  </si>
  <si>
    <t>4,996,000</t>
  </si>
  <si>
    <t>5,880,000</t>
  </si>
  <si>
    <t>2026/05/20 14:39:56</t>
  </si>
  <si>
    <t>５２８７河川維持修繕工事（辰井川点検補修設計業務委託）</t>
  </si>
  <si>
    <t>25100155452</t>
  </si>
  <si>
    <t>2025/11/06 13:32</t>
  </si>
  <si>
    <t>9,417,000</t>
  </si>
  <si>
    <t>7,560,000</t>
  </si>
  <si>
    <t>株式会社エース 埼玉営業所</t>
  </si>
  <si>
    <t>2026/05/20 14:39:59</t>
  </si>
  <si>
    <t>７西名栗線（武川岳工区）森林管理道開設調査測量設計業務委託</t>
  </si>
  <si>
    <t>25000170426</t>
  </si>
  <si>
    <t>2025/11/06 13:23</t>
  </si>
  <si>
    <t>5,220,000</t>
  </si>
  <si>
    <t>4,100,000</t>
  </si>
  <si>
    <t>4,920,000</t>
  </si>
  <si>
    <t>2026/05/20 14:40:01</t>
  </si>
  <si>
    <t>舗装通常修繕工事（舗装たわみ量（ＦＷＤ）調査業務委託）</t>
  </si>
  <si>
    <t>25000173667</t>
  </si>
  <si>
    <t>2025/11/06 13:20</t>
  </si>
  <si>
    <t>2,655,000</t>
  </si>
  <si>
    <t>2,095,000</t>
  </si>
  <si>
    <t>2026/05/20 14:40:03</t>
  </si>
  <si>
    <t>災害防除工事（井上工区測量設計業務委託）</t>
  </si>
  <si>
    <t>25000165472</t>
  </si>
  <si>
    <t>2025/11/04 14:20</t>
  </si>
  <si>
    <t>6,523,000</t>
  </si>
  <si>
    <t>5,134,000</t>
  </si>
  <si>
    <t>6,100,000</t>
  </si>
  <si>
    <t>2026/05/20 14:40:05</t>
  </si>
  <si>
    <t>災害防除工事（下名栗工区その２測量設計業務委託）</t>
  </si>
  <si>
    <t>25000165514</t>
  </si>
  <si>
    <t>2025/11/04 14:11</t>
  </si>
  <si>
    <t>7,135,000</t>
  </si>
  <si>
    <t>5,648,000</t>
  </si>
  <si>
    <t>6,600,000</t>
  </si>
  <si>
    <t>2026/05/20 14:40:11</t>
  </si>
  <si>
    <t>５４４３排水機場等維持修繕工事（鴻沼排水機場中央監視装置設計業務委託）</t>
  </si>
  <si>
    <t>25000161976</t>
  </si>
  <si>
    <t>2025/10/31 14:35</t>
  </si>
  <si>
    <t>17,426,000</t>
  </si>
  <si>
    <t>13,999,000</t>
  </si>
  <si>
    <t>2026/05/20 14:40:13</t>
  </si>
  <si>
    <t>総委重）５２５９河川改修工事（栄調節池弾力的運用検討業務委託）</t>
  </si>
  <si>
    <t>25000132516</t>
  </si>
  <si>
    <t>2025/10/31 13:30</t>
  </si>
  <si>
    <t>18,618,000</t>
  </si>
  <si>
    <t>14,956,000</t>
  </si>
  <si>
    <t>2026/05/20 14:40:15</t>
  </si>
  <si>
    <t>５５０２河改（新・越・下水施設移設予備設計業務委託）</t>
  </si>
  <si>
    <t>25000169788</t>
  </si>
  <si>
    <t>2025/10/31 13:20</t>
  </si>
  <si>
    <t>5,341,000</t>
  </si>
  <si>
    <t>4,294,000</t>
  </si>
  <si>
    <t>2026/05/20 14:40:17</t>
  </si>
  <si>
    <t>右岸流域処理場（川越）井水貯水槽ほか改築実施設計業務委託</t>
  </si>
  <si>
    <t>25200155443</t>
  </si>
  <si>
    <t>2025/10/31 10:02</t>
  </si>
  <si>
    <t>13,511,000</t>
  </si>
  <si>
    <t>10,851,000</t>
  </si>
  <si>
    <t>13,510,000</t>
  </si>
  <si>
    <t>2026/05/20 14:40:20</t>
  </si>
  <si>
    <t>中川流域処理場用水設備改築実施設計業務委託</t>
  </si>
  <si>
    <t>25240000054</t>
  </si>
  <si>
    <t>2025/10/30 14:00</t>
  </si>
  <si>
    <t>18,083,000</t>
  </si>
  <si>
    <t>14,522,000</t>
  </si>
  <si>
    <t>埼玉県 下水道局 中川下水道事務所</t>
  </si>
  <si>
    <t>2026/05/20 14:40:22</t>
  </si>
  <si>
    <t>電線地中化（道路）整備工事（修正設計業務委託）</t>
  </si>
  <si>
    <t>25000164137</t>
  </si>
  <si>
    <t>2025/10/30 13:30</t>
  </si>
  <si>
    <t>6,854,000</t>
  </si>
  <si>
    <t>5,509,000</t>
  </si>
  <si>
    <t>2026/05/20 14:40:24</t>
  </si>
  <si>
    <t>河改（新河岸川築堤修正設計）</t>
  </si>
  <si>
    <t>25000163537</t>
  </si>
  <si>
    <t>2025/10/30 13:21</t>
  </si>
  <si>
    <t>9,069,000</t>
  </si>
  <si>
    <t>7,288,000</t>
  </si>
  <si>
    <t>2026/05/20 14:40:26</t>
  </si>
  <si>
    <t>社資（砂防）工事（積算技術業務委託）</t>
  </si>
  <si>
    <t>25000161621</t>
  </si>
  <si>
    <t>2025/10/30 13:20</t>
  </si>
  <si>
    <t>18,146,000</t>
  </si>
  <si>
    <t>14,564,000</t>
  </si>
  <si>
    <t>2026/05/20 14:40:28</t>
  </si>
  <si>
    <t>県南地域交通環境改善検討業務委託</t>
  </si>
  <si>
    <t>25000168707</t>
  </si>
  <si>
    <t>2025/10/30 10:35</t>
  </si>
  <si>
    <t>2,954,000</t>
  </si>
  <si>
    <t>埼玉県 県土整備部 県土整備政策課</t>
  </si>
  <si>
    <t>2026/05/20 14:40:31</t>
  </si>
  <si>
    <t>道路網構想推進業務委託（橋梁維持管理・更新システム改修）</t>
  </si>
  <si>
    <t>25000166951</t>
  </si>
  <si>
    <t>2025/10/30 10:32</t>
  </si>
  <si>
    <t>8,471,000</t>
  </si>
  <si>
    <t>2026/05/20 14:40:36</t>
  </si>
  <si>
    <t>南部流域鴨川第２８号ほか流量計改築実施設計業務委託</t>
  </si>
  <si>
    <t>25200155389</t>
  </si>
  <si>
    <t>2025/10/29 13:37</t>
  </si>
  <si>
    <t>13,821,000</t>
  </si>
  <si>
    <t>11,101,000</t>
  </si>
  <si>
    <t>日本技術サービス株式会社 埼玉事務所</t>
  </si>
  <si>
    <t>2026/05/20 14:40:38</t>
  </si>
  <si>
    <t>中川流域中央幹線ほか幹線流量計改築実施設計業務委託その２</t>
  </si>
  <si>
    <t>25200155356</t>
  </si>
  <si>
    <t>2025/10/28 13:30</t>
  </si>
  <si>
    <t>11,810,000</t>
  </si>
  <si>
    <t>9,486,000</t>
  </si>
  <si>
    <t>2026/05/20 14:40:41</t>
  </si>
  <si>
    <t>地域整備事業予備調査業務委託</t>
  </si>
  <si>
    <t>25100155263</t>
  </si>
  <si>
    <t>2025/10/28 10:01</t>
  </si>
  <si>
    <t>12,205,000</t>
  </si>
  <si>
    <t>9,798,000</t>
  </si>
  <si>
    <t>2026/05/20 14:40:43</t>
  </si>
  <si>
    <t>７水活さ設第２号遊歩道台帳更新等業務委託</t>
  </si>
  <si>
    <t>005</t>
  </si>
  <si>
    <t>2025/10/27 10:31</t>
  </si>
  <si>
    <t>4,970,000</t>
  </si>
  <si>
    <t>3,912,000</t>
  </si>
  <si>
    <t>埼玉県 農林部 さいたま農林振興センター</t>
  </si>
  <si>
    <t>4,780,000</t>
  </si>
  <si>
    <t>2026/05/20 14:40:45</t>
  </si>
  <si>
    <t>総委重）５２１７道改工事（電線共同溝予備設計業務委託）</t>
  </si>
  <si>
    <t>25000154107</t>
  </si>
  <si>
    <t>2025/10/24 13:05</t>
  </si>
  <si>
    <t>11,209,000</t>
  </si>
  <si>
    <t>9,004,000</t>
  </si>
  <si>
    <t>2026/05/20 14:40:47</t>
  </si>
  <si>
    <t>市野川流域嵐山幹線人孔浮上診断業務委託</t>
  </si>
  <si>
    <t>25200155307</t>
  </si>
  <si>
    <t>2025/10/24 09:34</t>
  </si>
  <si>
    <t>14,951,000</t>
  </si>
  <si>
    <t>11,862,000</t>
  </si>
  <si>
    <t>2026/05/20 14:40:49</t>
  </si>
  <si>
    <t>道路改築工事（大滝トンネル自転車歩行者道設置等設計業務委託）</t>
  </si>
  <si>
    <t>25000154348</t>
  </si>
  <si>
    <t>2025/10/23 13:43</t>
  </si>
  <si>
    <t>6,718,000</t>
  </si>
  <si>
    <t>2026/05/20 14:40:52</t>
  </si>
  <si>
    <t>道路改築工事（長尾根バイパス補強土詳細設計業務委託）</t>
  </si>
  <si>
    <t>25000153916</t>
  </si>
  <si>
    <t>2025/10/23 13:32</t>
  </si>
  <si>
    <t>7,279,000</t>
  </si>
  <si>
    <t>5,850,000</t>
  </si>
  <si>
    <t>2026/05/20 14:40:54</t>
  </si>
  <si>
    <t>道路改築工事（交通量調査業務委託）２０２</t>
  </si>
  <si>
    <t>25000152960</t>
  </si>
  <si>
    <t>2025/10/23 13:10</t>
  </si>
  <si>
    <t>4,270,000</t>
  </si>
  <si>
    <t>3,294,000</t>
  </si>
  <si>
    <t>株式会社北武蔵調査測量設計事務所 本店</t>
  </si>
  <si>
    <t>2026/05/20 14:40:56</t>
  </si>
  <si>
    <t>古利根流域栗橋大利根幹線管渠改築設計業務委託</t>
  </si>
  <si>
    <t>25200155297</t>
  </si>
  <si>
    <t>2025/10/23 10:41</t>
  </si>
  <si>
    <t>10,782,000</t>
  </si>
  <si>
    <t>8,579,000</t>
  </si>
  <si>
    <t>8,593,000</t>
  </si>
  <si>
    <t>2026/05/20 14:41:02</t>
  </si>
  <si>
    <t>古利根流域菖蒲第一幹線管渠改築設計業務委託その１</t>
  </si>
  <si>
    <t>25200155296</t>
  </si>
  <si>
    <t>2025/10/23 10:09</t>
  </si>
  <si>
    <t>13,811,000</t>
  </si>
  <si>
    <t>11,031,000</t>
  </si>
  <si>
    <t>11,038,000</t>
  </si>
  <si>
    <t>2026/05/20 14:41:04</t>
  </si>
  <si>
    <t>古利根流域菖蒲第一幹線管渠改築設計業務委託その２</t>
  </si>
  <si>
    <t>25200155295</t>
  </si>
  <si>
    <t>2025/10/23 09:36</t>
  </si>
  <si>
    <t>11,039,000</t>
  </si>
  <si>
    <t>2026/05/20 14:41:06</t>
  </si>
  <si>
    <t>総合交付金（橋りょう）工事（春日部菖蒲線・函渠工積算技術業務委託）</t>
  </si>
  <si>
    <t>25000160910</t>
  </si>
  <si>
    <t>2025/10/23 09:03</t>
  </si>
  <si>
    <t>6,043,000</t>
  </si>
  <si>
    <t>4,852,000</t>
  </si>
  <si>
    <t>2026/05/20 14:41:08</t>
  </si>
  <si>
    <t>利根右流域処理場場内返送管調査設計業務委託</t>
  </si>
  <si>
    <t>25200155317</t>
  </si>
  <si>
    <t>2025/10/22 13:39</t>
  </si>
  <si>
    <t>6,598,000</t>
  </si>
  <si>
    <t>5,302,000</t>
  </si>
  <si>
    <t>2026/05/20 14:41:10</t>
  </si>
  <si>
    <t>河川改修工事（山田工区修正設計業務委託その２）</t>
  </si>
  <si>
    <t>25000151182</t>
  </si>
  <si>
    <t>2025/10/21 13:30</t>
  </si>
  <si>
    <t>7,162,000</t>
  </si>
  <si>
    <t>2026/05/20 14:41:13</t>
  </si>
  <si>
    <t>河川改修調査工事（河川改修計画集作成業務委託）</t>
  </si>
  <si>
    <t>25000148763</t>
  </si>
  <si>
    <t>2025/10/21 13:22</t>
  </si>
  <si>
    <t>8,204,000</t>
  </si>
  <si>
    <t>6,587,000</t>
  </si>
  <si>
    <t>2026/05/20 14:41:15</t>
  </si>
  <si>
    <t>道路改築工事（三山工区道路予備設計業務委託）</t>
  </si>
  <si>
    <t>25000145202</t>
  </si>
  <si>
    <t>2025/10/21 13:20</t>
  </si>
  <si>
    <t>9,976,000</t>
  </si>
  <si>
    <t>8,016,000</t>
  </si>
  <si>
    <t>2026/05/20 14:41:17</t>
  </si>
  <si>
    <t>河川改修工事（霞川水理解析業務委託）</t>
  </si>
  <si>
    <t>25100155188</t>
  </si>
  <si>
    <t>2025/10/20 13:21</t>
  </si>
  <si>
    <t>8,117,000</t>
  </si>
  <si>
    <t>6,517,000</t>
  </si>
  <si>
    <t>2026/05/20 14:41:19</t>
  </si>
  <si>
    <t>総委重）５１０６街整（スクラム）工事（擁壁設計業務委託）</t>
  </si>
  <si>
    <t>25000147121</t>
  </si>
  <si>
    <t>2025/10/20 13:04</t>
  </si>
  <si>
    <t>9,130,000</t>
  </si>
  <si>
    <t>7,337,000</t>
  </si>
  <si>
    <t>2026/05/20 14:41:21</t>
  </si>
  <si>
    <t>右岸流域処理場水処理設備改築基本設計業務委託</t>
  </si>
  <si>
    <t>25200155261</t>
  </si>
  <si>
    <t>2025/10/20 10:04</t>
  </si>
  <si>
    <t>株式会社日産技術コンサルタント 埼玉事務所</t>
  </si>
  <si>
    <t>2026/05/20 14:41:27</t>
  </si>
  <si>
    <t>砂防維持修繕工事（埼玉県砂防関係施設長寿命化計画策定業務委託）</t>
  </si>
  <si>
    <t>25000147507</t>
  </si>
  <si>
    <t>2025/10/20 09:05</t>
  </si>
  <si>
    <t>18,119,000</t>
  </si>
  <si>
    <t>14,543,000</t>
  </si>
  <si>
    <t>2026/05/20 14:41:29</t>
  </si>
  <si>
    <t>雨水・汚水排水実施設計業務委託（Ｒ７－１）</t>
  </si>
  <si>
    <t>25000145167</t>
  </si>
  <si>
    <t>2025/10/17 14:00</t>
  </si>
  <si>
    <t>17,660,000</t>
  </si>
  <si>
    <t>14,182,000</t>
  </si>
  <si>
    <t>2026/05/20 14:41:32</t>
  </si>
  <si>
    <t>右岸流域川島北中継バイパス水路設計業務委託</t>
  </si>
  <si>
    <t>25200155189</t>
  </si>
  <si>
    <t>2025/10/17 13:31</t>
  </si>
  <si>
    <t>11,647,000</t>
  </si>
  <si>
    <t>9,355,000</t>
  </si>
  <si>
    <t>2026/05/20 14:41:34</t>
  </si>
  <si>
    <t>７巣場治山全体計画作成等業務委託</t>
  </si>
  <si>
    <t>25000150494</t>
  </si>
  <si>
    <t>2025/10/17 10:02</t>
  </si>
  <si>
    <t>10,100,000</t>
  </si>
  <si>
    <t>8,129,000</t>
  </si>
  <si>
    <t>2026/05/20 14:41:36</t>
  </si>
  <si>
    <t>社資（交安）工事（測量設計業務委託）長浜宮工区</t>
  </si>
  <si>
    <t>25000150488</t>
  </si>
  <si>
    <t>2025/10/16 14:10</t>
  </si>
  <si>
    <t>5,611,000</t>
  </si>
  <si>
    <t>4,401,000</t>
  </si>
  <si>
    <t>2026/05/20 14:41:38</t>
  </si>
  <si>
    <t>路面性状調査業務委託その２（一般県道）</t>
  </si>
  <si>
    <t>25100155248</t>
  </si>
  <si>
    <t>2025/10/16 13:35</t>
  </si>
  <si>
    <t>6,959,000</t>
  </si>
  <si>
    <t>5,405,000</t>
  </si>
  <si>
    <t>2026/05/20 14:41:40</t>
  </si>
  <si>
    <t>路面性状調査業務委託その１（一般県道）</t>
  </si>
  <si>
    <t>25100155247</t>
  </si>
  <si>
    <t>2025/10/16 13:30</t>
  </si>
  <si>
    <t>7,921,000</t>
  </si>
  <si>
    <t>6,163,000</t>
  </si>
  <si>
    <t>国際航業株式会社 埼玉支店</t>
  </si>
  <si>
    <t>2026/05/20 14:41:42</t>
  </si>
  <si>
    <t>総委重）砂防施設工事（慈光寺川全体計画策定業務委託）</t>
  </si>
  <si>
    <t>25000142741</t>
  </si>
  <si>
    <t>2025/10/16 13:02</t>
  </si>
  <si>
    <t>17,601,000</t>
  </si>
  <si>
    <t>14,129,000</t>
  </si>
  <si>
    <t>2026/05/20 14:41:45</t>
  </si>
  <si>
    <t>７仙女設第１号ため池整備実施設計業務委託</t>
  </si>
  <si>
    <t>25000144584</t>
  </si>
  <si>
    <t>2025/10/14 09:00</t>
  </si>
  <si>
    <t>5,310,000</t>
  </si>
  <si>
    <t>5,100,000</t>
  </si>
  <si>
    <t>2026/05/20 14:41:47</t>
  </si>
  <si>
    <t>道路構造物維持工事（橋りょう点検業務委託その１５）</t>
  </si>
  <si>
    <t>25100155177</t>
  </si>
  <si>
    <t>2025/10/10 13:48</t>
  </si>
  <si>
    <t>7,555,000</t>
  </si>
  <si>
    <t>6,073,000</t>
  </si>
  <si>
    <t>2026/05/20 14:41:52</t>
  </si>
  <si>
    <t>道路構造物維持工事（橋りょう点検業務委託その１４）</t>
  </si>
  <si>
    <t>25100155176</t>
  </si>
  <si>
    <t>2025/10/10 13:42</t>
  </si>
  <si>
    <t>7,998,000</t>
  </si>
  <si>
    <t>6,430,000</t>
  </si>
  <si>
    <t>2026/05/20 14:41:55</t>
  </si>
  <si>
    <t>道路構造物維持工事（橋りょう点検業務委託その１２）</t>
  </si>
  <si>
    <t>25100155175</t>
  </si>
  <si>
    <t>2025/10/10 13:35</t>
  </si>
  <si>
    <t>8,422,000</t>
  </si>
  <si>
    <t>6,842,000</t>
  </si>
  <si>
    <t>株式会社橋梁コンサルタント さいたま事務所</t>
  </si>
  <si>
    <t>2026/05/20 14:41:57</t>
  </si>
  <si>
    <t>道路構造物維持工事（橋りょう点検業務委託その１３）</t>
  </si>
  <si>
    <t>25100155174</t>
  </si>
  <si>
    <t>2025/10/10 13:29</t>
  </si>
  <si>
    <t>8,598,000</t>
  </si>
  <si>
    <t>6,920,000</t>
  </si>
  <si>
    <t>2026/05/20 14:41:59</t>
  </si>
  <si>
    <t>道路構造物維持工事（橋りょう点検業務委託その９）</t>
  </si>
  <si>
    <t>25100155173</t>
  </si>
  <si>
    <t>2025/10/10 13:23</t>
  </si>
  <si>
    <t>8,599,000</t>
  </si>
  <si>
    <t>6,927,000</t>
  </si>
  <si>
    <t>2026/05/20 14:42:01</t>
  </si>
  <si>
    <t>道路構造物維持工事（橋りょう点検業務委託その１０）</t>
  </si>
  <si>
    <t>25100155172</t>
  </si>
  <si>
    <t>2025/10/10 13:17</t>
  </si>
  <si>
    <t>8,613,000</t>
  </si>
  <si>
    <t>6,929,000</t>
  </si>
  <si>
    <t>2026/05/20 14:42:03</t>
  </si>
  <si>
    <t>道路構造物維持工事（橋りょう点検業務委託その１１）</t>
  </si>
  <si>
    <t>25100155171</t>
  </si>
  <si>
    <t>2025/10/10 13:10</t>
  </si>
  <si>
    <t>9,068,000</t>
  </si>
  <si>
    <t>7,344,000</t>
  </si>
  <si>
    <t>2026/05/20 14:42:06</t>
  </si>
  <si>
    <t>地区－１）地域整備事業候補地選定調査修正設計業務委託</t>
  </si>
  <si>
    <t>25100154811</t>
  </si>
  <si>
    <t>2025/10/10 10:01</t>
  </si>
  <si>
    <t>4,331,000</t>
  </si>
  <si>
    <t>2026/05/20 14:42:08</t>
  </si>
  <si>
    <t>道路交通情勢調査（交通量調査業務委託その２）</t>
  </si>
  <si>
    <t>25100155125</t>
  </si>
  <si>
    <t>2025/10/09 14:11</t>
  </si>
  <si>
    <t>6,765,000</t>
  </si>
  <si>
    <t>5,252,000</t>
  </si>
  <si>
    <t>6,250,000</t>
  </si>
  <si>
    <t>2026/05/20 14:42:10</t>
  </si>
  <si>
    <t>道路交通情勢調査（交通量調査業務委託その１）</t>
  </si>
  <si>
    <t>25100155124</t>
  </si>
  <si>
    <t>2025/10/09 14:00</t>
  </si>
  <si>
    <t>8,110,000</t>
  </si>
  <si>
    <t>6,312,000</t>
  </si>
  <si>
    <t>7,500,000</t>
  </si>
  <si>
    <t>2026/05/20 14:42:12</t>
  </si>
  <si>
    <t>道路交通情勢調査（交通量調査・旅行速度調査業務委託）</t>
  </si>
  <si>
    <t>25100155123</t>
  </si>
  <si>
    <t>2025/10/09 13:50</t>
  </si>
  <si>
    <t>8,758,000</t>
  </si>
  <si>
    <t>6,824,000</t>
  </si>
  <si>
    <t>8,090,000</t>
  </si>
  <si>
    <t>2026/05/20 14:42:18</t>
  </si>
  <si>
    <t>砂防維持修繕工事（枌木川測量設計業務委託）</t>
  </si>
  <si>
    <t>25000141902</t>
  </si>
  <si>
    <t>2025/10/09 13:12</t>
  </si>
  <si>
    <t>7,105,000</t>
  </si>
  <si>
    <t>5,630,000</t>
  </si>
  <si>
    <t>2026/05/20 14:42:20</t>
  </si>
  <si>
    <t>橋りょう修繕工事（鍋蔓橋補修設計業務委託）</t>
  </si>
  <si>
    <t>25000139265</t>
  </si>
  <si>
    <t>2025/10/09 11:40</t>
  </si>
  <si>
    <t>8,283,000</t>
  </si>
  <si>
    <t>6,661,000</t>
  </si>
  <si>
    <t>2026/05/20 14:42:22</t>
  </si>
  <si>
    <t>街路整備工事（東武動物公園駅東口通り線・古川橋側道橋施工計画</t>
  </si>
  <si>
    <t>25000146832</t>
  </si>
  <si>
    <t>2025/10/09 11:00</t>
  </si>
  <si>
    <t>7,934,000</t>
  </si>
  <si>
    <t>2026/05/20 14:42:24</t>
  </si>
  <si>
    <t>路面性状調査業務委託（主要地方道）</t>
  </si>
  <si>
    <t>25000143757</t>
  </si>
  <si>
    <t>2025/10/09 10:40</t>
  </si>
  <si>
    <t>17,693,000</t>
  </si>
  <si>
    <t>13,919,000</t>
  </si>
  <si>
    <t>2026/05/20 14:42:26</t>
  </si>
  <si>
    <t>５２７９橋りょう修繕工事（古利根公園橋耐震補強設計業務委託）</t>
  </si>
  <si>
    <t>25100155106</t>
  </si>
  <si>
    <t>2025/10/09 10:32</t>
  </si>
  <si>
    <t>18,060,000</t>
  </si>
  <si>
    <t>14,503,000</t>
  </si>
  <si>
    <t>48</t>
  </si>
  <si>
    <t>2026/05/20 14:42:29</t>
  </si>
  <si>
    <t>自転車歩行車道整備工事（久下工区歩道設計業務委託）</t>
  </si>
  <si>
    <t>25000137425</t>
  </si>
  <si>
    <t>2025/10/09 10:30</t>
  </si>
  <si>
    <t>4,049,000</t>
  </si>
  <si>
    <t>3,255,000</t>
  </si>
  <si>
    <t>3,590,000</t>
  </si>
  <si>
    <t>2026/05/20 14:42:31</t>
  </si>
  <si>
    <t>路面性状調査業務委託（一般国道）</t>
  </si>
  <si>
    <t>25000137366</t>
  </si>
  <si>
    <t>2025/10/09 10:03</t>
  </si>
  <si>
    <t>9,439,000</t>
  </si>
  <si>
    <t>大日コンサルタント株式会社 埼玉事務所</t>
  </si>
  <si>
    <t>2026/05/20 14:42:33</t>
  </si>
  <si>
    <t>自転車歩行者道整備工事（佐間工区設計業務委託）</t>
  </si>
  <si>
    <t>25000129119</t>
  </si>
  <si>
    <t>2025/10/09 09:56</t>
  </si>
  <si>
    <t>6,383,000</t>
  </si>
  <si>
    <t>5,131,000</t>
  </si>
  <si>
    <t>6,160,000</t>
  </si>
  <si>
    <t>2026/05/20 14:42:35</t>
  </si>
  <si>
    <t>街路改良工事（軟弱地盤技術解析業務委託）</t>
  </si>
  <si>
    <t>25000128035</t>
  </si>
  <si>
    <t>2025/10/09 09:41</t>
  </si>
  <si>
    <t>9,636,000</t>
  </si>
  <si>
    <t>2026/05/20 14:42:37</t>
  </si>
  <si>
    <t>総委重）５２６２河川改修工事（三郷橋修正設計業務委託）</t>
  </si>
  <si>
    <t>25000109087</t>
  </si>
  <si>
    <t>2025/10/08 13:30</t>
  </si>
  <si>
    <t>18,727,000</t>
  </si>
  <si>
    <t>15,043,000</t>
  </si>
  <si>
    <t>2026/05/20 14:42:43</t>
  </si>
  <si>
    <t>総委重）河川改修事業（国庫）工事（新方川洪水調節施設詳細設計業務委託）</t>
  </si>
  <si>
    <t>25000093628</t>
  </si>
  <si>
    <t>2025/10/08 10:30</t>
  </si>
  <si>
    <t>46,190,000</t>
  </si>
  <si>
    <t>37,093,000</t>
  </si>
  <si>
    <t>2026/05/20 14:42:45</t>
  </si>
  <si>
    <t>７向堀治山測量設計業務（その２）</t>
  </si>
  <si>
    <t>205</t>
  </si>
  <si>
    <t>2025/10/08 09:04</t>
  </si>
  <si>
    <t>7,080,000</t>
  </si>
  <si>
    <t>5,670,000</t>
  </si>
  <si>
    <t>6,550,000</t>
  </si>
  <si>
    <t>2026/05/20 14:42:47</t>
  </si>
  <si>
    <t>ダム等施設管理工事（法面対策測量設計業務委託）</t>
  </si>
  <si>
    <t>25000138911</t>
  </si>
  <si>
    <t>2025/10/07 13:40</t>
  </si>
  <si>
    <t>5,907,000</t>
  </si>
  <si>
    <t>4,675,000</t>
  </si>
  <si>
    <t>5,350,000</t>
  </si>
  <si>
    <t>2026/05/20 14:42:50</t>
  </si>
  <si>
    <t>道路交通情勢調査（交通量調査業務委託その３）</t>
  </si>
  <si>
    <t>25100155098</t>
  </si>
  <si>
    <t>2025/10/07 13:35</t>
  </si>
  <si>
    <t>7,794,000</t>
  </si>
  <si>
    <t>6,063,000</t>
  </si>
  <si>
    <t>2026/05/20 14:42:52</t>
  </si>
  <si>
    <t>道路交通情勢調査（旅行速度調査業務委託）</t>
  </si>
  <si>
    <t>25100155097</t>
  </si>
  <si>
    <t>2025/10/07 13:31</t>
  </si>
  <si>
    <t>7,855,000</t>
  </si>
  <si>
    <t>7,486,000</t>
  </si>
  <si>
    <t>2026/05/20 14:42:54</t>
  </si>
  <si>
    <t>25100155096</t>
  </si>
  <si>
    <t>2025/10/07 13:25</t>
  </si>
  <si>
    <t>8,434,000</t>
  </si>
  <si>
    <t>6,567,000</t>
  </si>
  <si>
    <t>8,034,000</t>
  </si>
  <si>
    <t>2026/05/20 14:42:56</t>
  </si>
  <si>
    <t>25100155093</t>
  </si>
  <si>
    <t>2025/10/07 13:21</t>
  </si>
  <si>
    <t>6,761,000</t>
  </si>
  <si>
    <t>8,222,000</t>
  </si>
  <si>
    <t>2026/05/20 14:42:58</t>
  </si>
  <si>
    <t>道路改築工事（長尾根バイパス橋梁部護岸測量設計業務委託）</t>
  </si>
  <si>
    <t>25000136234</t>
  </si>
  <si>
    <t>2025/10/06 13:32</t>
  </si>
  <si>
    <t>6,844,000</t>
  </si>
  <si>
    <t>5,418,000</t>
  </si>
  <si>
    <t>2026/05/20 14:43:00</t>
  </si>
  <si>
    <t>５４４２排水機場等維持修繕工事（鴻沼排水樋門修繕設計業務委託）</t>
  </si>
  <si>
    <t>25100155026</t>
  </si>
  <si>
    <t>2025/10/06 13:10</t>
  </si>
  <si>
    <t>18,042,000</t>
  </si>
  <si>
    <t>14,493,000</t>
  </si>
  <si>
    <t>2026/05/20 14:43:02</t>
  </si>
  <si>
    <t>河川改修工事（中川・護岸設計業務委託）</t>
  </si>
  <si>
    <t>25000131049</t>
  </si>
  <si>
    <t>2025/10/06 09:05</t>
  </si>
  <si>
    <t>10,721,000</t>
  </si>
  <si>
    <t>8,614,000</t>
  </si>
  <si>
    <t>37</t>
  </si>
  <si>
    <t>2026/05/20 14:43:08</t>
  </si>
  <si>
    <t>５７５４河川改修工事（緑川水理解析業務委託）</t>
  </si>
  <si>
    <t>25000075706</t>
  </si>
  <si>
    <t>2025/10/03 13:10</t>
  </si>
  <si>
    <t>18,750,000</t>
  </si>
  <si>
    <t>18,735,000</t>
  </si>
  <si>
    <t>2026/05/20 14:43:10</t>
  </si>
  <si>
    <t>橋りょう修繕工事（押切橋施工計画作成業務委託）３８４</t>
  </si>
  <si>
    <t>25000130525</t>
  </si>
  <si>
    <t>2025/10/03 13:01</t>
  </si>
  <si>
    <t>6,997,000</t>
  </si>
  <si>
    <t>5,622,000</t>
  </si>
  <si>
    <t>2026/05/20 14:43:13</t>
  </si>
  <si>
    <t>一般競争入札（標準型）</t>
  </si>
  <si>
    <t>令和7年度流域下水道施設資産評価業務委託</t>
  </si>
  <si>
    <t>20250904</t>
  </si>
  <si>
    <t>2025/10/02 11:09</t>
  </si>
  <si>
    <t>埼玉県 下水道局 下水道管理課</t>
  </si>
  <si>
    <t>株式会社日建技術コンサルタント 埼玉事務所</t>
  </si>
  <si>
    <t>20,000,000</t>
  </si>
  <si>
    <t>2026/05/20 14:43:15</t>
  </si>
  <si>
    <t>総委重）橋りょう修繕工事（埼玉大橋修繕設計業務委託）</t>
  </si>
  <si>
    <t>25000126350</t>
  </si>
  <si>
    <t>2025/10/02 09:39</t>
  </si>
  <si>
    <t>14,131,000</t>
  </si>
  <si>
    <t>11,352,000</t>
  </si>
  <si>
    <t>2026/05/20 14:43:17</t>
  </si>
  <si>
    <t>５４４０河川改修工事（鴨川築堤工設計業務委託その７）</t>
  </si>
  <si>
    <t>25000129021</t>
  </si>
  <si>
    <t>2025/10/01 13:50</t>
  </si>
  <si>
    <t>11,737,000</t>
  </si>
  <si>
    <t>9,314,000</t>
  </si>
  <si>
    <t>2026/05/20 14:43:19</t>
  </si>
  <si>
    <t>道交情（２９９外交通量調査）</t>
  </si>
  <si>
    <t>25100155069</t>
  </si>
  <si>
    <t>2025/10/01 13:43</t>
  </si>
  <si>
    <t>6,404,000</t>
  </si>
  <si>
    <t>4,968,000</t>
  </si>
  <si>
    <t>株式会社未央測地設計 本店</t>
  </si>
  <si>
    <t>6,000,000</t>
  </si>
  <si>
    <t>2026/05/20 14:43:21</t>
  </si>
  <si>
    <t>５４３９河川改修工事（鴨川築堤工設計業務委託その６）</t>
  </si>
  <si>
    <t>25000128934</t>
  </si>
  <si>
    <t>2025/10/01 13:40</t>
  </si>
  <si>
    <t>14,302,000</t>
  </si>
  <si>
    <t>11,362,000</t>
  </si>
  <si>
    <t>2026/05/20 14:43:23</t>
  </si>
  <si>
    <t>道交情（４６３外交通量調査）</t>
  </si>
  <si>
    <t>20250909168158</t>
  </si>
  <si>
    <t>2025/10/01 13:36</t>
  </si>
  <si>
    <t>6,911,000</t>
  </si>
  <si>
    <t>5,366,000</t>
  </si>
  <si>
    <t>平和フィールド株式会社 本店</t>
  </si>
  <si>
    <t>2026/05/20 14:43:26</t>
  </si>
  <si>
    <t>道交情（２５４ＢＰ外交通量調査）</t>
  </si>
  <si>
    <t>25100155066</t>
  </si>
  <si>
    <t>2025/10/01 13:29</t>
  </si>
  <si>
    <t>8,700,000</t>
  </si>
  <si>
    <t>6,777,000</t>
  </si>
  <si>
    <t>8,250,000</t>
  </si>
  <si>
    <t>2026/05/20 14:43:28</t>
  </si>
  <si>
    <t>道交情（２５４ＢＰ外交通量調査・旅行速度調査）</t>
  </si>
  <si>
    <t>25100155065</t>
  </si>
  <si>
    <t>2025/10/01 13:22</t>
  </si>
  <si>
    <t>8,832,000</t>
  </si>
  <si>
    <t>2026/05/20 14:43:33</t>
  </si>
  <si>
    <t>ＧＩＳインフラ管理データ作成及び保管業務委託</t>
  </si>
  <si>
    <t>DX6</t>
  </si>
  <si>
    <t>2025/10/01 13:15</t>
  </si>
  <si>
    <t>25,288,000</t>
  </si>
  <si>
    <t>20,295,000</t>
  </si>
  <si>
    <t>2026/05/20 14:43:36</t>
  </si>
  <si>
    <t>北部流域熊谷幹線人孔浮上診断業務委託</t>
  </si>
  <si>
    <t>25200154965</t>
  </si>
  <si>
    <t>2025/09/29 16:12</t>
  </si>
  <si>
    <t>13,468,000</t>
  </si>
  <si>
    <t>10,628,000</t>
  </si>
  <si>
    <t>10,839,000</t>
  </si>
  <si>
    <t>2026/05/20 14:43:38</t>
  </si>
  <si>
    <t>25200154984</t>
  </si>
  <si>
    <t>2025/09/29 14:47</t>
  </si>
  <si>
    <t>2026/05/20 14:43:40</t>
  </si>
  <si>
    <t>北部流域桶川幹線人孔浮上診断業務委託その２</t>
  </si>
  <si>
    <t>25200154963</t>
  </si>
  <si>
    <t>2025/09/29 14:33</t>
  </si>
  <si>
    <t>14,806,000</t>
  </si>
  <si>
    <t>11,663,000</t>
  </si>
  <si>
    <t>シーエスコンサルタント株式会社 本店</t>
  </si>
  <si>
    <t>2026/05/20 14:43:42</t>
  </si>
  <si>
    <t>北部流域桶川幹線人孔浮上診断業務委託その１</t>
  </si>
  <si>
    <t>25200154953</t>
  </si>
  <si>
    <t>2025/09/29 14:04</t>
  </si>
  <si>
    <t>15,011,000</t>
  </si>
  <si>
    <t>11,844,000</t>
  </si>
  <si>
    <t>株式会社光エンジニアリング 本店</t>
  </si>
  <si>
    <t>2026/05/20 14:43:44</t>
  </si>
  <si>
    <t>北部流域元荒川幹線外人孔浮上診断業務委託</t>
  </si>
  <si>
    <t>25200154952</t>
  </si>
  <si>
    <t>2025/09/29 13:32</t>
  </si>
  <si>
    <t>15,571,000</t>
  </si>
  <si>
    <t>12,289,000</t>
  </si>
  <si>
    <t>2026/05/20 14:43:46</t>
  </si>
  <si>
    <t>中川流域中央幹線ほか幹線流量計改築実施設計業務委託その１</t>
  </si>
  <si>
    <t>25200154983</t>
  </si>
  <si>
    <t>2025/09/29 13:31</t>
  </si>
  <si>
    <t>13,751,000</t>
  </si>
  <si>
    <t>11,044,000</t>
  </si>
  <si>
    <t>株式会社エヌ・エス・シー・エンジニアリング 埼玉支店</t>
  </si>
  <si>
    <t>2026/05/20 14:43:49</t>
  </si>
  <si>
    <t>25000135835</t>
  </si>
  <si>
    <t>2025/09/29 13:25</t>
  </si>
  <si>
    <t>3,284,000</t>
  </si>
  <si>
    <t>2026/05/20 14:43:51</t>
  </si>
  <si>
    <t>０２５水整第１６２号 吉見浄水場工事監督支援業務委託</t>
  </si>
  <si>
    <t>25100154876</t>
  </si>
  <si>
    <t>2025/09/29 13:06</t>
  </si>
  <si>
    <t>10,433,000</t>
  </si>
  <si>
    <t>8,453,000</t>
  </si>
  <si>
    <t>埼玉県 企業局 水道整備事務所</t>
  </si>
  <si>
    <t>2026/05/20 14:43:53</t>
  </si>
  <si>
    <t>河川改修（水辺）工事（入間川護岸測量設計業務委託）</t>
  </si>
  <si>
    <t>25000116443</t>
  </si>
  <si>
    <t>2025/09/25 15:17</t>
  </si>
  <si>
    <t>6,628,000</t>
  </si>
  <si>
    <t>5,231,000</t>
  </si>
  <si>
    <t>2026/05/20 14:43:59</t>
  </si>
  <si>
    <t>橋りょう修繕工事（下ヶ坂橋（下り）耐震補強設計業務委託）</t>
  </si>
  <si>
    <t>25000124069</t>
  </si>
  <si>
    <t>2025/09/25 15:04</t>
  </si>
  <si>
    <t>8,585,000</t>
  </si>
  <si>
    <t>6,899,000</t>
  </si>
  <si>
    <t>2026/05/20 14:44:01</t>
  </si>
  <si>
    <t>道路構造物維持工事（橋りょう定期点検業務委託その４）</t>
  </si>
  <si>
    <t>25100154867</t>
  </si>
  <si>
    <t>2025/09/25 14:55</t>
  </si>
  <si>
    <t>7,893,000</t>
  </si>
  <si>
    <t>6,337,000</t>
  </si>
  <si>
    <t>2026/05/20 14:44:03</t>
  </si>
  <si>
    <t>道路構造物維持工事（橋りょう定期点検業務委託その６）</t>
  </si>
  <si>
    <t>25100154866</t>
  </si>
  <si>
    <t>2025/09/25 14:47</t>
  </si>
  <si>
    <t>8,028,000</t>
  </si>
  <si>
    <t>6,455,000</t>
  </si>
  <si>
    <t>2026/05/20 14:44:05</t>
  </si>
  <si>
    <t>道路構造物維持工事（橋りょう定期点検業務委託その３）</t>
  </si>
  <si>
    <t>25100154865</t>
  </si>
  <si>
    <t>2025/09/25 14:39</t>
  </si>
  <si>
    <t>8,720,000</t>
  </si>
  <si>
    <t>7,012,000</t>
  </si>
  <si>
    <t>アイテックコンサルタント株式会社 北関東支店</t>
  </si>
  <si>
    <t>2026/05/20 14:44:08</t>
  </si>
  <si>
    <t>道路構造物維持工事（橋りょう定期点検業務委託その５）</t>
  </si>
  <si>
    <t>25100154864</t>
  </si>
  <si>
    <t>2025/09/25 14:31</t>
  </si>
  <si>
    <t>8,753,000</t>
  </si>
  <si>
    <t>7,042,000</t>
  </si>
  <si>
    <t>2026/05/20 14:44:10</t>
  </si>
  <si>
    <t>道路構造物維持工事（橋りょう定期点検業務委託その２）</t>
  </si>
  <si>
    <t>25100154863</t>
  </si>
  <si>
    <t>2025/09/25 14:21</t>
  </si>
  <si>
    <t>8,965,000</t>
  </si>
  <si>
    <t>7,215,000</t>
  </si>
  <si>
    <t>2026/05/20 14:44:12</t>
  </si>
  <si>
    <t>道路構造物維持工事（橋りょう定期点検業務委託その１）</t>
  </si>
  <si>
    <t>25100154862</t>
  </si>
  <si>
    <t>2025/09/25 14:12</t>
  </si>
  <si>
    <t>9,007,000</t>
  </si>
  <si>
    <t>7,242,000</t>
  </si>
  <si>
    <t>2026/05/20 14:44:14</t>
  </si>
  <si>
    <t>橋りょう修繕工事（新三王橋耐震補強設計業務委託）</t>
  </si>
  <si>
    <t>25000119551</t>
  </si>
  <si>
    <t>2025/09/25 13:54</t>
  </si>
  <si>
    <t>13,621,000</t>
  </si>
  <si>
    <t>10,943,000</t>
  </si>
  <si>
    <t>2026/05/20 14:44:16</t>
  </si>
  <si>
    <t>橋りょう修繕工事（小指橋外１橋耐震補強詳細設計業務委託）</t>
  </si>
  <si>
    <t>25000120833</t>
  </si>
  <si>
    <t>2025/09/25 13:48</t>
  </si>
  <si>
    <t>15,474,000</t>
  </si>
  <si>
    <t>12,428,000</t>
  </si>
  <si>
    <t>46</t>
  </si>
  <si>
    <t>2026/05/20 14:44:18</t>
  </si>
  <si>
    <t>道改（ふじみ野朝霞（水子）地盤解析ほか）</t>
  </si>
  <si>
    <t>25000123326</t>
  </si>
  <si>
    <t>2025/09/25 13:44</t>
  </si>
  <si>
    <t>17,779,000</t>
  </si>
  <si>
    <t>14,275,000</t>
  </si>
  <si>
    <t>2026/05/20 14:44:24</t>
  </si>
  <si>
    <t>総委重）橋修（県単）（新伊佐島①橋耐震補強設計業務委託）</t>
  </si>
  <si>
    <t>25000117620</t>
  </si>
  <si>
    <t>2025/09/25 13:35</t>
  </si>
  <si>
    <t>15,310,000</t>
  </si>
  <si>
    <t>12,299,000</t>
  </si>
  <si>
    <t>2026/05/20 14:44:26</t>
  </si>
  <si>
    <t>橋りょう修繕工事（新井橋外１橋耐震補強詳細設計業務委託）</t>
  </si>
  <si>
    <t>25000120750</t>
  </si>
  <si>
    <t>2025/09/25 13:30</t>
  </si>
  <si>
    <t>16,289,000</t>
  </si>
  <si>
    <t>13,082,000</t>
  </si>
  <si>
    <t>株式会社エイテック 埼玉営業所</t>
  </si>
  <si>
    <t>2026/05/20 14:44:29</t>
  </si>
  <si>
    <t>総委重）橋修（県単）（八瀬大橋②耐震補強修正設計業務委託）</t>
  </si>
  <si>
    <t>25000117646</t>
  </si>
  <si>
    <t>2025/09/25 13:25</t>
  </si>
  <si>
    <t>18,158,000</t>
  </si>
  <si>
    <t>14,586,000</t>
  </si>
  <si>
    <t>2026/05/20 14:44:31</t>
  </si>
  <si>
    <t>０２５大除第００５号 新曽中継ポンプ所閉栓設計業務委託</t>
  </si>
  <si>
    <t>25100154814</t>
  </si>
  <si>
    <t>2025/09/25 13:20</t>
  </si>
  <si>
    <t>6,525,000</t>
  </si>
  <si>
    <t>5,243,000</t>
  </si>
  <si>
    <t>2026/05/20 14:44:33</t>
  </si>
  <si>
    <t>総委重）河川改修工事（能淵寺橋詳細設計業務委託）</t>
  </si>
  <si>
    <t>25000114226</t>
  </si>
  <si>
    <t>2025/09/25 13:10</t>
  </si>
  <si>
    <t>18,071,000</t>
  </si>
  <si>
    <t>14,516,000</t>
  </si>
  <si>
    <t>2026/05/20 14:44:35</t>
  </si>
  <si>
    <t>５２７１河川施設震災対策工事（辰井川排水機場耐震対策修正設計業務委託）</t>
  </si>
  <si>
    <t>25100154910</t>
  </si>
  <si>
    <t>2025/09/25 11:35</t>
  </si>
  <si>
    <t>16,357,000</t>
  </si>
  <si>
    <t>13,136,000</t>
  </si>
  <si>
    <t>2026/05/20 14:44:37</t>
  </si>
  <si>
    <t>５２６３河川改修工事（東大場川修正設計業務委託）</t>
  </si>
  <si>
    <t>25000125972</t>
  </si>
  <si>
    <t>2025/09/25 11:14</t>
  </si>
  <si>
    <t>13,619,000</t>
  </si>
  <si>
    <t>2026/05/20 14:44:39</t>
  </si>
  <si>
    <t>総委重）５２７３河川改修工事（新三郷橋架換予備設計業務委託）</t>
  </si>
  <si>
    <t>25000125527</t>
  </si>
  <si>
    <t>2025/09/25 10:31</t>
  </si>
  <si>
    <t>13,314,000</t>
  </si>
  <si>
    <t>10,697,000</t>
  </si>
  <si>
    <t>2026/05/20 14:44:42</t>
  </si>
  <si>
    <t>総委重）５２６５河川改修工事（大場川整備方針検討業務委託）</t>
  </si>
  <si>
    <t>25000126047</t>
  </si>
  <si>
    <t>2025/09/25 10:03</t>
  </si>
  <si>
    <t>18,050,000</t>
  </si>
  <si>
    <t>14,500,000</t>
  </si>
  <si>
    <t>2026/05/20 14:44:44</t>
  </si>
  <si>
    <t>急傾斜地崩壊対策工事（日尾和田落石防護柵修正設計業務委託）</t>
  </si>
  <si>
    <t>25100154897</t>
  </si>
  <si>
    <t>2025/09/24 13:23</t>
  </si>
  <si>
    <t>6,870,000</t>
  </si>
  <si>
    <t>5,469,000</t>
  </si>
  <si>
    <t>5,986,000</t>
  </si>
  <si>
    <t>2026/05/20 14:44:49</t>
  </si>
  <si>
    <t>橋りょう修繕工事（桜井歩道橋外補修設計業務委託）</t>
  </si>
  <si>
    <t>25000117650</t>
  </si>
  <si>
    <t>2025/09/24 10:33</t>
  </si>
  <si>
    <t>11,927,000</t>
  </si>
  <si>
    <t>9,580,000</t>
  </si>
  <si>
    <t>2026/05/20 14:44:52</t>
  </si>
  <si>
    <t>橋りょう修繕工事（西大輪歩道橋外補修設計業務委託）</t>
  </si>
  <si>
    <t>25000117868</t>
  </si>
  <si>
    <t>2025/09/24 10:09</t>
  </si>
  <si>
    <t>12,291,000</t>
  </si>
  <si>
    <t>9,872,000</t>
  </si>
  <si>
    <t>59</t>
  </si>
  <si>
    <t>2026/05/20 14:44:54</t>
  </si>
  <si>
    <t>橋りょう修繕工事（馬込歩道橋外補修設計業務委託）</t>
  </si>
  <si>
    <t>25000117438</t>
  </si>
  <si>
    <t>2025/09/24 09:50</t>
  </si>
  <si>
    <t>13,360,000</t>
  </si>
  <si>
    <t>10,730,000</t>
  </si>
  <si>
    <t>57</t>
  </si>
  <si>
    <t>2026/05/20 14:44:56</t>
  </si>
  <si>
    <t>河川改修工事（小林調節池外・工事監督支援業務委託その１）</t>
  </si>
  <si>
    <t>25100154831</t>
  </si>
  <si>
    <t>2025/09/24 09:22</t>
  </si>
  <si>
    <t>11,910,000</t>
  </si>
  <si>
    <t>2026/05/20 14:44:58</t>
  </si>
  <si>
    <t>右岸流域管渠補修設計業務委託（シン４１～シン４２ほか）</t>
  </si>
  <si>
    <t>25200154837</t>
  </si>
  <si>
    <t>2025/09/19 14:31</t>
  </si>
  <si>
    <t>11,376,000</t>
  </si>
  <si>
    <t>9,138,000</t>
  </si>
  <si>
    <t>2026/05/20 14:45:00</t>
  </si>
  <si>
    <t>右岸流域管渠補修設計業務委託（シンⅡ１１～シンⅡ１２ほか）</t>
  </si>
  <si>
    <t>25200154836</t>
  </si>
  <si>
    <t>2025/09/19 14:01</t>
  </si>
  <si>
    <t>2026/05/20 14:45:02</t>
  </si>
  <si>
    <t>右岸流域管渠補修設計業務委託（シン４８～シン４９ほか）</t>
  </si>
  <si>
    <t>25200154835</t>
  </si>
  <si>
    <t>2025/09/19 13:33</t>
  </si>
  <si>
    <t>11,883,000</t>
  </si>
  <si>
    <t>9,545,000</t>
  </si>
  <si>
    <t>2026/05/20 14:45:05</t>
  </si>
  <si>
    <t>７御岳山２号線（鳩の沢工区）森林管理道改良測量設計業務委託</t>
  </si>
  <si>
    <t>25000125658</t>
  </si>
  <si>
    <t>2025/09/19 11:21</t>
  </si>
  <si>
    <t>5,070,000</t>
  </si>
  <si>
    <t>4,055,000</t>
  </si>
  <si>
    <t>4,884,000</t>
  </si>
  <si>
    <t>2026/05/20 14:45:07</t>
  </si>
  <si>
    <t>７強石治山測量設計業務委託</t>
  </si>
  <si>
    <t>25000125684</t>
  </si>
  <si>
    <t>2025/09/19 11:01</t>
  </si>
  <si>
    <t>7,120,000</t>
  </si>
  <si>
    <t>5,668,000</t>
  </si>
  <si>
    <t>2026/05/20 14:45:09</t>
  </si>
  <si>
    <t>北部流域熊谷幹線外管渠流量計改築実施設計業務委託</t>
  </si>
  <si>
    <t>25200154826</t>
  </si>
  <si>
    <t>2025/09/19 10:01</t>
  </si>
  <si>
    <t>13,090,000</t>
  </si>
  <si>
    <t>10,514,000</t>
  </si>
  <si>
    <t>2026/05/20 14:45:15</t>
  </si>
  <si>
    <t>北部流域処理場消毒設備改築工事修正設計業務委託</t>
  </si>
  <si>
    <t>25200154825</t>
  </si>
  <si>
    <t>2025/09/19 09:36</t>
  </si>
  <si>
    <t>10,597,000</t>
  </si>
  <si>
    <t>8,512,000</t>
  </si>
  <si>
    <t>2026/05/20 14:45:17</t>
  </si>
  <si>
    <t>７久喜－３１号 工事監督支援その４業務委託</t>
  </si>
  <si>
    <t>25100154827</t>
  </si>
  <si>
    <t>2025/09/18 10:01</t>
  </si>
  <si>
    <t>13,059,000</t>
  </si>
  <si>
    <t>10,560,000</t>
  </si>
  <si>
    <t>10,680,000</t>
  </si>
  <si>
    <t>2026/05/20 14:45:19</t>
  </si>
  <si>
    <t>砂防維持修繕工事（雀川砂防ダム改築・更新詳細設計業務委託）</t>
  </si>
  <si>
    <t>25000123431</t>
  </si>
  <si>
    <t>2025/09/17 13:31</t>
  </si>
  <si>
    <t>9,039,000</t>
  </si>
  <si>
    <t>7,262,000</t>
  </si>
  <si>
    <t>2026/05/20 14:45:21</t>
  </si>
  <si>
    <t>道路構造物維持工事（橋梁点検業務委託その４）</t>
  </si>
  <si>
    <t>25000111134</t>
  </si>
  <si>
    <t>2025/09/11 14:20</t>
  </si>
  <si>
    <t>12,808,000</t>
  </si>
  <si>
    <t>10,316,000</t>
  </si>
  <si>
    <t>47</t>
  </si>
  <si>
    <t>2026/05/20 14:45:24</t>
  </si>
  <si>
    <t>道路構造物維持工事（橋梁点検業務委託その３）</t>
  </si>
  <si>
    <t>25000110846</t>
  </si>
  <si>
    <t>2025/09/11 14:00</t>
  </si>
  <si>
    <t>13,809,000</t>
  </si>
  <si>
    <t>11,119,000</t>
  </si>
  <si>
    <t>2026/05/20 14:45:26</t>
  </si>
  <si>
    <t>５１０９街路整備工事（工事監督支援業務委託その４）</t>
  </si>
  <si>
    <t>25000117696</t>
  </si>
  <si>
    <t>2025/09/11 13:47</t>
  </si>
  <si>
    <t>8,853,000</t>
  </si>
  <si>
    <t>7,166,000</t>
  </si>
  <si>
    <t>2026/05/20 14:45:28</t>
  </si>
  <si>
    <t>５２２３道改工事（横断水路対策検討業務委託その２）</t>
  </si>
  <si>
    <t>25000117669</t>
  </si>
  <si>
    <t>2025/09/11 13:45</t>
  </si>
  <si>
    <t>17,924,000</t>
  </si>
  <si>
    <t>14,365,000</t>
  </si>
  <si>
    <t>2026/05/20 14:45:30</t>
  </si>
  <si>
    <t>道路構造物維持工事（橋梁点検業務委託その２）</t>
  </si>
  <si>
    <t>25000117493</t>
  </si>
  <si>
    <t>2025/09/11 13:40</t>
  </si>
  <si>
    <t>15,816,000</t>
  </si>
  <si>
    <t>12,756,000</t>
  </si>
  <si>
    <t>2026/05/20 14:45:32</t>
  </si>
  <si>
    <t>５１０５街整（スクラム）工事（電線共同溝実施設計業務委託）</t>
  </si>
  <si>
    <t>25000117565</t>
  </si>
  <si>
    <t>2025/09/11 13:32</t>
  </si>
  <si>
    <t>10,583,000</t>
  </si>
  <si>
    <t>8,495,000</t>
  </si>
  <si>
    <t>株式会社東北構造社 さいたま営業所</t>
  </si>
  <si>
    <t>2026/05/20 14:45:34</t>
  </si>
  <si>
    <t>総委地）橋りょう架換工事（積算技術業務委託）</t>
  </si>
  <si>
    <t>25100154752</t>
  </si>
  <si>
    <t>2025/09/11 13:20</t>
  </si>
  <si>
    <t>17,588,000</t>
  </si>
  <si>
    <t>14,111,000</t>
  </si>
  <si>
    <t>2026/05/20 14:45:40</t>
  </si>
  <si>
    <t>道路構造物維持工事（橋梁点検業務委託その１）</t>
  </si>
  <si>
    <t>25000118696</t>
  </si>
  <si>
    <t>16,192,000</t>
  </si>
  <si>
    <t>13,032,000</t>
  </si>
  <si>
    <t>通信土木コンサルタント株式会社 埼玉事務所</t>
  </si>
  <si>
    <t>2026/05/20 14:45:42</t>
  </si>
  <si>
    <t>総委重）橋りょう修繕工事（境橋耐震補強設計業務委託）４２１</t>
  </si>
  <si>
    <t>25000115619</t>
  </si>
  <si>
    <t>2025/09/11 13:17</t>
  </si>
  <si>
    <t>17,219,000</t>
  </si>
  <si>
    <t>13,831,000</t>
  </si>
  <si>
    <t>2026/05/20 14:45:44</t>
  </si>
  <si>
    <t>総委重）橋りょう修繕工事（井殿橋耐震補強設計業務委託）４２０</t>
  </si>
  <si>
    <t>25000115601</t>
  </si>
  <si>
    <t>2025/09/11 13:08</t>
  </si>
  <si>
    <t>2026/05/20 14:45:47</t>
  </si>
  <si>
    <t>道路改築工事（和戸立体・軟弱地盤解析業務委託）</t>
  </si>
  <si>
    <t>25100154770</t>
  </si>
  <si>
    <t>2025/09/11 11:00</t>
  </si>
  <si>
    <t>9,399,000</t>
  </si>
  <si>
    <t>7,519,000</t>
  </si>
  <si>
    <t>2026/05/20 14:45:49</t>
  </si>
  <si>
    <t>橋りょう修繕工事（吹上橋耐震補強設計業務委託）</t>
  </si>
  <si>
    <t>25000110617</t>
  </si>
  <si>
    <t>2025/09/11 10:32</t>
  </si>
  <si>
    <t>14,905,000</t>
  </si>
  <si>
    <t>11,974,000</t>
  </si>
  <si>
    <t>36</t>
  </si>
  <si>
    <t>2026/05/20 14:45:51</t>
  </si>
  <si>
    <t>橋りょう修繕工事（新橋耐震補強設計業務委託）</t>
  </si>
  <si>
    <t>25000110601</t>
  </si>
  <si>
    <t>2025/09/11 10:17</t>
  </si>
  <si>
    <t>2026/05/20 14:45:53</t>
  </si>
  <si>
    <t>７皆本沼里線森林管理道改良測量設計業務委託</t>
  </si>
  <si>
    <t>25000117986</t>
  </si>
  <si>
    <t>2025/09/11 10:15</t>
  </si>
  <si>
    <t>1,880,000</t>
  </si>
  <si>
    <t>1,496,000</t>
  </si>
  <si>
    <t>1,730,000</t>
  </si>
  <si>
    <t>2026/05/20 14:45:55</t>
  </si>
  <si>
    <t>０２５水整第１１２号 福岡支線送水管更新基本設計業務委託</t>
  </si>
  <si>
    <t>25100154738</t>
  </si>
  <si>
    <t>2025/09/11 10:03</t>
  </si>
  <si>
    <t>18,090,000</t>
  </si>
  <si>
    <t>14,531,000</t>
  </si>
  <si>
    <t>2026/05/20 14:45:58</t>
  </si>
  <si>
    <t>25000117340</t>
  </si>
  <si>
    <t>2025/09/11 10:00</t>
  </si>
  <si>
    <t>5,000,000</t>
  </si>
  <si>
    <t>3,974,000</t>
  </si>
  <si>
    <t>4,750,000</t>
  </si>
  <si>
    <t>2026/05/20 14:46:00</t>
  </si>
  <si>
    <t>橋りょう修繕工事（平成橋耐震補強設計業務委託）</t>
  </si>
  <si>
    <t>25000110606</t>
  </si>
  <si>
    <t>2025/09/11 09:57</t>
  </si>
  <si>
    <t>16,615,000</t>
  </si>
  <si>
    <t>13,347,000</t>
  </si>
  <si>
    <t>34</t>
  </si>
  <si>
    <t>2026/05/20 14:46:05</t>
  </si>
  <si>
    <t>社資交付金（河川）工事（忍川・工事監督支援業務委託その３）</t>
  </si>
  <si>
    <t>25000109371</t>
  </si>
  <si>
    <t>2025/09/11 09:39</t>
  </si>
  <si>
    <t>2026/05/20 14:46:08</t>
  </si>
  <si>
    <t>令和７年度 換地関連現場技術業務委託その２</t>
  </si>
  <si>
    <t>253000112182</t>
  </si>
  <si>
    <t>2025/09/10 13:43</t>
  </si>
  <si>
    <t>9,478,000</t>
  </si>
  <si>
    <t>7,665,000</t>
  </si>
  <si>
    <t>2026/05/20 14:46:10</t>
  </si>
  <si>
    <t>総委重）河川改修工事（庄兵衛堀川・久喜市道１５５５－１号橋詳細設計業務委託）</t>
  </si>
  <si>
    <t>25000064252</t>
  </si>
  <si>
    <t>2025/09/10 10:30</t>
  </si>
  <si>
    <t>32,837,000</t>
  </si>
  <si>
    <t>26,371,000</t>
  </si>
  <si>
    <t>2026/05/20 14:46:12</t>
  </si>
  <si>
    <t>河川改修（水辺）工事（生川測量設計業務委託）</t>
  </si>
  <si>
    <t>25000108885</t>
  </si>
  <si>
    <t>2025/09/09 14:48</t>
  </si>
  <si>
    <t>4,263,000</t>
  </si>
  <si>
    <t>3,427,000</t>
  </si>
  <si>
    <t>3,884,000</t>
  </si>
  <si>
    <t>2026/05/20 14:46:14</t>
  </si>
  <si>
    <t>砂防施設工事（五百沢詳細設計業務委託）</t>
  </si>
  <si>
    <t>25000108937</t>
  </si>
  <si>
    <t>2025/09/09 14:28</t>
  </si>
  <si>
    <t>6,717,000</t>
  </si>
  <si>
    <t>5,397,000</t>
  </si>
  <si>
    <t>6,080,000</t>
  </si>
  <si>
    <t>2026/05/20 14:46:16</t>
  </si>
  <si>
    <t>古利根流域テレメータ設備外改築実施設計業務委託</t>
  </si>
  <si>
    <t>25200154747</t>
  </si>
  <si>
    <t>2025/09/09 14:23</t>
  </si>
  <si>
    <t>10,533,000</t>
  </si>
  <si>
    <t>8,461,000</t>
  </si>
  <si>
    <t>2026/05/20 14:46:18</t>
  </si>
  <si>
    <t>災害防除工事（ロックシェッド定期点検業務委託その１）</t>
  </si>
  <si>
    <t>25100154622</t>
  </si>
  <si>
    <t>2025/09/09 14:16</t>
  </si>
  <si>
    <t>11,535,000</t>
  </si>
  <si>
    <t>9,294,000</t>
  </si>
  <si>
    <t>2026/05/20 14:46:21</t>
  </si>
  <si>
    <t>災害防除工事（ロックシェッド定期点検業務委託その２）</t>
  </si>
  <si>
    <t>25100154621</t>
  </si>
  <si>
    <t>2025/09/09 14:09</t>
  </si>
  <si>
    <t>11,644,000</t>
  </si>
  <si>
    <t>9,380,000</t>
  </si>
  <si>
    <t>2026/05/20 14:46:23</t>
  </si>
  <si>
    <t>道路構造物維持工事（入波・浜平トンネル定期点検業務委託）</t>
  </si>
  <si>
    <t>25100154619</t>
  </si>
  <si>
    <t>2025/09/09 14:03</t>
  </si>
  <si>
    <t>10,664,000</t>
  </si>
  <si>
    <t>8,606,000</t>
  </si>
  <si>
    <t>2026/05/20 14:46:25</t>
  </si>
  <si>
    <t>道路構造物維持工事（長瀞・寄国土トンネル定期点検業務委託）</t>
  </si>
  <si>
    <t>25100154618</t>
  </si>
  <si>
    <t>2025/09/09 13:57</t>
  </si>
  <si>
    <t>12,630,000</t>
  </si>
  <si>
    <t>10,196,000</t>
  </si>
  <si>
    <t>2026/05/20 14:46:31</t>
  </si>
  <si>
    <t>７桜奈設第１号奈倉橋耐震補強補修設計業務委託</t>
  </si>
  <si>
    <t>25000122400</t>
  </si>
  <si>
    <t>2025/09/08 14:02</t>
  </si>
  <si>
    <t>6,300,000</t>
  </si>
  <si>
    <t>2026/05/20 14:46:34</t>
  </si>
  <si>
    <t>緊急浚渫推進工事（堆砂処理方法検討業務委託）</t>
  </si>
  <si>
    <t>25000102530</t>
  </si>
  <si>
    <t>2025/09/08 13:40</t>
  </si>
  <si>
    <t>16,595,000</t>
  </si>
  <si>
    <t>13,322,000</t>
  </si>
  <si>
    <t>2026/05/20 14:46:36</t>
  </si>
  <si>
    <t>河川改修（国補）工事（（仮称）飯盛川調節池農業施設対策検討設計・施工計画検討業務委託）</t>
  </si>
  <si>
    <t>25000103655</t>
  </si>
  <si>
    <t>2025/09/08 13:22</t>
  </si>
  <si>
    <t>17,665,000</t>
  </si>
  <si>
    <t>14,186,000</t>
  </si>
  <si>
    <t>2026/05/20 14:46:38</t>
  </si>
  <si>
    <t>７霧谷設第１号ため池整備計画策定等業務委託</t>
  </si>
  <si>
    <t>25000122840</t>
  </si>
  <si>
    <t>2025/09/08 09:02</t>
  </si>
  <si>
    <t>7,940,000</t>
  </si>
  <si>
    <t>6,375,000</t>
  </si>
  <si>
    <t>7,600,000</t>
  </si>
  <si>
    <t>2026/05/20 14:46:40</t>
  </si>
  <si>
    <t>街路整備工事（都市計画決定（変更）図書作成業務委託）</t>
  </si>
  <si>
    <t>25000100522</t>
  </si>
  <si>
    <t>2025/09/04 10:50</t>
  </si>
  <si>
    <t>4,140,000</t>
  </si>
  <si>
    <t>3,325,000</t>
  </si>
  <si>
    <t>2026/05/20 14:46:43</t>
  </si>
  <si>
    <t>河川改修工事（下忍調節池・暫定供用検討業務委託）</t>
  </si>
  <si>
    <t>25000096089</t>
  </si>
  <si>
    <t>2025/09/04 09:39</t>
  </si>
  <si>
    <t>8,956,000</t>
  </si>
  <si>
    <t>7,189,000</t>
  </si>
  <si>
    <t>2026/05/20 14:46:45</t>
  </si>
  <si>
    <t>埼玉スタジアム２００２公園北側駐車場設計業務委託</t>
  </si>
  <si>
    <t>25100154709</t>
  </si>
  <si>
    <t>2025/09/03 13:32</t>
  </si>
  <si>
    <t>6,561,000</t>
  </si>
  <si>
    <t>5,272,000</t>
  </si>
  <si>
    <t>2026/05/20 14:46:47</t>
  </si>
  <si>
    <t>埼玉県下水道ＢＣＰ訓練支援業務委託</t>
  </si>
  <si>
    <t>20250820</t>
  </si>
  <si>
    <t>2025/09/03 11:37</t>
  </si>
  <si>
    <t>12,534,000</t>
  </si>
  <si>
    <t>10,071,000</t>
  </si>
  <si>
    <t>埼玉県 下水道局 下水道事業課</t>
  </si>
  <si>
    <t>2026/05/20 14:46:49</t>
  </si>
  <si>
    <t>道路改築工事（雨水排水施設設計業務委託）</t>
  </si>
  <si>
    <t>25000088790</t>
  </si>
  <si>
    <t>2025/09/02 14:41</t>
  </si>
  <si>
    <t>9,018,000</t>
  </si>
  <si>
    <t>7,247,000</t>
  </si>
  <si>
    <t>2026/05/20 14:46:51</t>
  </si>
  <si>
    <t>ビデオカメラによるディーゼル車ナンバープレート調査業務委託</t>
  </si>
  <si>
    <t>07820</t>
  </si>
  <si>
    <t>2025/09/02 14:04</t>
  </si>
  <si>
    <t>1,514,000</t>
  </si>
  <si>
    <t>埼玉県 環境部 大気環境課</t>
  </si>
  <si>
    <t>2026/05/20 14:46:57</t>
  </si>
  <si>
    <t>５２６４街路整備工事（騒音対策等検討業務委託）</t>
  </si>
  <si>
    <t>25000097939</t>
  </si>
  <si>
    <t>2025/09/02 14:01</t>
  </si>
  <si>
    <t>11,449,000</t>
  </si>
  <si>
    <t>9,198,000</t>
  </si>
  <si>
    <t>2026/05/20 14:46:59</t>
  </si>
  <si>
    <t>舗装道整備工事（ＦＷＤ調査業務委託その３）</t>
  </si>
  <si>
    <t>25100154671</t>
  </si>
  <si>
    <t>2025/09/02 14:00</t>
  </si>
  <si>
    <t>4,719,000</t>
  </si>
  <si>
    <t>3,727,000</t>
  </si>
  <si>
    <t>2026/05/20 14:47:01</t>
  </si>
  <si>
    <t>舗装道整備工事（ＦＷＤ調査業務委託その２）</t>
  </si>
  <si>
    <t>25100154670</t>
  </si>
  <si>
    <t>2025/09/02 13:56</t>
  </si>
  <si>
    <t>4,810,000</t>
  </si>
  <si>
    <t>3,800,000</t>
  </si>
  <si>
    <t>2026/05/20 14:47:04</t>
  </si>
  <si>
    <t>自歩道整備工事（測量設計業務委託（中野上工区））</t>
  </si>
  <si>
    <t>25000100109</t>
  </si>
  <si>
    <t>2025/09/02 13:35</t>
  </si>
  <si>
    <t>3,440,000</t>
  </si>
  <si>
    <t>2,661,000</t>
  </si>
  <si>
    <t>3,130,000</t>
  </si>
  <si>
    <t>2026/05/20 14:47:06</t>
  </si>
  <si>
    <t>０２５水整第１６０号吉見ドッキング線実施設計業務委託</t>
  </si>
  <si>
    <t>25100154159</t>
  </si>
  <si>
    <t>2025/09/02 10:30</t>
  </si>
  <si>
    <t>97,010,000</t>
  </si>
  <si>
    <t>77,860,000</t>
  </si>
  <si>
    <t>2026/05/20 14:47:08</t>
  </si>
  <si>
    <t>旧９号１０号埋立予定地仮設設計等業務委託</t>
  </si>
  <si>
    <t>25000115335</t>
  </si>
  <si>
    <t>2025/09/02 10:02</t>
  </si>
  <si>
    <t>8,879,000</t>
  </si>
  <si>
    <t>7,133,000</t>
  </si>
  <si>
    <t>8,380,000</t>
  </si>
  <si>
    <t>2026/05/20 14:47:10</t>
  </si>
  <si>
    <t>総委重）河川改修工事（荒川大渕工区樋管詳細設計業務委託）</t>
  </si>
  <si>
    <t>25100154259</t>
  </si>
  <si>
    <t>2025/09/01 15:30</t>
  </si>
  <si>
    <t>26,339,000</t>
  </si>
  <si>
    <t>21,155,000</t>
  </si>
  <si>
    <t>2026/05/20 14:47:12</t>
  </si>
  <si>
    <t>７幸権２設第１号水管理制御設備実施設計業務委託</t>
  </si>
  <si>
    <t>25000115071</t>
  </si>
  <si>
    <t>2025/09/01 09:36</t>
  </si>
  <si>
    <t>8,670,000</t>
  </si>
  <si>
    <t>6,961,000</t>
  </si>
  <si>
    <t>2026/05/20 14:47:14</t>
  </si>
  <si>
    <t>５３１９橋修（県単）（朝霞大橋補修設計）</t>
  </si>
  <si>
    <t>25000100553</t>
  </si>
  <si>
    <t>2025/08/29 14:25</t>
  </si>
  <si>
    <t>13,715,000</t>
  </si>
  <si>
    <t>62</t>
  </si>
  <si>
    <t>2026/05/20 14:47:17</t>
  </si>
  <si>
    <t>５３２１橋修（県単）（新盛橋耐震設計）</t>
  </si>
  <si>
    <t>25000099715</t>
  </si>
  <si>
    <t>2025/08/29 13:51</t>
  </si>
  <si>
    <t>15,880,000</t>
  </si>
  <si>
    <t>12,753,000</t>
  </si>
  <si>
    <t>2026/05/20 14:47:22</t>
  </si>
  <si>
    <t>５７６０排水機場等維持修繕工事（笹目川排水機場耐水化詳細設計業務委託）</t>
  </si>
  <si>
    <t>25000097066</t>
  </si>
  <si>
    <t>2025/08/29 13:23</t>
  </si>
  <si>
    <t>16,114,000</t>
  </si>
  <si>
    <t>12,945,000</t>
  </si>
  <si>
    <t>2026/05/20 14:47:25</t>
  </si>
  <si>
    <t>橋りょう修繕工事（仲洲嶋橋耐震補強設計業務委託）</t>
  </si>
  <si>
    <t>25100154529</t>
  </si>
  <si>
    <t>2025/08/29 13:15</t>
  </si>
  <si>
    <t>11,614,000</t>
  </si>
  <si>
    <t>9,329,000</t>
  </si>
  <si>
    <t>株式会社日本構造橋梁研究所 埼玉営業所</t>
  </si>
  <si>
    <t>2026/05/20 14:47:27</t>
  </si>
  <si>
    <t>５６２２道路構造物維持工事（橋梁点検業務委託）</t>
  </si>
  <si>
    <t>25100154558</t>
  </si>
  <si>
    <t>2025/08/29 13:10</t>
  </si>
  <si>
    <t>13,012,000</t>
  </si>
  <si>
    <t>10,506,000</t>
  </si>
  <si>
    <t>2026/05/20 14:47:29</t>
  </si>
  <si>
    <t>５３２０橋修（県単）（笹橋耐震設計）</t>
  </si>
  <si>
    <t>25000099704</t>
  </si>
  <si>
    <t>2025/08/29 13:04</t>
  </si>
  <si>
    <t>17,283,000</t>
  </si>
  <si>
    <t>13,880,000</t>
  </si>
  <si>
    <t>首都高技術株式会社 埼玉営業所</t>
  </si>
  <si>
    <t>2026/05/20 14:47:31</t>
  </si>
  <si>
    <t>橋りょう修繕工事（昭和橋耐震補強設計業務委託）</t>
  </si>
  <si>
    <t>25000096313</t>
  </si>
  <si>
    <t>2025/08/29 11:44</t>
  </si>
  <si>
    <t>17,871,000</t>
  </si>
  <si>
    <t>14,351,000</t>
  </si>
  <si>
    <t>49</t>
  </si>
  <si>
    <t>2026/05/20 14:47:33</t>
  </si>
  <si>
    <t>道路構造物維持工事（橋梁点検業務委託その４）３３４</t>
  </si>
  <si>
    <t>25000096905</t>
  </si>
  <si>
    <t>2025/08/28 14:08</t>
  </si>
  <si>
    <t>15,960,000</t>
  </si>
  <si>
    <t>12,959,000</t>
  </si>
  <si>
    <t>2026/05/20 14:47:36</t>
  </si>
  <si>
    <t>道路構造物維持工事（橋梁点検業務委託その３）３３３</t>
  </si>
  <si>
    <t>25000096868</t>
  </si>
  <si>
    <t>2025/08/28 13:51</t>
  </si>
  <si>
    <t>16,119,000</t>
  </si>
  <si>
    <t>13,030,000</t>
  </si>
  <si>
    <t>45</t>
  </si>
  <si>
    <t>2026/05/20 14:47:38</t>
  </si>
  <si>
    <t>道路構造物維持工事（橋梁点検業務委託その２）３３２</t>
  </si>
  <si>
    <t>25000096975</t>
  </si>
  <si>
    <t>2025/08/28 13:34</t>
  </si>
  <si>
    <t>17,086,000</t>
  </si>
  <si>
    <t>13,753,000</t>
  </si>
  <si>
    <t>2026/05/20 14:47:40</t>
  </si>
  <si>
    <t>道路冠水対策検討業務委託（Ｒ７－１）</t>
  </si>
  <si>
    <t>25100154524</t>
  </si>
  <si>
    <t>2025/08/28 13:30</t>
  </si>
  <si>
    <t>3,737,000</t>
  </si>
  <si>
    <t>2,913,000</t>
  </si>
  <si>
    <t>株式会社東都コンサルタント 本店</t>
  </si>
  <si>
    <t>2026/05/20 14:47:42</t>
  </si>
  <si>
    <t>交差点整備工事（交通量調査業務委託）</t>
  </si>
  <si>
    <t>25100154540</t>
  </si>
  <si>
    <t>2025/08/28 13:20</t>
  </si>
  <si>
    <t>2,901,000</t>
  </si>
  <si>
    <t>2,225,000</t>
  </si>
  <si>
    <t>株式会社新日本エグザ 本店</t>
  </si>
  <si>
    <t>2,700,000</t>
  </si>
  <si>
    <t>2026/05/20 14:47:48</t>
  </si>
  <si>
    <t>道路構造物維持工事（橋梁点検業務委託その１）３３１</t>
  </si>
  <si>
    <t>25000096943</t>
  </si>
  <si>
    <t>2025/08/28 13:15</t>
  </si>
  <si>
    <t>17,252,000</t>
  </si>
  <si>
    <t>13,877,000</t>
  </si>
  <si>
    <t>2026/05/20 14:47:50</t>
  </si>
  <si>
    <t>社資（改築）工事（軟弱地盤技術解析業務委託その２）</t>
  </si>
  <si>
    <t>25000092199</t>
  </si>
  <si>
    <t>2025/08/28 11:21</t>
  </si>
  <si>
    <t>13,850,000</t>
  </si>
  <si>
    <t>11,120,000</t>
  </si>
  <si>
    <t>2026/05/20 14:47:52</t>
  </si>
  <si>
    <t>道路構造物維持工事（橋梁点検業務委託その５）</t>
  </si>
  <si>
    <t>25100154445</t>
  </si>
  <si>
    <t>2025/08/28 11:10</t>
  </si>
  <si>
    <t>14,079,000</t>
  </si>
  <si>
    <t>11,338,000</t>
  </si>
  <si>
    <t>50</t>
  </si>
  <si>
    <t>2026/05/20 14:47:54</t>
  </si>
  <si>
    <t>25100154444</t>
  </si>
  <si>
    <t>2025/08/28 11:01</t>
  </si>
  <si>
    <t>14,098,000</t>
  </si>
  <si>
    <t>11,347,000</t>
  </si>
  <si>
    <t>2026/05/20 14:47:57</t>
  </si>
  <si>
    <t>25100154443</t>
  </si>
  <si>
    <t>2025/08/28 10:52</t>
  </si>
  <si>
    <t>14,822,000</t>
  </si>
  <si>
    <t>11,929,000</t>
  </si>
  <si>
    <t>2026/05/20 14:47:59</t>
  </si>
  <si>
    <t>25100154442</t>
  </si>
  <si>
    <t>2025/08/28 10:21</t>
  </si>
  <si>
    <t>15,557,000</t>
  </si>
  <si>
    <t>12,520,000</t>
  </si>
  <si>
    <t>2026/05/20 14:48:01</t>
  </si>
  <si>
    <t>25100154440</t>
  </si>
  <si>
    <t>2025/08/28 09:40</t>
  </si>
  <si>
    <t>16,777,000</t>
  </si>
  <si>
    <t>13,502,000</t>
  </si>
  <si>
    <t>2026/05/20 14:48:03</t>
  </si>
  <si>
    <t>０２５水整第１０５号川口幹線（Ⅰ期）送水管更新実施設計業務委託</t>
  </si>
  <si>
    <t>25100153964</t>
  </si>
  <si>
    <t>2025/08/27 10:02</t>
  </si>
  <si>
    <t>55,800,000</t>
  </si>
  <si>
    <t>2026/05/20 14:48:05</t>
  </si>
  <si>
    <t>県民健康福祉村駐車場設計業務委託</t>
  </si>
  <si>
    <t>25000098569</t>
  </si>
  <si>
    <t>2025/08/26 13:11</t>
  </si>
  <si>
    <t>5,573,000</t>
  </si>
  <si>
    <t>2026/05/20 14:48:09</t>
  </si>
  <si>
    <t>総委重）道路構造物維持工事（橋りょう点検業務委託その１）</t>
  </si>
  <si>
    <t>25100154499</t>
  </si>
  <si>
    <t>2025/08/26 13:03</t>
  </si>
  <si>
    <t>17,958,000</t>
  </si>
  <si>
    <t>14,453,000</t>
  </si>
  <si>
    <t>2026/05/20 14:48:14</t>
  </si>
  <si>
    <t>市野川流域処理場汚泥処理棟既設部改築設計業務委託</t>
  </si>
  <si>
    <t>25200154590</t>
  </si>
  <si>
    <t>2025/08/26 11:30</t>
  </si>
  <si>
    <t>8,027,000</t>
  </si>
  <si>
    <t>6,449,000</t>
  </si>
  <si>
    <t>株式会社日新技術コンサルタント 埼玉出張所</t>
  </si>
  <si>
    <t>7,190,000</t>
  </si>
  <si>
    <t>2026/05/20 14:48:17</t>
  </si>
  <si>
    <t>河改（水辺）（入間川護岸詳細設計）安比奈新田</t>
  </si>
  <si>
    <t>25000094635</t>
  </si>
  <si>
    <t>2025/08/25 13:31</t>
  </si>
  <si>
    <t>6,825,000</t>
  </si>
  <si>
    <t>5,485,000</t>
  </si>
  <si>
    <t>2026/05/20 14:48:19</t>
  </si>
  <si>
    <t>河改（水辺）（南小畔川護岸修繕測量設計）</t>
  </si>
  <si>
    <t>25000095118</t>
  </si>
  <si>
    <t>2025/08/25 13:22</t>
  </si>
  <si>
    <t>11,305,000</t>
  </si>
  <si>
    <t>8,968,000</t>
  </si>
  <si>
    <t>2026/05/20 14:48:21</t>
  </si>
  <si>
    <t>公園等建設工事（費用対効果分析業務委託）</t>
  </si>
  <si>
    <t>25100154603</t>
  </si>
  <si>
    <t>2025/08/25 10:16</t>
  </si>
  <si>
    <t>8,362,000</t>
  </si>
  <si>
    <t>6,714,000</t>
  </si>
  <si>
    <t>2026/05/20 14:48:23</t>
  </si>
  <si>
    <t>０２５大改第６５４号 川口上青木浄水場支線制水弁設置工事実施設計業務委託</t>
  </si>
  <si>
    <t>25100154441</t>
  </si>
  <si>
    <t>2025/08/22 15:52</t>
  </si>
  <si>
    <t>8,317,000</t>
  </si>
  <si>
    <t>6,983,000</t>
  </si>
  <si>
    <t>2026/05/20 14:48:25</t>
  </si>
  <si>
    <t>５６２０自転車通行環境整備工事（街渠修繕設計業務委託）</t>
  </si>
  <si>
    <t>25000096502</t>
  </si>
  <si>
    <t>2025/08/22 13:38</t>
  </si>
  <si>
    <t>5,657,000</t>
  </si>
  <si>
    <t>4,548,000</t>
  </si>
  <si>
    <t>2026/05/20 14:48:27</t>
  </si>
  <si>
    <t>総委重）５３０６道路構造物維持工事（橋梁点検業務委託）</t>
  </si>
  <si>
    <t>25000093782</t>
  </si>
  <si>
    <t>2025/08/22 13:30</t>
  </si>
  <si>
    <t>10,485,000</t>
  </si>
  <si>
    <t>2026/05/20 14:48:30</t>
  </si>
  <si>
    <t>７生川治山測量設計業務委託</t>
  </si>
  <si>
    <t>25000095940</t>
  </si>
  <si>
    <t>2025/08/22 10:58</t>
  </si>
  <si>
    <t>2,855,000</t>
  </si>
  <si>
    <t>3,290,000</t>
  </si>
  <si>
    <t>2026/05/20 14:48:32</t>
  </si>
  <si>
    <t>７上野大滝線ほか森林管理道トンネル点検業務委託</t>
  </si>
  <si>
    <t>25000095984</t>
  </si>
  <si>
    <t>2025/08/22 10:38</t>
  </si>
  <si>
    <t>14,930,000</t>
  </si>
  <si>
    <t>12,018,000</t>
  </si>
  <si>
    <t>2026/05/20 14:48:34</t>
  </si>
  <si>
    <t>道路改築工事（法面詳細設計業務委託）円良田工区</t>
  </si>
  <si>
    <t>25000095150</t>
  </si>
  <si>
    <t>2025/08/21 14:20</t>
  </si>
  <si>
    <t>6,482,000</t>
  </si>
  <si>
    <t>5,210,000</t>
  </si>
  <si>
    <t>2026/05/20 14:48:40</t>
  </si>
  <si>
    <t>道路構造物維持工事（橋梁詳細点検業務委託）その３</t>
  </si>
  <si>
    <t>25100154464</t>
  </si>
  <si>
    <t>2025/08/21 13:59</t>
  </si>
  <si>
    <t>11,725,000</t>
  </si>
  <si>
    <t>9,427,000</t>
  </si>
  <si>
    <t>53</t>
  </si>
  <si>
    <t>2026/05/20 14:48:42</t>
  </si>
  <si>
    <t>道路構造物維持工事（橋梁詳細点検業務委託）その２</t>
  </si>
  <si>
    <t>25100154463</t>
  </si>
  <si>
    <t>2025/08/21 13:43</t>
  </si>
  <si>
    <t>14,162,000</t>
  </si>
  <si>
    <t>11,369,000</t>
  </si>
  <si>
    <t>54</t>
  </si>
  <si>
    <t>2026/05/20 14:48:44</t>
  </si>
  <si>
    <t>道路構造物維持工事（橋梁詳細点検業務委託）その１</t>
  </si>
  <si>
    <t>25100154462</t>
  </si>
  <si>
    <t>2025/08/21 13:20</t>
  </si>
  <si>
    <t>15,075,000</t>
  </si>
  <si>
    <t>12,123,000</t>
  </si>
  <si>
    <t>52</t>
  </si>
  <si>
    <t>2026/05/20 14:48:46</t>
  </si>
  <si>
    <t>総委重）道路改築工事（ルート検討業務委託）</t>
  </si>
  <si>
    <t>25000087543</t>
  </si>
  <si>
    <t>2025/08/21 13:11</t>
  </si>
  <si>
    <t>17,222,000</t>
  </si>
  <si>
    <t>13,836,000</t>
  </si>
  <si>
    <t>2026/05/20 14:48:48</t>
  </si>
  <si>
    <t>橋りょう修繕工事（工事監督支援業務委託）３８３</t>
  </si>
  <si>
    <t>25000093341</t>
  </si>
  <si>
    <t>2025/08/21 13:05</t>
  </si>
  <si>
    <t>7,114,000</t>
  </si>
  <si>
    <t>2026/05/20 14:48:51</t>
  </si>
  <si>
    <t>７滑群１設第１号甚太沼実施設計業務委託</t>
  </si>
  <si>
    <t>25000099942</t>
  </si>
  <si>
    <t>2025/08/21 09:07</t>
  </si>
  <si>
    <t>3,430,000</t>
  </si>
  <si>
    <t>2,756,000</t>
  </si>
  <si>
    <t>3,250,000</t>
  </si>
  <si>
    <t>2026/05/20 14:48:53</t>
  </si>
  <si>
    <t>道路構造物維持工事（橋りょう点検業務委託その８）</t>
  </si>
  <si>
    <t>25100154505</t>
  </si>
  <si>
    <t>2025/08/20 13:45</t>
  </si>
  <si>
    <t>8,743,000</t>
  </si>
  <si>
    <t>7,026,000</t>
  </si>
  <si>
    <t>2026/05/20 14:48:55</t>
  </si>
  <si>
    <t>道路構造物維持工事（橋りょう点検業務委託その７）</t>
  </si>
  <si>
    <t>25100154504</t>
  </si>
  <si>
    <t>2025/08/20 13:39</t>
  </si>
  <si>
    <t>8,827,000</t>
  </si>
  <si>
    <t>7,109,000</t>
  </si>
  <si>
    <t>2026/05/20 14:48:57</t>
  </si>
  <si>
    <t>道路構造物維持工事（橋りょう点検業務委託その６）</t>
  </si>
  <si>
    <t>25100154523</t>
  </si>
  <si>
    <t>2025/08/20 13:34</t>
  </si>
  <si>
    <t>8,848,000</t>
  </si>
  <si>
    <t>7,115,000</t>
  </si>
  <si>
    <t>2026/05/20 14:49:00</t>
  </si>
  <si>
    <t>道路構造物維持工事（橋りょう点検業務委託その５）</t>
  </si>
  <si>
    <t>25100154503</t>
  </si>
  <si>
    <t>2025/08/20 13:28</t>
  </si>
  <si>
    <t>8,880,000</t>
  </si>
  <si>
    <t>7,131,000</t>
  </si>
  <si>
    <t>2026/05/20 14:49:05</t>
  </si>
  <si>
    <t>道路構造物維持工事（橋りょう点検業務委託その４）</t>
  </si>
  <si>
    <t>25100154502</t>
  </si>
  <si>
    <t>2025/08/20 13:21</t>
  </si>
  <si>
    <t>8,900,000</t>
  </si>
  <si>
    <t>7,165,000</t>
  </si>
  <si>
    <t>2026/05/20 14:49:07</t>
  </si>
  <si>
    <t>道路構造物維持工事（橋りょう点検業務委託その３）</t>
  </si>
  <si>
    <t>25100154501</t>
  </si>
  <si>
    <t>2025/08/20 13:15</t>
  </si>
  <si>
    <t>8,920,000</t>
  </si>
  <si>
    <t>7,163,000</t>
  </si>
  <si>
    <t>2026/05/20 14:49:10</t>
  </si>
  <si>
    <t>道路構造物維持工事（橋りょう点検業務委託その２）</t>
  </si>
  <si>
    <t>25100154500</t>
  </si>
  <si>
    <t>2025/08/20 13:08</t>
  </si>
  <si>
    <t>8,970,000</t>
  </si>
  <si>
    <t>2026/05/20 14:49:12</t>
  </si>
  <si>
    <t>河改（水辺）（入間川護岸詳細設計）上奥富地区</t>
  </si>
  <si>
    <t>25000083286</t>
  </si>
  <si>
    <t>2025/08/19 13:36</t>
  </si>
  <si>
    <t>10,918,000</t>
  </si>
  <si>
    <t>8,773,000</t>
  </si>
  <si>
    <t>2026/05/20 14:49:14</t>
  </si>
  <si>
    <t>河川改修工事（戸井橋迂回路予備設計業務委託）</t>
  </si>
  <si>
    <t>25000090436</t>
  </si>
  <si>
    <t>2025/08/19 13:23</t>
  </si>
  <si>
    <t>7,432,000</t>
  </si>
  <si>
    <t>5,973,000</t>
  </si>
  <si>
    <t>2026/05/20 14:49:16</t>
  </si>
  <si>
    <t>橋りょう修繕工事（明ヶ平橋・眼鏡橋補修設計業務委託）</t>
  </si>
  <si>
    <t>25000080213</t>
  </si>
  <si>
    <t>2025/08/19 13:18</t>
  </si>
  <si>
    <t>9,388,000</t>
  </si>
  <si>
    <t>7,542,000</t>
  </si>
  <si>
    <t>2026/05/20 14:49:18</t>
  </si>
  <si>
    <t>河川改修調査（水辺）工事（冬期通水関連水質調査業務委託その２）</t>
  </si>
  <si>
    <t>25000081786</t>
  </si>
  <si>
    <t>2025/08/07 15:25</t>
  </si>
  <si>
    <t>3,982,000</t>
  </si>
  <si>
    <t>3,115,000</t>
  </si>
  <si>
    <t>3,197,000</t>
  </si>
  <si>
    <t>2026/05/20 14:49:20</t>
  </si>
  <si>
    <t>河川改修調査（水辺）工事（冬期通水関連水質調査業務委託その１）</t>
  </si>
  <si>
    <t>25000081752</t>
  </si>
  <si>
    <t>2025/08/07 15:08</t>
  </si>
  <si>
    <t>3,673,000</t>
  </si>
  <si>
    <t>東邦化研株式会社 本店</t>
  </si>
  <si>
    <t>3,690,000</t>
  </si>
  <si>
    <t>2026/05/20 14:49:23</t>
  </si>
  <si>
    <t>河川改修調査（水辺）工事（冬期通水関連水質調査業務委託その３）</t>
  </si>
  <si>
    <t>25000081804</t>
  </si>
  <si>
    <t>2025/08/07 14:50</t>
  </si>
  <si>
    <t>5,209,000</t>
  </si>
  <si>
    <t>4,107,000</t>
  </si>
  <si>
    <t>2026/05/20 14:49:25</t>
  </si>
  <si>
    <t>河川改修調査（水辺）工事（冬期通水関連水質調査業務委託その４）</t>
  </si>
  <si>
    <t>25000081821</t>
  </si>
  <si>
    <t>2025/08/07 14:19</t>
  </si>
  <si>
    <t>5,823,000</t>
  </si>
  <si>
    <t>4,604,000</t>
  </si>
  <si>
    <t>株式会社東建ジオテック 本店</t>
  </si>
  <si>
    <t>2026/05/20 14:49:30</t>
  </si>
  <si>
    <t>災害防除工事（地すべり観測業務委託）</t>
  </si>
  <si>
    <t>25100154449</t>
  </si>
  <si>
    <t>2025/08/07 13:30</t>
  </si>
  <si>
    <t>1,424,000</t>
  </si>
  <si>
    <t>2026/05/20 14:49:33</t>
  </si>
  <si>
    <t>橋りょう修繕工事（小規模橋梁補修設計業務委託）４５５</t>
  </si>
  <si>
    <t>25000080166</t>
  </si>
  <si>
    <t>2025/08/07 13:18</t>
  </si>
  <si>
    <t>6,439,000</t>
  </si>
  <si>
    <t>2026/05/20 14:49:35</t>
  </si>
  <si>
    <t>社資交（交安）工事（台坂橋側道橋詳細設計業務委託）０４５</t>
  </si>
  <si>
    <t>25000079739</t>
  </si>
  <si>
    <t>2025/08/07 13:05</t>
  </si>
  <si>
    <t>17,615,000</t>
  </si>
  <si>
    <t>14,149,000</t>
  </si>
  <si>
    <t>2026/05/20 14:49:37</t>
  </si>
  <si>
    <t>５２６８舗装道整備工事（舗装たわみ量調査業務委託）</t>
  </si>
  <si>
    <t>25000083014</t>
  </si>
  <si>
    <t>2025/08/07 11:03</t>
  </si>
  <si>
    <t>4,634,000</t>
  </si>
  <si>
    <t>3,660,000</t>
  </si>
  <si>
    <t>2026/05/20 14:49:39</t>
  </si>
  <si>
    <t>５２６７交差点整備工事（西宝珠花交差点交通量推計業務委託）</t>
  </si>
  <si>
    <t>25100154375</t>
  </si>
  <si>
    <t>2025/08/07 10:36</t>
  </si>
  <si>
    <t>8,999,000</t>
  </si>
  <si>
    <t>7,227,000</t>
  </si>
  <si>
    <t>2026/05/20 14:49:41</t>
  </si>
  <si>
    <t>ダム等施設管理工事（権現堂調節池 行幸地下貯油槽等更新工設計業務委託）</t>
  </si>
  <si>
    <t>25000078301</t>
  </si>
  <si>
    <t>2025/08/07 09:04</t>
  </si>
  <si>
    <t>12,587,000</t>
  </si>
  <si>
    <t>10,110,000</t>
  </si>
  <si>
    <t>2026/05/20 14:49:44</t>
  </si>
  <si>
    <t>令和７年度盛土規制法に係る既存盛土等の優先度評価業務委託（その１）</t>
  </si>
  <si>
    <t>25000088409</t>
  </si>
  <si>
    <t>2025/08/06 10:09</t>
  </si>
  <si>
    <t>11,366,000</t>
  </si>
  <si>
    <t>9,125,000</t>
  </si>
  <si>
    <t>2026/05/20 14:49:46</t>
  </si>
  <si>
    <t>砂防施設工事（藤倉川渓流保全設計業務委託）</t>
  </si>
  <si>
    <t>25000074684</t>
  </si>
  <si>
    <t>2025/08/05 13:22</t>
  </si>
  <si>
    <t>7,624,000</t>
  </si>
  <si>
    <t>6,126,000</t>
  </si>
  <si>
    <t>旭測地設計株式会社 本店</t>
  </si>
  <si>
    <t>6,860,000</t>
  </si>
  <si>
    <t>2026/05/20 14:49:48</t>
  </si>
  <si>
    <t>25100154284</t>
  </si>
  <si>
    <t>2025/08/05 13:11</t>
  </si>
  <si>
    <t>10,777,000</t>
  </si>
  <si>
    <t>8,156,000</t>
  </si>
  <si>
    <t>2026/05/20 14:49:50</t>
  </si>
  <si>
    <t>０２５水整第１０８号 馬宮支線送水管布設実施設計業務委託</t>
  </si>
  <si>
    <t>25100154290</t>
  </si>
  <si>
    <t>2025/08/04 11:02</t>
  </si>
  <si>
    <t>6,960,000</t>
  </si>
  <si>
    <t>5,594,000</t>
  </si>
  <si>
    <t>2026/05/20 14:49:56</t>
  </si>
  <si>
    <t>公園等建設工事（中央売店ほか更新基本設計業務委託）</t>
  </si>
  <si>
    <t>25100154383</t>
  </si>
  <si>
    <t>2025/08/04 10:22</t>
  </si>
  <si>
    <t>14,367,000</t>
  </si>
  <si>
    <t>11,539,000</t>
  </si>
  <si>
    <t>2026/05/20 14:49:58</t>
  </si>
  <si>
    <t>公園等建設工事（エントランスほか更新基本設計業務委託）</t>
  </si>
  <si>
    <t>25100154382</t>
  </si>
  <si>
    <t>2025/08/04 10:00</t>
  </si>
  <si>
    <t>18,089,000</t>
  </si>
  <si>
    <t>14,527,000</t>
  </si>
  <si>
    <t>2026/05/20 14:50:00</t>
  </si>
  <si>
    <t>７島設第１号ほ場整備実施設計業務委託</t>
  </si>
  <si>
    <t>25000082514</t>
  </si>
  <si>
    <t>2025/08/04 09:00</t>
  </si>
  <si>
    <t>15,320,000</t>
  </si>
  <si>
    <t>12,301,000</t>
  </si>
  <si>
    <t>株式会社地域環境エンジニアリング 本店</t>
  </si>
  <si>
    <t>12,800,000</t>
  </si>
  <si>
    <t>2026/05/20 14:50:02</t>
  </si>
  <si>
    <t>５６１９橋りょう修繕工事（川口陸橋修繕設計業務委託）</t>
  </si>
  <si>
    <t>25000086175</t>
  </si>
  <si>
    <t>2025/08/01 13:44</t>
  </si>
  <si>
    <t>6,475,000</t>
  </si>
  <si>
    <t>5,205,000</t>
  </si>
  <si>
    <t>2026/05/20 14:50:04</t>
  </si>
  <si>
    <t>河川改修工事（大場川既存施設有効活用方策検討業務委託）</t>
  </si>
  <si>
    <t>25000041867</t>
  </si>
  <si>
    <t>2025/08/01 13:21</t>
  </si>
  <si>
    <t>18,009,000</t>
  </si>
  <si>
    <t>2026/05/20 14:50:07</t>
  </si>
  <si>
    <t>河川改修工事（葛川水理解析検討業務委託）</t>
  </si>
  <si>
    <t>25000026798</t>
  </si>
  <si>
    <t>2025/07/31 14:06</t>
  </si>
  <si>
    <t>15,080,000</t>
  </si>
  <si>
    <t>2026/05/20 14:50:09</t>
  </si>
  <si>
    <t>電線地中化（道路）整備工事（電線共同溝修正設計業務委託）４５４</t>
  </si>
  <si>
    <t>25000073521</t>
  </si>
  <si>
    <t>2025/07/31 13:13</t>
  </si>
  <si>
    <t>7,795,000</t>
  </si>
  <si>
    <t>2026/05/20 14:50:11</t>
  </si>
  <si>
    <t>社資（改築）工事（軟弱地盤技術解析業務委託）</t>
  </si>
  <si>
    <t>25000067233</t>
  </si>
  <si>
    <t>2025/07/31 09:55</t>
  </si>
  <si>
    <t>14,581,000</t>
  </si>
  <si>
    <t>11,707,000</t>
  </si>
  <si>
    <t>株式会社綜合技術コンサルタント 埼玉事務所</t>
  </si>
  <si>
    <t>2026/05/20 14:50:13</t>
  </si>
  <si>
    <t>河川改修工事（新井大橋施工計画検討業務委託）</t>
  </si>
  <si>
    <t>25000064060</t>
  </si>
  <si>
    <t>2025/07/31 09:43</t>
  </si>
  <si>
    <t>7,033,000</t>
  </si>
  <si>
    <t>5,647,000</t>
  </si>
  <si>
    <t>2026/05/20 14:50:15</t>
  </si>
  <si>
    <t>美の山公園長寿命化計画策定業務委託</t>
  </si>
  <si>
    <t>25000078062</t>
  </si>
  <si>
    <t>2025/07/31 09:39</t>
  </si>
  <si>
    <t>7,803,000</t>
  </si>
  <si>
    <t>埼玉県 環境部 秩父環境管理事務所</t>
  </si>
  <si>
    <t>6,264,000</t>
  </si>
  <si>
    <t>2026/05/20 14:50:21</t>
  </si>
  <si>
    <t>道路改築工事（行田蓮田線・大御堂橋補修設計業務委託）</t>
  </si>
  <si>
    <t>25000083920</t>
  </si>
  <si>
    <t>2025/07/31 09:02</t>
  </si>
  <si>
    <t>8,636,000</t>
  </si>
  <si>
    <t>6,938,000</t>
  </si>
  <si>
    <t>2026/05/20 14:50:23</t>
  </si>
  <si>
    <t>ダム等施設管理工事（権現堂調節池 行幸４号ポンプ駆動設備等更新工設計業務委託）</t>
  </si>
  <si>
    <t>25000074063</t>
  </si>
  <si>
    <t>2025/07/31 08:47</t>
  </si>
  <si>
    <t>10,662,000</t>
  </si>
  <si>
    <t>8,565,000</t>
  </si>
  <si>
    <t>2026/05/20 14:50:25</t>
  </si>
  <si>
    <t>古利根流域栗橋中継可とう継手改築設計業務委託</t>
  </si>
  <si>
    <t>25200154320</t>
  </si>
  <si>
    <t>2025/07/30 11:52</t>
  </si>
  <si>
    <t>7,570,000</t>
  </si>
  <si>
    <t>6,082,000</t>
  </si>
  <si>
    <t>2026/05/20 14:50:27</t>
  </si>
  <si>
    <t>北部流域元荒川幹線改築設計業務委託その２</t>
  </si>
  <si>
    <t>25200154331</t>
  </si>
  <si>
    <t>2025/07/30 10:45</t>
  </si>
  <si>
    <t>13,655,000</t>
  </si>
  <si>
    <t>10,967,000</t>
  </si>
  <si>
    <t>2026/05/20 14:50:30</t>
  </si>
  <si>
    <t>北部流域元荒川幹線改築設計業務委託その１</t>
  </si>
  <si>
    <t>25200154330</t>
  </si>
  <si>
    <t>2025/07/30 10:27</t>
  </si>
  <si>
    <t>16,609,000</t>
  </si>
  <si>
    <t>13,339,000</t>
  </si>
  <si>
    <t>2026/05/20 14:50:32</t>
  </si>
  <si>
    <t>災害防除工事（久那工区法面補修設計業務委託）</t>
  </si>
  <si>
    <t>25000074116</t>
  </si>
  <si>
    <t>2025/07/29 15:07</t>
  </si>
  <si>
    <t>4,529,000</t>
  </si>
  <si>
    <t>3,642,000</t>
  </si>
  <si>
    <t>4,080,000</t>
  </si>
  <si>
    <t>2026/05/20 14:50:34</t>
  </si>
  <si>
    <t>橋りょう修繕工事（横瀬橋・横瀬橋側道橋補修設計業務委託）</t>
  </si>
  <si>
    <t>25000067160</t>
  </si>
  <si>
    <t>2025/07/29 14:05</t>
  </si>
  <si>
    <t>12,255,000</t>
  </si>
  <si>
    <t>9,843,000</t>
  </si>
  <si>
    <t>2026/05/20 14:50:36</t>
  </si>
  <si>
    <t>橋りょう修繕工事（語歌橋補修設計業務委託）</t>
  </si>
  <si>
    <t>25000067174</t>
  </si>
  <si>
    <t>2025/07/29 13:52</t>
  </si>
  <si>
    <t>14,886,000</t>
  </si>
  <si>
    <t>11,969,000</t>
  </si>
  <si>
    <t>2026/05/20 14:50:38</t>
  </si>
  <si>
    <t>道路構造物維持工事（Ｒ７雁坂大橋・荒川橋（下り）詳細点検業務委託）</t>
  </si>
  <si>
    <t>25100154195</t>
  </si>
  <si>
    <t>2025/07/29 13:40</t>
  </si>
  <si>
    <t>19,606,000</t>
  </si>
  <si>
    <t>15,808,000</t>
  </si>
  <si>
    <t>2026/05/20 14:50:41</t>
  </si>
  <si>
    <t>道路構造物維持工事（Ｒ７秩父公園橋詳細点検業務委託）</t>
  </si>
  <si>
    <t>25100154194</t>
  </si>
  <si>
    <t>2025/07/29 13:27</t>
  </si>
  <si>
    <t>22,203,000</t>
  </si>
  <si>
    <t>17,973,000</t>
  </si>
  <si>
    <t>2026/05/20 14:50:46</t>
  </si>
  <si>
    <t>７北河設第１号用水路整備基本計画策定業務委託</t>
  </si>
  <si>
    <t>25000085721</t>
  </si>
  <si>
    <t>2025/07/29 09:52</t>
  </si>
  <si>
    <t>6,662,000</t>
  </si>
  <si>
    <t>7,880,000</t>
  </si>
  <si>
    <t>2026/05/20 14:50:49</t>
  </si>
  <si>
    <t>７埼６設第４号機能診断設計業務委託（立野排水機場）</t>
  </si>
  <si>
    <t>25000086020</t>
  </si>
  <si>
    <t>2025/07/29 09:39</t>
  </si>
  <si>
    <t>5,700,000</t>
  </si>
  <si>
    <t>4,543,000</t>
  </si>
  <si>
    <t>2026/05/20 14:50:51</t>
  </si>
  <si>
    <t>７埼６設第３号機能診断設計業務委託（豊廼排水機場）</t>
  </si>
  <si>
    <t>25000086865</t>
  </si>
  <si>
    <t>2025/07/29 09:29</t>
  </si>
  <si>
    <t>8,980,000</t>
  </si>
  <si>
    <t>7,156,000</t>
  </si>
  <si>
    <t>8,500,000</t>
  </si>
  <si>
    <t>2026/05/20 14:50:53</t>
  </si>
  <si>
    <t>７埼６設第２号機能診断設計業務委託（新郷交換用水路）</t>
  </si>
  <si>
    <t>25000085640</t>
  </si>
  <si>
    <t>2025/07/29 09:15</t>
  </si>
  <si>
    <t>7,760,000</t>
  </si>
  <si>
    <t>7,000,000</t>
  </si>
  <si>
    <t>2026/05/20 14:50:55</t>
  </si>
  <si>
    <t>河川改修（水辺）工事（霞川護岸外積算技術業務委託）</t>
  </si>
  <si>
    <t>25000064518</t>
  </si>
  <si>
    <t>2025/07/28 13:42</t>
  </si>
  <si>
    <t>9,572,000</t>
  </si>
  <si>
    <t>7,684,000</t>
  </si>
  <si>
    <t>2026/05/20 14:50:57</t>
  </si>
  <si>
    <t>河川改修（国補）工事（（仮称）葛川排水機場ポンプ設備積算業務委託）</t>
  </si>
  <si>
    <t>25000071394</t>
  </si>
  <si>
    <t>2025/07/28 13:35</t>
  </si>
  <si>
    <t>10,105,000</t>
  </si>
  <si>
    <t>8,112,000</t>
  </si>
  <si>
    <t>2026/05/20 14:51:00</t>
  </si>
  <si>
    <t>災害防除工事（飯能工区設計業務委託）</t>
  </si>
  <si>
    <t>25000066185</t>
  </si>
  <si>
    <t>2025/07/28 13:25</t>
  </si>
  <si>
    <t>9,608,000</t>
  </si>
  <si>
    <t>7,721,000</t>
  </si>
  <si>
    <t>2026/05/20 14:51:02</t>
  </si>
  <si>
    <t>災害防除工事（上名栗工区その６設計業務委託）</t>
  </si>
  <si>
    <t>25000066175</t>
  </si>
  <si>
    <t>2025/07/28 13:11</t>
  </si>
  <si>
    <t>8,710,000</t>
  </si>
  <si>
    <t>株式会社和建設計事務所 埼玉営業所</t>
  </si>
  <si>
    <t>2026/05/20 14:51:04</t>
  </si>
  <si>
    <t>０２５水整第１５２号吉見ドッキング線基本設計その２業務委託</t>
  </si>
  <si>
    <t>25100153611</t>
  </si>
  <si>
    <t>2025/07/28 10:30</t>
  </si>
  <si>
    <t>44,720,000</t>
  </si>
  <si>
    <t>35,902,000</t>
  </si>
  <si>
    <t>2026/05/20 14:51:06</t>
  </si>
  <si>
    <t>総委重）橋りょう修繕工事（中央橋耐震補強設計業務委託）</t>
  </si>
  <si>
    <t>25000068652</t>
  </si>
  <si>
    <t>2025/07/25 13:20</t>
  </si>
  <si>
    <t>18,091,000</t>
  </si>
  <si>
    <t>14,533,000</t>
  </si>
  <si>
    <t>2026/05/20 14:51:12</t>
  </si>
  <si>
    <t>５２１１道改事業工事（軟弱地盤対策設計業務委託 朝霞工区）</t>
  </si>
  <si>
    <t>25000070838</t>
  </si>
  <si>
    <t>2025/07/25 13:16</t>
  </si>
  <si>
    <t>17,317,000</t>
  </si>
  <si>
    <t>13,907,000</t>
  </si>
  <si>
    <t>2026/05/20 14:51:14</t>
  </si>
  <si>
    <t>５２５２橋りょう修繕工事（宝珠花橋側道橋補修設計業務委託）</t>
  </si>
  <si>
    <t>25000064049</t>
  </si>
  <si>
    <t>2025/07/25 11:04</t>
  </si>
  <si>
    <t>16,836,000</t>
  </si>
  <si>
    <t>13,521,000</t>
  </si>
  <si>
    <t>2026/05/20 14:51:16</t>
  </si>
  <si>
    <t>埼玉県生活排水処理施設整備構想策定支援業務委託</t>
  </si>
  <si>
    <t>20250708seihai</t>
  </si>
  <si>
    <t>2025/07/24 11:02</t>
  </si>
  <si>
    <t>10,126,000</t>
  </si>
  <si>
    <t>8,125,000</t>
  </si>
  <si>
    <t>埼玉県 環境部 水環境課</t>
  </si>
  <si>
    <t>9,700,000</t>
  </si>
  <si>
    <t>2026/05/20 14:51:18</t>
  </si>
  <si>
    <t>社資交付金（河川）工事（中川・工事監督支援業務委託）</t>
  </si>
  <si>
    <t>25000060247</t>
  </si>
  <si>
    <t>2025/07/24 09:32</t>
  </si>
  <si>
    <t>13,926,000</t>
  </si>
  <si>
    <t>11,273,000</t>
  </si>
  <si>
    <t>2026/05/20 14:51:21</t>
  </si>
  <si>
    <t>７栗設第１号ほ場整備実施設計等業務委託</t>
  </si>
  <si>
    <t>25000080937</t>
  </si>
  <si>
    <t>2025/07/24 09:03</t>
  </si>
  <si>
    <t>7,139,000</t>
  </si>
  <si>
    <t>2026/05/20 14:51:23</t>
  </si>
  <si>
    <t>道路改築工事（大滝トンネル工事監督支援業務委託その１２）</t>
  </si>
  <si>
    <t>25000070393</t>
  </si>
  <si>
    <t>2025/07/23 13:31</t>
  </si>
  <si>
    <t>6,758,000</t>
  </si>
  <si>
    <t>7,788,000</t>
  </si>
  <si>
    <t>2026/05/20 14:51:25</t>
  </si>
  <si>
    <t>25100154129</t>
  </si>
  <si>
    <t>2025/07/22 14:40</t>
  </si>
  <si>
    <t>4,871,000</t>
  </si>
  <si>
    <t>3,848,000</t>
  </si>
  <si>
    <t>2026/05/20 14:51:27</t>
  </si>
  <si>
    <t>舗装道整備工事（ＦＷＤ調査業務委託その１）</t>
  </si>
  <si>
    <t>25100154128</t>
  </si>
  <si>
    <t>2025/07/22 14:30</t>
  </si>
  <si>
    <t>5,667,000</t>
  </si>
  <si>
    <t>4,479,000</t>
  </si>
  <si>
    <t>2026/05/20 14:51:29</t>
  </si>
  <si>
    <t>交付金（砂防）工事（榎平川堰堤外積算技術業務委託）</t>
  </si>
  <si>
    <t>25000065306</t>
  </si>
  <si>
    <t>2025/07/22 14:20</t>
  </si>
  <si>
    <t>10,050,000</t>
  </si>
  <si>
    <t>8,067,000</t>
  </si>
  <si>
    <t>2026/05/20 14:51:32</t>
  </si>
  <si>
    <t>河川改修（水辺）工事（毛呂川外測量設計業務委託）</t>
  </si>
  <si>
    <t>25000062663</t>
  </si>
  <si>
    <t>2025/07/22 14:10</t>
  </si>
  <si>
    <t>10,618,000</t>
  </si>
  <si>
    <t>8,438,000</t>
  </si>
  <si>
    <t>測技テラノ株式会社 本店</t>
  </si>
  <si>
    <t>9,510,000</t>
  </si>
  <si>
    <t>2026/05/20 14:51:37</t>
  </si>
  <si>
    <t>総委重）５２４６社資交付金（街路）工事（道路詳細設計業務委託</t>
  </si>
  <si>
    <t>25000063859</t>
  </si>
  <si>
    <t>2025/07/22 14:00</t>
  </si>
  <si>
    <t>17,427,000</t>
  </si>
  <si>
    <t>2026/05/20 14:51:39</t>
  </si>
  <si>
    <t>河川改修（水辺）工事（霞川測量設計業務委託）</t>
  </si>
  <si>
    <t>25000062660</t>
  </si>
  <si>
    <t>12,719,000</t>
  </si>
  <si>
    <t>11,200,000</t>
  </si>
  <si>
    <t>2026/05/20 14:51:42</t>
  </si>
  <si>
    <t>災害防除工事（三次元設計業務委託その３３）</t>
  </si>
  <si>
    <t>25000067495</t>
  </si>
  <si>
    <t>2025/07/22 13:32</t>
  </si>
  <si>
    <t>6,759,000</t>
  </si>
  <si>
    <t>5,378,000</t>
  </si>
  <si>
    <t>6,134,000</t>
  </si>
  <si>
    <t>2026/05/20 14:51:44</t>
  </si>
  <si>
    <t>災害防除工事（三次元設計業務委託その３２）</t>
  </si>
  <si>
    <t>25000067486</t>
  </si>
  <si>
    <t>2025/07/22 13:27</t>
  </si>
  <si>
    <t>2026/05/20 14:51:46</t>
  </si>
  <si>
    <t>災害防除工事（三次元設計業務委託その３１）</t>
  </si>
  <si>
    <t>25000067474</t>
  </si>
  <si>
    <t>2025/07/22 13:23</t>
  </si>
  <si>
    <t>9,081,000</t>
  </si>
  <si>
    <t>8,227,000</t>
  </si>
  <si>
    <t>2026/05/20 14:51:48</t>
  </si>
  <si>
    <t>25000067695</t>
  </si>
  <si>
    <t>2025/07/22 10:31</t>
  </si>
  <si>
    <t>10,147,000</t>
  </si>
  <si>
    <t>2026/05/20 14:51:50</t>
  </si>
  <si>
    <t>道路改築工事（構想路線検討業務委託）</t>
  </si>
  <si>
    <t>25000011175</t>
  </si>
  <si>
    <t>2025/07/18 09:20</t>
  </si>
  <si>
    <t>38,176,000</t>
  </si>
  <si>
    <t>2026/05/20 14:51:52</t>
  </si>
  <si>
    <t>５７５９排水機場等維持修繕工事（毛長川排水機場除塵機更新設計業務委託）</t>
  </si>
  <si>
    <t>25000065094</t>
  </si>
  <si>
    <t>2025/07/17 13:51</t>
  </si>
  <si>
    <t>14,460,000</t>
  </si>
  <si>
    <t>2026/05/20 14:51:55</t>
  </si>
  <si>
    <t>道路改築工事（大滝トンネル環境調査業務委託）</t>
  </si>
  <si>
    <t>25000065715</t>
  </si>
  <si>
    <t>2025/07/17 13:32</t>
  </si>
  <si>
    <t>10,070,000</t>
  </si>
  <si>
    <t>7,860,000</t>
  </si>
  <si>
    <t>27</t>
  </si>
  <si>
    <t>2026/05/20 14:51:57</t>
  </si>
  <si>
    <t>５２５８街路整備工事（柳之宮橋外積算技術業務委託）</t>
  </si>
  <si>
    <t>25000059552</t>
  </si>
  <si>
    <t>2025/07/17 13:30</t>
  </si>
  <si>
    <t>13,706,000</t>
  </si>
  <si>
    <t>11,001,000</t>
  </si>
  <si>
    <t>2026/05/20 14:52:02</t>
  </si>
  <si>
    <t>５２５３橋りょう修繕工事（蒲生南町歩道橋補修設計業務委託）</t>
  </si>
  <si>
    <t>25000056606</t>
  </si>
  <si>
    <t>2025/07/17 11:02</t>
  </si>
  <si>
    <t>7,463,000</t>
  </si>
  <si>
    <t>5,996,000</t>
  </si>
  <si>
    <t>2026/05/20 14:52:04</t>
  </si>
  <si>
    <t>７鳥羽設第１号ポンプ設備補修実施設計業務委託</t>
  </si>
  <si>
    <t>25000059566</t>
  </si>
  <si>
    <t>2025/07/17 10:14</t>
  </si>
  <si>
    <t>7,310,000</t>
  </si>
  <si>
    <t>5,871,000</t>
  </si>
  <si>
    <t>2026/05/20 14:52:07</t>
  </si>
  <si>
    <t>５２４５道路環境整備工事（水路詳細設計業務委託）</t>
  </si>
  <si>
    <t>25000059503</t>
  </si>
  <si>
    <t>2025/07/17 10:11</t>
  </si>
  <si>
    <t>13,555,000</t>
  </si>
  <si>
    <t>2026/05/20 14:52:09</t>
  </si>
  <si>
    <t>令和７年度埼玉県都市計画見直し検討業務委託</t>
  </si>
  <si>
    <t>10B00R70701</t>
  </si>
  <si>
    <t>2025/07/17 09:03</t>
  </si>
  <si>
    <t>11,243,000</t>
  </si>
  <si>
    <t>9,025,000</t>
  </si>
  <si>
    <t>2026/05/20 14:52:11</t>
  </si>
  <si>
    <t>中川流域杉戸幹線スギ３９～４０管渠改築実施設計業務委託</t>
  </si>
  <si>
    <t>25200154117</t>
  </si>
  <si>
    <t>2025/07/15 14:39</t>
  </si>
  <si>
    <t>8,423,000</t>
  </si>
  <si>
    <t>6,767,000</t>
  </si>
  <si>
    <t>2026/05/20 14:52:13</t>
  </si>
  <si>
    <t>砂防維持修繕工事（長寿命化計画調査設計業務委託その８）</t>
  </si>
  <si>
    <t>25000059473</t>
  </si>
  <si>
    <t>2025/07/15 14:05</t>
  </si>
  <si>
    <t>7,588,000</t>
  </si>
  <si>
    <t>6,097,000</t>
  </si>
  <si>
    <t>2026/05/20 14:52:16</t>
  </si>
  <si>
    <t>砂防維持修繕工事（長寿命化計画調査設計業務委託その１１）</t>
  </si>
  <si>
    <t>25000059520</t>
  </si>
  <si>
    <t>2025/07/15 14:00</t>
  </si>
  <si>
    <t>7,790,000</t>
  </si>
  <si>
    <t>6,259,000</t>
  </si>
  <si>
    <t>7,024,000</t>
  </si>
  <si>
    <t>2026/05/20 14:52:18</t>
  </si>
  <si>
    <t>中川流域宮代幹線ミヤ３～４管渠改築実施設計業務委託</t>
  </si>
  <si>
    <t>25200154116</t>
  </si>
  <si>
    <t>2025/07/15 13:56</t>
  </si>
  <si>
    <t>17,662,000</t>
  </si>
  <si>
    <t>14,187,000</t>
  </si>
  <si>
    <t>2026/05/20 14:52:20</t>
  </si>
  <si>
    <t>砂防維持修繕工事（長寿命化計画調査設計業務委託その７）</t>
  </si>
  <si>
    <t>25000059455</t>
  </si>
  <si>
    <t>2025/07/15 13:55</t>
  </si>
  <si>
    <t>7,992,000</t>
  </si>
  <si>
    <t>6,421,000</t>
  </si>
  <si>
    <t>7,204,000</t>
  </si>
  <si>
    <t>2026/05/20 14:52:22</t>
  </si>
  <si>
    <t>砂防維持修繕工事（長寿命化計画調査設計業務委託その６）</t>
  </si>
  <si>
    <t>25000059404</t>
  </si>
  <si>
    <t>2025/07/15 13:50</t>
  </si>
  <si>
    <t>8,802,000</t>
  </si>
  <si>
    <t>7,071,000</t>
  </si>
  <si>
    <t>7,925,000</t>
  </si>
  <si>
    <t>2026/05/20 14:52:28</t>
  </si>
  <si>
    <t>砂防維持修繕工事（長寿命化計画調査設計業務委託その１０）</t>
  </si>
  <si>
    <t>25000059494</t>
  </si>
  <si>
    <t>2025/07/15 13:45</t>
  </si>
  <si>
    <t>7,234,000</t>
  </si>
  <si>
    <t>2026/05/20 14:52:30</t>
  </si>
  <si>
    <t>砂防維持修繕工事（長寿命化計画調査設計業務委託その９）</t>
  </si>
  <si>
    <t>25000059405</t>
  </si>
  <si>
    <t>2025/07/15 13:41</t>
  </si>
  <si>
    <t>8,106,000</t>
  </si>
  <si>
    <t>2026/05/20 14:52:32</t>
  </si>
  <si>
    <t>砂防施設工事（境沢詳細設計業務委託）</t>
  </si>
  <si>
    <t>25000051044</t>
  </si>
  <si>
    <t>2025/07/15 13:18</t>
  </si>
  <si>
    <t>12,943,000</t>
  </si>
  <si>
    <t>10,396,000</t>
  </si>
  <si>
    <t>2026/05/20 14:52:35</t>
  </si>
  <si>
    <t>７高牛治山測量設計業務（その２）</t>
  </si>
  <si>
    <t>25000067010</t>
  </si>
  <si>
    <t>2025/07/15 09:21</t>
  </si>
  <si>
    <t>9,300,000</t>
  </si>
  <si>
    <t>7,400,000</t>
  </si>
  <si>
    <t>8,280,000</t>
  </si>
  <si>
    <t>26</t>
  </si>
  <si>
    <t>2026/05/20 14:52:37</t>
  </si>
  <si>
    <t>砂防施設工事（下赤工川砂防事業再評価業務委託）</t>
  </si>
  <si>
    <t>25000052853</t>
  </si>
  <si>
    <t>2025/07/14 13:40</t>
  </si>
  <si>
    <t>8,856,000</t>
  </si>
  <si>
    <t>2026/05/20 14:52:39</t>
  </si>
  <si>
    <t>総委重）交通安全施設整備工事（中瀬戸橋側道橋詳細設計業務委託）</t>
  </si>
  <si>
    <t>25000061645</t>
  </si>
  <si>
    <t>2025/07/14 13:10</t>
  </si>
  <si>
    <t>17,847,000</t>
  </si>
  <si>
    <t>14,332,000</t>
  </si>
  <si>
    <t>2026/05/20 14:52:41</t>
  </si>
  <si>
    <t>総委重）砂防施設工事（柴地すべり対策全体計画策定業務委託）</t>
  </si>
  <si>
    <t>25000052539</t>
  </si>
  <si>
    <t>2025/07/14 13:06</t>
  </si>
  <si>
    <t>17,976,000</t>
  </si>
  <si>
    <t>14,430,000</t>
  </si>
  <si>
    <t>2026/05/20 14:52:43</t>
  </si>
  <si>
    <t>総委重）砂防施設工事（七重川全体計画策定業務委託）</t>
  </si>
  <si>
    <t>25000053481</t>
  </si>
  <si>
    <t>2025/07/14 13:02</t>
  </si>
  <si>
    <t>15,582,000</t>
  </si>
  <si>
    <t>2026/05/20 14:52:46</t>
  </si>
  <si>
    <t>総委重）総合交付金（河川）工事（姫宮落川・笠原人道橋詳細設計業務委託）</t>
  </si>
  <si>
    <t>25000015151</t>
  </si>
  <si>
    <t>2025/07/11 15:30</t>
  </si>
  <si>
    <t>31,654,000</t>
  </si>
  <si>
    <t>25,421,000</t>
  </si>
  <si>
    <t>2026/05/20 14:52:48</t>
  </si>
  <si>
    <t>総委重）橋修（県単）（山口北陸橋補修設計業務委託）</t>
  </si>
  <si>
    <t>25000053352</t>
  </si>
  <si>
    <t>2025/07/11 13:42</t>
  </si>
  <si>
    <t>6,326,000</t>
  </si>
  <si>
    <t>2026/05/20 14:52:53</t>
  </si>
  <si>
    <t>総委重）橋修（県単）（東里橋補修設計業務委託）</t>
  </si>
  <si>
    <t>25000054938</t>
  </si>
  <si>
    <t>2025/07/11 13:28</t>
  </si>
  <si>
    <t>6,872,000</t>
  </si>
  <si>
    <t>5,524,000</t>
  </si>
  <si>
    <t>2026/05/20 14:52:56</t>
  </si>
  <si>
    <t>総委重）橋修（県単）（秋津橋補修設計業務委託）</t>
  </si>
  <si>
    <t>25000054929</t>
  </si>
  <si>
    <t>2025/07/11 13:21</t>
  </si>
  <si>
    <t>7,447,000</t>
  </si>
  <si>
    <t>5,985,000</t>
  </si>
  <si>
    <t>2026/05/20 14:52:58</t>
  </si>
  <si>
    <t>総委技）道路改築工事（北上尾立体予備設計業務委託）</t>
  </si>
  <si>
    <t>25000008374</t>
  </si>
  <si>
    <t>2025/07/11 10:30</t>
  </si>
  <si>
    <t>64,180,000</t>
  </si>
  <si>
    <t>51,517,000</t>
  </si>
  <si>
    <t>2026/05/20 14:53:00</t>
  </si>
  <si>
    <t>５７５３排水機場等維持修繕工事（毛長川排水機場積算支援業務委託）</t>
  </si>
  <si>
    <t>25000065857</t>
  </si>
  <si>
    <t>2025/07/10 13:44</t>
  </si>
  <si>
    <t>6,247,000</t>
  </si>
  <si>
    <t>5,012,000</t>
  </si>
  <si>
    <t>2026/05/20 14:53:02</t>
  </si>
  <si>
    <t>橋りょう修繕工事（積算技術業務委託）</t>
  </si>
  <si>
    <t>25000055905</t>
  </si>
  <si>
    <t>2025/07/10 13:39</t>
  </si>
  <si>
    <t>14,414,000</t>
  </si>
  <si>
    <t>11,569,000</t>
  </si>
  <si>
    <t>2026/05/20 14:53:04</t>
  </si>
  <si>
    <t>５７５８排水機場等維持修繕工事（三領排水機場除塵設備堆積物抑制詳細設計業務委託）</t>
  </si>
  <si>
    <t>25000056501</t>
  </si>
  <si>
    <t>2025/07/10 13:37</t>
  </si>
  <si>
    <t>12,919,000</t>
  </si>
  <si>
    <t>10,376,000</t>
  </si>
  <si>
    <t>2026/05/20 14:53:06</t>
  </si>
  <si>
    <t>砂防維持修繕工事（砂防堰堤改築詳細設計業務委託）６０９</t>
  </si>
  <si>
    <t>25000050998</t>
  </si>
  <si>
    <t>2025/07/10 13:23</t>
  </si>
  <si>
    <t>7,865,000</t>
  </si>
  <si>
    <t>6,321,000</t>
  </si>
  <si>
    <t>2026/05/20 14:53:09</t>
  </si>
  <si>
    <t>河川改修工事（河道設計業務委託）６０８</t>
  </si>
  <si>
    <t>25000050976</t>
  </si>
  <si>
    <t>2025/07/10 13:17</t>
  </si>
  <si>
    <t>8,699,000</t>
  </si>
  <si>
    <t>6,832,000</t>
  </si>
  <si>
    <t>株式会社富士測量 本店</t>
  </si>
  <si>
    <t>8,200,000</t>
  </si>
  <si>
    <t>2026/05/20 14:53:11</t>
  </si>
  <si>
    <t>電線地中化（道路）工事（電線共同溝詳細設計業務委託・北工区）</t>
  </si>
  <si>
    <t>25000053656</t>
  </si>
  <si>
    <t>2025/07/10 10:00</t>
  </si>
  <si>
    <t>15,949,000</t>
  </si>
  <si>
    <t>12,812,000</t>
  </si>
  <si>
    <t>株式会社近代設計 埼玉営業所</t>
  </si>
  <si>
    <t>29</t>
  </si>
  <si>
    <t>2026/05/20 14:53:13</t>
  </si>
  <si>
    <t>令和７年度総合都市交通体系調査（物資流動調査の政策検討）業務委託</t>
  </si>
  <si>
    <t>2025002</t>
  </si>
  <si>
    <t>2025/07/09 13:38</t>
  </si>
  <si>
    <t>9,347,000</t>
  </si>
  <si>
    <t>7,502,000</t>
  </si>
  <si>
    <t>日本工営都市空間株式会社 埼玉事務所</t>
  </si>
  <si>
    <t>2026/05/20 14:53:19</t>
  </si>
  <si>
    <t>７北排１設第１号排水機場補修実施設計業務委託</t>
  </si>
  <si>
    <t>25000059713</t>
  </si>
  <si>
    <t>2025/07/09 09:31</t>
  </si>
  <si>
    <t>5,540,000</t>
  </si>
  <si>
    <t>4,448,000</t>
  </si>
  <si>
    <t>埼玉県 農林部 加須農林振興センター</t>
  </si>
  <si>
    <t>株式会社葵エンジニアリング 関東支社</t>
  </si>
  <si>
    <t>2026/05/20 14:53:21</t>
  </si>
  <si>
    <t>７小新設第１号ため池整備計画策定業務委託</t>
  </si>
  <si>
    <t>25000053270</t>
  </si>
  <si>
    <t>2025/07/08 14:00</t>
  </si>
  <si>
    <t>10,010,000</t>
  </si>
  <si>
    <t>8,035,000</t>
  </si>
  <si>
    <t>2026/05/20 14:53:23</t>
  </si>
  <si>
    <t>７和名設第１号ため池整備計画策定業務委託</t>
  </si>
  <si>
    <t>25000053349</t>
  </si>
  <si>
    <t>2025/07/08 13:31</t>
  </si>
  <si>
    <t>10,970,000</t>
  </si>
  <si>
    <t>8,805,000</t>
  </si>
  <si>
    <t>8,806,000</t>
  </si>
  <si>
    <t>2026/05/20 14:53:25</t>
  </si>
  <si>
    <t>道路改築工事（現道拡幅予備設計業務委託（別所工区））</t>
  </si>
  <si>
    <t>25000049554</t>
  </si>
  <si>
    <t>2025/07/08 13:21</t>
  </si>
  <si>
    <t>5,793,000</t>
  </si>
  <si>
    <t>4,657,000</t>
  </si>
  <si>
    <t>2026/05/20 14:53:28</t>
  </si>
  <si>
    <t>５２３９排水機場等維持修繕工事（古綾瀬川排水機場２号除塵機更新設計業務委託）</t>
  </si>
  <si>
    <t>25000054454</t>
  </si>
  <si>
    <t>2025/07/08 10:02</t>
  </si>
  <si>
    <t>8,503,000</t>
  </si>
  <si>
    <t>6,831,000</t>
  </si>
  <si>
    <t>2026/05/20 14:53:30</t>
  </si>
  <si>
    <t>道路改築工事（長尾根バイパス園路付替予備設計業務委託）</t>
  </si>
  <si>
    <t>25000065701</t>
  </si>
  <si>
    <t>2025/07/07 13:35</t>
  </si>
  <si>
    <t>3,789,000</t>
  </si>
  <si>
    <t>3,047,000</t>
  </si>
  <si>
    <t>2026/05/20 14:53:32</t>
  </si>
  <si>
    <t>橋りょう修繕工事（横断歩道橋長寿命化計画改定業務委託）</t>
  </si>
  <si>
    <t>25000056064</t>
  </si>
  <si>
    <t>2025/07/04 13:33</t>
  </si>
  <si>
    <t>7,070,000</t>
  </si>
  <si>
    <t>2026/05/20 14:53:34</t>
  </si>
  <si>
    <t>自歩道整備工事（測量設計業務委託）小島その２工区</t>
  </si>
  <si>
    <t>25000055889</t>
  </si>
  <si>
    <t>2025/07/03 14:10</t>
  </si>
  <si>
    <t>7,353,000</t>
  </si>
  <si>
    <t>5,766,000</t>
  </si>
  <si>
    <t>6,800,000</t>
  </si>
  <si>
    <t>2026/05/20 14:53:36</t>
  </si>
  <si>
    <t>橋りょう修繕工事（幹沢橋補修設計業務委託）</t>
  </si>
  <si>
    <t>25000052118</t>
  </si>
  <si>
    <t>2025/07/03 14:00</t>
  </si>
  <si>
    <t>6,299,000</t>
  </si>
  <si>
    <t>5,062,000</t>
  </si>
  <si>
    <t>2026/05/20 14:53:39</t>
  </si>
  <si>
    <t>河川改修工事（護岸詳細設計業務委託その２）７１２</t>
  </si>
  <si>
    <t>25000046631</t>
  </si>
  <si>
    <t>2025/07/03 13:58</t>
  </si>
  <si>
    <t>14,269,000</t>
  </si>
  <si>
    <t>11,464,000</t>
  </si>
  <si>
    <t>キタイ設計株式会社 埼玉事務所</t>
  </si>
  <si>
    <t>2026/05/20 14:53:44</t>
  </si>
  <si>
    <t>５７５２排水機場等維持修繕工事（深作排水機場検討業務委託）</t>
  </si>
  <si>
    <t>25000046559</t>
  </si>
  <si>
    <t>2025/07/03 13:48</t>
  </si>
  <si>
    <t>13,033,000</t>
  </si>
  <si>
    <t>10,468,000</t>
  </si>
  <si>
    <t>2026/05/20 14:53:47</t>
  </si>
  <si>
    <t>河川改修工事（護岸詳細設計業務委託その１）７１１</t>
  </si>
  <si>
    <t>25000046579</t>
  </si>
  <si>
    <t>17,469,000</t>
  </si>
  <si>
    <t>14,033,000</t>
  </si>
  <si>
    <t>2026/05/20 14:53:49</t>
  </si>
  <si>
    <t>川再生（新河岸川（氷川町）護岸設計）</t>
  </si>
  <si>
    <t>25000055031</t>
  </si>
  <si>
    <t>2025/07/03 13:27</t>
  </si>
  <si>
    <t>9,053,000</t>
  </si>
  <si>
    <t>7,275,000</t>
  </si>
  <si>
    <t>2026/05/20 14:53:51</t>
  </si>
  <si>
    <t>５６１３橋りょう修繕工事（石神陸橋修繕設計業務委託）</t>
  </si>
  <si>
    <t>25000047961</t>
  </si>
  <si>
    <t>2025/07/03 13:21</t>
  </si>
  <si>
    <t>7,050,000</t>
  </si>
  <si>
    <t>2026/05/20 14:53:53</t>
  </si>
  <si>
    <t>５６１２橋りょう修繕工事（領家橋修繕設計業務委託）</t>
  </si>
  <si>
    <t>25000048197</t>
  </si>
  <si>
    <t>2025/07/03 13:10</t>
  </si>
  <si>
    <t>9,386,000</t>
  </si>
  <si>
    <t>2026/05/20 14:53:55</t>
  </si>
  <si>
    <t>７下八設第１号排水路実施設計業務委託</t>
  </si>
  <si>
    <t>25000060015</t>
  </si>
  <si>
    <t>2025/07/03 09:43</t>
  </si>
  <si>
    <t>9,030,000</t>
  </si>
  <si>
    <t>7,251,000</t>
  </si>
  <si>
    <t>8,780,000</t>
  </si>
  <si>
    <t>2026/05/20 14:53:58</t>
  </si>
  <si>
    <t>道路安全施設工事（谷郷第２歩道橋撤去設計業務委託）</t>
  </si>
  <si>
    <t>25000043884</t>
  </si>
  <si>
    <t>2025/07/03 09:39</t>
  </si>
  <si>
    <t>9,735,000</t>
  </si>
  <si>
    <t>7,823,000</t>
  </si>
  <si>
    <t>2026/05/20 14:54:00</t>
  </si>
  <si>
    <t>令和7年度新たな「まちづくり埼玉プラン」策定業務委託</t>
  </si>
  <si>
    <t>20250616-001</t>
  </si>
  <si>
    <t>2025/07/02 13:13</t>
  </si>
  <si>
    <t>14,606,000</t>
  </si>
  <si>
    <t>11,722,000</t>
  </si>
  <si>
    <t>2026/05/20 14:54:02</t>
  </si>
  <si>
    <t>公園等建設工事（所沢航空記念公園駐車場測量設計業務委託）</t>
  </si>
  <si>
    <t>25000048764</t>
  </si>
  <si>
    <t>2025/07/01 13:35</t>
  </si>
  <si>
    <t>7,841,000</t>
  </si>
  <si>
    <t>株式会社ミカミ・アイエヌジー 本店</t>
  </si>
  <si>
    <t>7,250,000</t>
  </si>
  <si>
    <t>2026/05/20 14:54:04</t>
  </si>
  <si>
    <t>砂防維持修繕工事（中の沢工区地すべり防止施設点検業務委託）</t>
  </si>
  <si>
    <t>25100153859</t>
  </si>
  <si>
    <t>2025/07/01 13:11</t>
  </si>
  <si>
    <t>4,673,000</t>
  </si>
  <si>
    <t>3,757,000</t>
  </si>
  <si>
    <t>2026/05/20 14:54:10</t>
  </si>
  <si>
    <t>国補・河川改修工事（法面工詳細設計業務委託その２）</t>
  </si>
  <si>
    <t>25100153802</t>
  </si>
  <si>
    <t>2025/06/30 13:34</t>
  </si>
  <si>
    <t>9,516,000</t>
  </si>
  <si>
    <t>7,582,000</t>
  </si>
  <si>
    <t>2026/05/20 14:54:12</t>
  </si>
  <si>
    <t>国補・河川改修工事（法面工詳細設計業務委託その１）</t>
  </si>
  <si>
    <t>25100153800</t>
  </si>
  <si>
    <t>2025/06/30 13:20</t>
  </si>
  <si>
    <t>12,292,000</t>
  </si>
  <si>
    <t>9,810,000</t>
  </si>
  <si>
    <t>2026/05/20 14:54:14</t>
  </si>
  <si>
    <t>総委重）道構維持（橋りょう詳細点検業務委託その３）</t>
  </si>
  <si>
    <t>25000040380</t>
  </si>
  <si>
    <t>2025/06/27 13:47</t>
  </si>
  <si>
    <t>16,545,000</t>
  </si>
  <si>
    <t>13,327,000</t>
  </si>
  <si>
    <t>2026/05/20 14:54:16</t>
  </si>
  <si>
    <t>総委重）道構維持（橋りょう詳細点検業務委託その２）</t>
  </si>
  <si>
    <t>25000039905</t>
  </si>
  <si>
    <t>2025/06/27 13:34</t>
  </si>
  <si>
    <t>17,249,000</t>
  </si>
  <si>
    <t>13,875,000</t>
  </si>
  <si>
    <t>2026/05/20 14:54:18</t>
  </si>
  <si>
    <t>連続立体交差工事（公共）（区画街路３号線外詳細設計業務委託）</t>
  </si>
  <si>
    <t>25000039682</t>
  </si>
  <si>
    <t>12,056,000</t>
  </si>
  <si>
    <t>9,664,000</t>
  </si>
  <si>
    <t>2026/05/20 14:54:21</t>
  </si>
  <si>
    <t>右岸流域処理場（和光）放流水路耐震補強設計業務委託</t>
  </si>
  <si>
    <t>25200153778</t>
  </si>
  <si>
    <t>13,256,000</t>
  </si>
  <si>
    <t>10,647,000</t>
  </si>
  <si>
    <t>2026/05/20 14:54:23</t>
  </si>
  <si>
    <t>総委重）道構維持（橋りょう詳細点検業務委託その１）</t>
  </si>
  <si>
    <t>25000041206</t>
  </si>
  <si>
    <t>2025/06/27 13:28</t>
  </si>
  <si>
    <t>17,538,000</t>
  </si>
  <si>
    <t>14,103,000</t>
  </si>
  <si>
    <t>2026/05/20 14:54:25</t>
  </si>
  <si>
    <t>河川改修調査工事（芝川流域水理解析業務委託）</t>
  </si>
  <si>
    <t>25000007824</t>
  </si>
  <si>
    <t>2025/06/27 13:23</t>
  </si>
  <si>
    <t>24,239,000</t>
  </si>
  <si>
    <t>2026/05/20 14:54:27</t>
  </si>
  <si>
    <t>７みどりの村園内道路改良測量設計業務委託</t>
  </si>
  <si>
    <t>25000044076</t>
  </si>
  <si>
    <t>2025/06/27 10:18</t>
  </si>
  <si>
    <t>1,610,000</t>
  </si>
  <si>
    <t>2026/05/20 14:54:29</t>
  </si>
  <si>
    <t>５１０３街路整備工事（電線共同溝修正設計業務委託）</t>
  </si>
  <si>
    <t>25000040031</t>
  </si>
  <si>
    <t>2025/06/26 13:34</t>
  </si>
  <si>
    <t>9,754,000</t>
  </si>
  <si>
    <t>7,838,000</t>
  </si>
  <si>
    <t>2026/05/20 14:54:35</t>
  </si>
  <si>
    <t>交差点（鯨井狭山（柏原）道路修正設計）</t>
  </si>
  <si>
    <t>25000053386</t>
  </si>
  <si>
    <t>2025/06/26 13:32</t>
  </si>
  <si>
    <t>3,623,000</t>
  </si>
  <si>
    <t>3,350,000</t>
  </si>
  <si>
    <t>2026/05/20 14:54:37</t>
  </si>
  <si>
    <t>道構維持（橋りょう詳細点検業務委託その４）</t>
  </si>
  <si>
    <t>25000047121</t>
  </si>
  <si>
    <t>2025/06/26 13:22</t>
  </si>
  <si>
    <t>8,874,000</t>
  </si>
  <si>
    <t>7,136,000</t>
  </si>
  <si>
    <t>2026/05/20 14:54:39</t>
  </si>
  <si>
    <t>５１００街路整備工事（交通量推計業務委託）</t>
  </si>
  <si>
    <t>25000038674</t>
  </si>
  <si>
    <t>2025/06/26 13:21</t>
  </si>
  <si>
    <t>10,371,000</t>
  </si>
  <si>
    <t>2026/05/20 14:54:41</t>
  </si>
  <si>
    <t>社資交（河川）工事（護岸詳細設計業務委託）６０７</t>
  </si>
  <si>
    <t>25100153781</t>
  </si>
  <si>
    <t>2025/06/26 13:09</t>
  </si>
  <si>
    <t>11,649,000</t>
  </si>
  <si>
    <t>2026/05/20 14:54:44</t>
  </si>
  <si>
    <t>７神間設第１号ほ場整備構想図作成業務委託</t>
  </si>
  <si>
    <t>25000051313</t>
  </si>
  <si>
    <t>2025/06/26 11:33</t>
  </si>
  <si>
    <t>2,710,000</t>
  </si>
  <si>
    <t>2,178,000</t>
  </si>
  <si>
    <t>2,600,000</t>
  </si>
  <si>
    <t>2026/05/20 14:54:46</t>
  </si>
  <si>
    <t>５２１５橋りょう修繕工事（八木郷橋補修設計業務委託）</t>
  </si>
  <si>
    <t>25000036102</t>
  </si>
  <si>
    <t>2025/06/26 10:09</t>
  </si>
  <si>
    <t>7,847,000</t>
  </si>
  <si>
    <t>6,305,000</t>
  </si>
  <si>
    <t>2026/05/20 14:54:48</t>
  </si>
  <si>
    <t>７柏木設第１号ため池実施設計業務委託</t>
  </si>
  <si>
    <t>25000053265</t>
  </si>
  <si>
    <t>2025/06/26 09:30</t>
  </si>
  <si>
    <t>4,553,000</t>
  </si>
  <si>
    <t>2026/05/20 14:54:50</t>
  </si>
  <si>
    <t>舗装通常修繕工事（舗装たわみ量調査業務委託）</t>
  </si>
  <si>
    <t>25000044032</t>
  </si>
  <si>
    <t>2025/06/26 09:20</t>
  </si>
  <si>
    <t>6,673,000</t>
  </si>
  <si>
    <t>5,276,000</t>
  </si>
  <si>
    <t>2026/05/20 14:54:52</t>
  </si>
  <si>
    <t>７嵐群３設第１号池田沼実施設計業務委託</t>
  </si>
  <si>
    <t>25000053288</t>
  </si>
  <si>
    <t>2025/06/26 09:00</t>
  </si>
  <si>
    <t>4,770,000</t>
  </si>
  <si>
    <t>3,831,000</t>
  </si>
  <si>
    <t>4,550,000</t>
  </si>
  <si>
    <t>2026/05/20 14:54:54</t>
  </si>
  <si>
    <t>河川改修工事（綾瀬川環境調査業務委託）</t>
  </si>
  <si>
    <t>25000041045</t>
  </si>
  <si>
    <t>2025/06/25 14:02</t>
  </si>
  <si>
    <t>18,015,000</t>
  </si>
  <si>
    <t>14,461,000</t>
  </si>
  <si>
    <t>2026/05/20 14:55:00</t>
  </si>
  <si>
    <t>工事監督支援業務委託（Ｒ７）</t>
  </si>
  <si>
    <t>25100153813</t>
  </si>
  <si>
    <t>2025/06/25 13:33</t>
  </si>
  <si>
    <t>17,703,000</t>
  </si>
  <si>
    <t>14,340,000</t>
  </si>
  <si>
    <t>2026/05/20 14:55:02</t>
  </si>
  <si>
    <t>河川改修工事（元荒川堤防嵩上げ検討業務委託）</t>
  </si>
  <si>
    <t>25000034918</t>
  </si>
  <si>
    <t>2025/06/25 13:21</t>
  </si>
  <si>
    <t>11,688,000</t>
  </si>
  <si>
    <t>9,392,000</t>
  </si>
  <si>
    <t>38</t>
  </si>
  <si>
    <t>2026/05/20 14:55:05</t>
  </si>
  <si>
    <t>埼玉版スーパー・シティプロジェクトコーディネート支援業務委託</t>
  </si>
  <si>
    <t>001</t>
  </si>
  <si>
    <t>2025/06/25 13:01</t>
  </si>
  <si>
    <t>埼玉県 都市整備部 市街地整備課</t>
  </si>
  <si>
    <t>2026/05/20 14:55:07</t>
  </si>
  <si>
    <t>産業団地における課題解決に向けた調査業務委託</t>
  </si>
  <si>
    <t>25100152704</t>
  </si>
  <si>
    <t>2025/06/25 13:00</t>
  </si>
  <si>
    <t>12,140,000</t>
  </si>
  <si>
    <t>2026/05/20 14:55:09</t>
  </si>
  <si>
    <t>砂防施設事業工事（砂防事業再評価業務委託）</t>
  </si>
  <si>
    <t>25000030501</t>
  </si>
  <si>
    <t>2025/06/24 13:51</t>
  </si>
  <si>
    <t>9,436,000</t>
  </si>
  <si>
    <t>7,575,000</t>
  </si>
  <si>
    <t>応用地質株式会社 東京事務所</t>
  </si>
  <si>
    <t>2026/05/20 14:55:11</t>
  </si>
  <si>
    <t>砂防施設工事（日野３詳細設計業務委託）</t>
  </si>
  <si>
    <t>25000030508</t>
  </si>
  <si>
    <t>2025/06/24 13:34</t>
  </si>
  <si>
    <t>16,625,000</t>
  </si>
  <si>
    <t>13,351,000</t>
  </si>
  <si>
    <t>協和設計株式会社 さいたま営業所</t>
  </si>
  <si>
    <t>2026/05/20 14:55:13</t>
  </si>
  <si>
    <t>河川改修工事（荒川大渕工区築堤護岸詳細設計業務委託）</t>
  </si>
  <si>
    <t>25000029741</t>
  </si>
  <si>
    <t>2025/06/24 13:22</t>
  </si>
  <si>
    <t>17,897,000</t>
  </si>
  <si>
    <t>14,377,000</t>
  </si>
  <si>
    <t>2026/05/20 14:55:15</t>
  </si>
  <si>
    <t>７弥設第１号ほ場整備基本計画策定業務委託</t>
  </si>
  <si>
    <t>25000048499</t>
  </si>
  <si>
    <t>2025/06/24 09:05</t>
  </si>
  <si>
    <t>6,823,000</t>
  </si>
  <si>
    <t>2026/05/20 14:55:18</t>
  </si>
  <si>
    <t>災害防除工事（横手工区設計業務委託）</t>
  </si>
  <si>
    <t>25000034211</t>
  </si>
  <si>
    <t>2025/06/23 14:10</t>
  </si>
  <si>
    <t>2026/05/20 14:55:20</t>
  </si>
  <si>
    <t>災害防除工事（南川工区設計業務委託）</t>
  </si>
  <si>
    <t>25000033743</t>
  </si>
  <si>
    <t>2025/06/23 14:00</t>
  </si>
  <si>
    <t>2026/05/20 14:55:25</t>
  </si>
  <si>
    <t>５２０９道路改築工事（土地利用履歴調査業務委託）</t>
  </si>
  <si>
    <t>25000043040</t>
  </si>
  <si>
    <t>2025/06/20 13:27</t>
  </si>
  <si>
    <t>6,886,000</t>
  </si>
  <si>
    <t>5,528,000</t>
  </si>
  <si>
    <t>2026/05/20 14:55:28</t>
  </si>
  <si>
    <t>社資（河川）工事（元小山川樋管詳細設計業務委託）</t>
  </si>
  <si>
    <t>25100153759</t>
  </si>
  <si>
    <t>2025/06/19 13:50</t>
  </si>
  <si>
    <t>5,654,000</t>
  </si>
  <si>
    <t>4,544,000</t>
  </si>
  <si>
    <t>2026/05/20 14:55:30</t>
  </si>
  <si>
    <t>５２３２橋りょう修繕工事（一之橋耐震補強設計業務委託）</t>
  </si>
  <si>
    <t>25000030444</t>
  </si>
  <si>
    <t>2025/06/19 11:34</t>
  </si>
  <si>
    <t>17,877,000</t>
  </si>
  <si>
    <t>14,356,000</t>
  </si>
  <si>
    <t>2026/05/20 14:55:32</t>
  </si>
  <si>
    <t>総委重）河川改修（国庫）工事（連通管詳細設計業務委託その３）</t>
  </si>
  <si>
    <t>25100153646</t>
  </si>
  <si>
    <t>2025/06/19 11:20</t>
  </si>
  <si>
    <t>17,183,000</t>
  </si>
  <si>
    <t>13,799,000</t>
  </si>
  <si>
    <t>2026/05/20 14:55:34</t>
  </si>
  <si>
    <t>５２２０自転車通行環境整備工事（自転車レーン設計業務委託）</t>
  </si>
  <si>
    <t>25000033057</t>
  </si>
  <si>
    <t>2025/06/19 11:01</t>
  </si>
  <si>
    <t>6,460,000</t>
  </si>
  <si>
    <t>5,191,000</t>
  </si>
  <si>
    <t>2026/05/20 14:55:36</t>
  </si>
  <si>
    <t>河川改修工事（水辺）（旧忍川・排水樋管ゲート設計業務委託）</t>
  </si>
  <si>
    <t>25000040487</t>
  </si>
  <si>
    <t>2025/06/19 10:03</t>
  </si>
  <si>
    <t>4,487,000</t>
  </si>
  <si>
    <t>3,607,000</t>
  </si>
  <si>
    <t>4,300,000</t>
  </si>
  <si>
    <t>2026/05/20 14:55:38</t>
  </si>
  <si>
    <t>社資（交通安全）工事（上種足工区水路設計業務委託）</t>
  </si>
  <si>
    <t>25000037692</t>
  </si>
  <si>
    <t>2025/06/19 09:46</t>
  </si>
  <si>
    <t>7,082,000</t>
  </si>
  <si>
    <t>5,692,000</t>
  </si>
  <si>
    <t>6,580,000</t>
  </si>
  <si>
    <t>2026/05/20 14:55:41</t>
  </si>
  <si>
    <t>河川改修事業（水辺）工事（中川上流排水機場・受変電設備及び計装変換器盤設計業務委託）</t>
  </si>
  <si>
    <t>25100153632</t>
  </si>
  <si>
    <t>2025/06/19 09:40</t>
  </si>
  <si>
    <t>11,365,000</t>
  </si>
  <si>
    <t>9,129,000</t>
  </si>
  <si>
    <t>2026/05/20 14:55:43</t>
  </si>
  <si>
    <t>７北管設第２号管水路実施設計業務委託</t>
  </si>
  <si>
    <t>25000039636</t>
  </si>
  <si>
    <t>2025/06/19 09:31</t>
  </si>
  <si>
    <t>11,150,000</t>
  </si>
  <si>
    <t>8,951,000</t>
  </si>
  <si>
    <t>2026/05/20 14:55:45</t>
  </si>
  <si>
    <t>７高牛治山測量設計業務</t>
  </si>
  <si>
    <t>25000040893</t>
  </si>
  <si>
    <t>2025/06/19 09:01</t>
  </si>
  <si>
    <t>2026/05/20 14:55:51</t>
  </si>
  <si>
    <t>中川流域処理場制御・計装用電源設備改築実施設計業務委託その２</t>
  </si>
  <si>
    <t>25200153711</t>
  </si>
  <si>
    <t>2025/06/18 14:03</t>
  </si>
  <si>
    <t>9,882,000</t>
  </si>
  <si>
    <t>7,938,000</t>
  </si>
  <si>
    <t>2026/05/20 14:55:53</t>
  </si>
  <si>
    <t>中川流域処理場制御・計装用電源設備改築実施設計業務委託その１</t>
  </si>
  <si>
    <t>25200153710</t>
  </si>
  <si>
    <t>2025/06/18 13:30</t>
  </si>
  <si>
    <t>10,541,000</t>
  </si>
  <si>
    <t>8,467,000</t>
  </si>
  <si>
    <t>2026/05/20 14:55:55</t>
  </si>
  <si>
    <t>７実千設第１号ほ場整備実施設計業務委託</t>
  </si>
  <si>
    <t>25000039291</t>
  </si>
  <si>
    <t>2025/06/18 09:15</t>
  </si>
  <si>
    <t>15,870,000</t>
  </si>
  <si>
    <t>12,739,000</t>
  </si>
  <si>
    <t>冨洋設計株式会社 さいたま営業所</t>
  </si>
  <si>
    <t>12,747,000</t>
  </si>
  <si>
    <t>2026/05/20 14:55:57</t>
  </si>
  <si>
    <t>社資（改築）工事（荒川白久工区構造物詳細設計業務委託）</t>
  </si>
  <si>
    <t>25000033736</t>
  </si>
  <si>
    <t>2025/06/17 15:57</t>
  </si>
  <si>
    <t>4,630,000</t>
  </si>
  <si>
    <t>2026/05/20 14:55:59</t>
  </si>
  <si>
    <t>アクセス推進工事（三次元設計業務委託その２７）</t>
  </si>
  <si>
    <t>25000036434</t>
  </si>
  <si>
    <t>2025/06/17 15:39</t>
  </si>
  <si>
    <t>6,593,000</t>
  </si>
  <si>
    <t>5,244,000</t>
  </si>
  <si>
    <t>5,976,000</t>
  </si>
  <si>
    <t>2026/05/20 14:56:01</t>
  </si>
  <si>
    <t>アクセス推進工事（三次元設計業務委託その２８）</t>
  </si>
  <si>
    <t>25000036443</t>
  </si>
  <si>
    <t>2025/06/17 15:30</t>
  </si>
  <si>
    <t>6,596,000</t>
  </si>
  <si>
    <t>5,247,000</t>
  </si>
  <si>
    <t>5,984,000</t>
  </si>
  <si>
    <t>2026/05/20 14:56:04</t>
  </si>
  <si>
    <t>災害防除工事（三次元設計業務委託その３０）</t>
  </si>
  <si>
    <t>25000036478</t>
  </si>
  <si>
    <t>2025/06/17 15:23</t>
  </si>
  <si>
    <t>6,182,000</t>
  </si>
  <si>
    <t>2026/05/20 14:56:06</t>
  </si>
  <si>
    <t>災害防除工事（三次元設計業務委託その２９）</t>
  </si>
  <si>
    <t>25000036471</t>
  </si>
  <si>
    <t>2025/06/17 15:14</t>
  </si>
  <si>
    <t>6,150,000</t>
  </si>
  <si>
    <t>2026/05/20 14:56:08</t>
  </si>
  <si>
    <t>アクセス推進工事（三次元設計業務委託その２６）</t>
  </si>
  <si>
    <t>25000036427</t>
  </si>
  <si>
    <t>2025/06/17 15:05</t>
  </si>
  <si>
    <t>高瀬測量設計株式会社 本店</t>
  </si>
  <si>
    <t>6,156,000</t>
  </si>
  <si>
    <t>2026/05/20 14:56:10</t>
  </si>
  <si>
    <t>アクセス推進工事（三次元設計業務委託その２５）</t>
  </si>
  <si>
    <t>25000036377</t>
  </si>
  <si>
    <t>2025/06/17 14:53</t>
  </si>
  <si>
    <t>6,148,000</t>
  </si>
  <si>
    <t>2026/05/20 14:56:16</t>
  </si>
  <si>
    <t>道路改築工事（贄川工区付替道路詳細設計業務委託）</t>
  </si>
  <si>
    <t>25000034233</t>
  </si>
  <si>
    <t>2025/06/17 14:45</t>
  </si>
  <si>
    <t>7,545,000</t>
  </si>
  <si>
    <t>5,971,000</t>
  </si>
  <si>
    <t>6,980,000</t>
  </si>
  <si>
    <t>2026/05/20 14:56:18</t>
  </si>
  <si>
    <t>砂防施設工事（室久保工区調査観測業務委託その３）</t>
  </si>
  <si>
    <t>25000032016</t>
  </si>
  <si>
    <t>2025/06/17 14:34</t>
  </si>
  <si>
    <t>8,810,000</t>
  </si>
  <si>
    <t>6,965,000</t>
  </si>
  <si>
    <t>2026/05/20 14:56:20</t>
  </si>
  <si>
    <t>25100153469</t>
  </si>
  <si>
    <t>2025/06/17 14:28</t>
  </si>
  <si>
    <t>12,917,000</t>
  </si>
  <si>
    <t>9,845,000</t>
  </si>
  <si>
    <t>2026/05/20 14:56:22</t>
  </si>
  <si>
    <t>公園等建設工事（狭山稲荷山公園木道設計業務委託）</t>
  </si>
  <si>
    <t>25100153695</t>
  </si>
  <si>
    <t>2025/06/17 14:05</t>
  </si>
  <si>
    <t>9,054,000</t>
  </si>
  <si>
    <t>8,800,000</t>
  </si>
  <si>
    <t>2026/05/20 14:56:25</t>
  </si>
  <si>
    <t>公園等建設工事（大宮第二公園外駐車場改修実施設計業務委託）</t>
  </si>
  <si>
    <t>25100153694</t>
  </si>
  <si>
    <t>2025/06/17 11:01</t>
  </si>
  <si>
    <t>17,492,000</t>
  </si>
  <si>
    <t>14,048,000</t>
  </si>
  <si>
    <t>2026/05/20 14:56:27</t>
  </si>
  <si>
    <t>５２３５河川改修事業（水辺）工事（神明排水機場計装設備更新設計業務委託）</t>
  </si>
  <si>
    <t>25100153548</t>
  </si>
  <si>
    <t>2025/06/17 10:01</t>
  </si>
  <si>
    <t>13,859,000</t>
  </si>
  <si>
    <t>2026/05/20 14:56:29</t>
  </si>
  <si>
    <t>産業廃棄物処理実績報告等集計業務委託</t>
  </si>
  <si>
    <t>2025001</t>
  </si>
  <si>
    <t>2025/06/17 09:01</t>
  </si>
  <si>
    <t>6,678,000</t>
  </si>
  <si>
    <t>4,452,000</t>
  </si>
  <si>
    <t>埼玉県 環境部 資源循環推進課</t>
  </si>
  <si>
    <t>株式会社グリーンエコ 本店</t>
  </si>
  <si>
    <t>2026/05/20 14:56:31</t>
  </si>
  <si>
    <t>県民健康福祉村長寿命化計画改定業務委託</t>
  </si>
  <si>
    <t>25000032620</t>
  </si>
  <si>
    <t>2025/06/16 09:31</t>
  </si>
  <si>
    <t>12,832,000</t>
  </si>
  <si>
    <t>10,302,000</t>
  </si>
  <si>
    <t>2026/05/20 14:56:33</t>
  </si>
  <si>
    <t>社資（砂防）工事（土砂洪水氾濫対策解析業務委託）</t>
  </si>
  <si>
    <t>25100153521</t>
  </si>
  <si>
    <t>2025/06/16 09:05</t>
  </si>
  <si>
    <t>26,179,000</t>
  </si>
  <si>
    <t>2026/05/20 14:56:35</t>
  </si>
  <si>
    <t>５２０８道改事業工事（軟弱地盤対策設計業務委託）</t>
  </si>
  <si>
    <t>25000038224</t>
  </si>
  <si>
    <t>2025/06/13 13:13</t>
  </si>
  <si>
    <t>8,363,000</t>
  </si>
  <si>
    <t>2026/05/20 14:56:41</t>
  </si>
  <si>
    <t>河川改修事業（水辺）工事（排水機場長寿命化計画見直し業務委託）</t>
  </si>
  <si>
    <t>000</t>
  </si>
  <si>
    <t>2025/06/13 10:51</t>
  </si>
  <si>
    <t>33,988,000</t>
  </si>
  <si>
    <t>27,280,000</t>
  </si>
  <si>
    <t>2026/05/20 14:56:43</t>
  </si>
  <si>
    <t>利根川右岸流域下水道全体計画変更業務委託</t>
  </si>
  <si>
    <t>25200153636</t>
  </si>
  <si>
    <t>2025/06/12 13:42</t>
  </si>
  <si>
    <t>16,898,000</t>
  </si>
  <si>
    <t>13,565,000</t>
  </si>
  <si>
    <t>2026/05/20 14:56:45</t>
  </si>
  <si>
    <t>道路改築工事（長尾根バイパス切土法面詳細設計業務委託）</t>
  </si>
  <si>
    <t>25000029996</t>
  </si>
  <si>
    <t>2025/06/12 13:35</t>
  </si>
  <si>
    <t>11,166,000</t>
  </si>
  <si>
    <t>2026/05/20 14:56:48</t>
  </si>
  <si>
    <t>５２４３道路構造物維持工事（橋梁点検業務委託その４）</t>
  </si>
  <si>
    <t>25000018453</t>
  </si>
  <si>
    <t>2025/06/12 11:32</t>
  </si>
  <si>
    <t>16,346,000</t>
  </si>
  <si>
    <t>13,169,000</t>
  </si>
  <si>
    <t>2026/05/20 14:56:50</t>
  </si>
  <si>
    <t>５２４２道路構造物維持工事（橋梁点検業務委託その３）</t>
  </si>
  <si>
    <t>25000018661</t>
  </si>
  <si>
    <t>2025/06/12 11:03</t>
  </si>
  <si>
    <t>16,700,000</t>
  </si>
  <si>
    <t>13,457,000</t>
  </si>
  <si>
    <t>2026/05/20 14:56:52</t>
  </si>
  <si>
    <t>５２４１道路構造物維持工事（橋梁点検業務委託その２）</t>
  </si>
  <si>
    <t>25000018685</t>
  </si>
  <si>
    <t>2025/06/12 10:33</t>
  </si>
  <si>
    <t>17,108,000</t>
  </si>
  <si>
    <t>13,785,000</t>
  </si>
  <si>
    <t>2026/05/20 14:56:54</t>
  </si>
  <si>
    <t>５２４０道路構造物維持工事（橋梁点検業務委託その１）</t>
  </si>
  <si>
    <t>25000019291</t>
  </si>
  <si>
    <t>2025/06/12 10:03</t>
  </si>
  <si>
    <t>17,325,000</t>
  </si>
  <si>
    <t>13,953,000</t>
  </si>
  <si>
    <t>伸栄開発株式会社 関東支店</t>
  </si>
  <si>
    <t>2026/05/20 14:56:56</t>
  </si>
  <si>
    <t>道路改築工事（蓮田白岡久喜線・函渠工積算技術業務委託）</t>
  </si>
  <si>
    <t>25000036080</t>
  </si>
  <si>
    <t>2025/06/12 09:47</t>
  </si>
  <si>
    <t>2026/05/20 14:56:59</t>
  </si>
  <si>
    <t>７権３設第１号用水路実施設計業務委託</t>
  </si>
  <si>
    <t>25000041668</t>
  </si>
  <si>
    <t>2025/06/12 09:35</t>
  </si>
  <si>
    <t>2026/05/20 14:57:01</t>
  </si>
  <si>
    <t>７埼６設第１号保全計画策定業務委託（東第二排水機場）</t>
  </si>
  <si>
    <t>25000039558</t>
  </si>
  <si>
    <t>2025/06/12 09:08</t>
  </si>
  <si>
    <t>5,830,000</t>
  </si>
  <si>
    <t>4,680,000</t>
  </si>
  <si>
    <t>5,640,000</t>
  </si>
  <si>
    <t>2026/05/20 14:57:06</t>
  </si>
  <si>
    <t>河川改修工事（新方川新規調節池外周道路測量設計業務委託）</t>
  </si>
  <si>
    <t>25000026260</t>
  </si>
  <si>
    <t>2025/06/11 16:17</t>
  </si>
  <si>
    <t>14,401,000</t>
  </si>
  <si>
    <t>2026/05/20 14:57:09</t>
  </si>
  <si>
    <t>総委重）社資（河川）工事（綾瀬川横根地区樋管詳細設計業務委託その３）</t>
  </si>
  <si>
    <t>25000017109</t>
  </si>
  <si>
    <t>2025/06/11 14:03</t>
  </si>
  <si>
    <t>10,193,000</t>
  </si>
  <si>
    <t>2026/05/20 14:57:11</t>
  </si>
  <si>
    <t>総委重）社資（河川）工事（綾瀬川横根地区樋管詳細設計業務委託その２）</t>
  </si>
  <si>
    <t>25000017088</t>
  </si>
  <si>
    <t>2025/06/11 13:41</t>
  </si>
  <si>
    <t>2026/05/20 14:57:13</t>
  </si>
  <si>
    <t>砂防施設（補助）工事（Ｒ７上の山地すべり対策工詳細設計業務委</t>
  </si>
  <si>
    <t>25000031530</t>
  </si>
  <si>
    <t>2025/06/11 13:30</t>
  </si>
  <si>
    <t>4,578,000</t>
  </si>
  <si>
    <t>3,680,000</t>
  </si>
  <si>
    <t>2026/05/20 14:57:15</t>
  </si>
  <si>
    <t>総委重）社資（河川）工事（綾瀬川横根地区樋管詳細設計業務委託その１）</t>
  </si>
  <si>
    <t>25000017037</t>
  </si>
  <si>
    <t>2025/06/11 13:25</t>
  </si>
  <si>
    <t>18,136,000</t>
  </si>
  <si>
    <t>2026/05/20 14:57:17</t>
  </si>
  <si>
    <t>７小諸尾根治山測量設計業務委託</t>
  </si>
  <si>
    <t>25000030834</t>
  </si>
  <si>
    <t>2025/06/11 11:54</t>
  </si>
  <si>
    <t>3,620,000</t>
  </si>
  <si>
    <t>2,905,000</t>
  </si>
  <si>
    <t>3,330,000</t>
  </si>
  <si>
    <t>2026/05/20 14:57:20</t>
  </si>
  <si>
    <t>７高指沢治山測量設計業務委託</t>
  </si>
  <si>
    <t>25000031108</t>
  </si>
  <si>
    <t>2025/06/11 11:44</t>
  </si>
  <si>
    <t>4,790,000</t>
  </si>
  <si>
    <t>3,840,000</t>
  </si>
  <si>
    <t>4,320,000</t>
  </si>
  <si>
    <t>2026/05/20 14:57:22</t>
  </si>
  <si>
    <t>７三河谷治山測量設計業務委託</t>
  </si>
  <si>
    <t>25000030661</t>
  </si>
  <si>
    <t>2025/06/11 11:34</t>
  </si>
  <si>
    <t>5,120,000</t>
  </si>
  <si>
    <t>4,085,000</t>
  </si>
  <si>
    <t>2026/05/20 14:57:24</t>
  </si>
  <si>
    <t>７大日沢治山測量設計業務委託</t>
  </si>
  <si>
    <t>25000030651</t>
  </si>
  <si>
    <t>2025/06/11 11:19</t>
  </si>
  <si>
    <t>5,738,000</t>
  </si>
  <si>
    <t>6,500,000</t>
  </si>
  <si>
    <t>2026/05/20 14:57:26</t>
  </si>
  <si>
    <t>道路改築工事（道路概略設計業務委託）</t>
  </si>
  <si>
    <t>25000023692</t>
  </si>
  <si>
    <t>2025/06/10 16:10</t>
  </si>
  <si>
    <t>18,141,000</t>
  </si>
  <si>
    <t>14,574,000</t>
  </si>
  <si>
    <t>2026/05/20 14:57:32</t>
  </si>
  <si>
    <t>市野川流域小川中継圧送管二条化詳細設計業務委託その２</t>
  </si>
  <si>
    <t>25200153528</t>
  </si>
  <si>
    <t>2025/06/10 15:36</t>
  </si>
  <si>
    <t>10,715,000</t>
  </si>
  <si>
    <t>8,607,000</t>
  </si>
  <si>
    <t>株式会社東朋エンジニアリング 本店</t>
  </si>
  <si>
    <t>2026/05/20 14:57:34</t>
  </si>
  <si>
    <t>７美里－２号美里甘粕地区産業団地実施設計業務委託</t>
  </si>
  <si>
    <t>25100152591</t>
  </si>
  <si>
    <t>2025/06/10 15:30</t>
  </si>
  <si>
    <t>69,568,000</t>
  </si>
  <si>
    <t>55,734,000</t>
  </si>
  <si>
    <t>2026/05/20 14:57:36</t>
  </si>
  <si>
    <t>市野川流域小川中継圧送管二条化詳細設計業務委託その１</t>
  </si>
  <si>
    <t>25200153527</t>
  </si>
  <si>
    <t>2025/06/10 15:04</t>
  </si>
  <si>
    <t>14,227,000</t>
  </si>
  <si>
    <t>11,427,000</t>
  </si>
  <si>
    <t>2026/05/20 14:57:39</t>
  </si>
  <si>
    <t>古利根流域栗橋大利根幹線人孔浮上診断業務委託その３</t>
  </si>
  <si>
    <t>25200153526</t>
  </si>
  <si>
    <t>2025/06/10 14:35</t>
  </si>
  <si>
    <t>13,554,000</t>
  </si>
  <si>
    <t>10,693,000</t>
  </si>
  <si>
    <t>2026/05/20 14:57:41</t>
  </si>
  <si>
    <t>古利根流域栗橋大利根幹線人孔浮上診断業務委託その２</t>
  </si>
  <si>
    <t>25200153525</t>
  </si>
  <si>
    <t>2025/06/10 14:04</t>
  </si>
  <si>
    <t>13,662,000</t>
  </si>
  <si>
    <t>2026/05/20 14:57:43</t>
  </si>
  <si>
    <t>砂防維持修繕工事（中の沢工区概成報告書作成業務委託）</t>
  </si>
  <si>
    <t>25000026197</t>
  </si>
  <si>
    <t>2025/06/10 13:34</t>
  </si>
  <si>
    <t>5,645,000</t>
  </si>
  <si>
    <t>4,436,000</t>
  </si>
  <si>
    <t>2026/05/20 14:57:45</t>
  </si>
  <si>
    <t>古利根流域栗橋大利根幹線人孔浮上診断業務委託その１</t>
  </si>
  <si>
    <t>25200153524</t>
  </si>
  <si>
    <t>2025/06/10 13:31</t>
  </si>
  <si>
    <t>13,961,000</t>
  </si>
  <si>
    <t>11,019,000</t>
  </si>
  <si>
    <t>2026/05/20 14:57:47</t>
  </si>
  <si>
    <t>砂防施設工事（長留川旧川敷整備測量設計業務委託）</t>
  </si>
  <si>
    <t>25000024892</t>
  </si>
  <si>
    <t>2025/06/10 13:14</t>
  </si>
  <si>
    <t>9,021,000</t>
  </si>
  <si>
    <t>8,186,000</t>
  </si>
  <si>
    <t>2026/05/20 14:57:49</t>
  </si>
  <si>
    <t>古利根流域処理場沈砂池ポンプ棟耐水化詳細設計業務委託</t>
  </si>
  <si>
    <t>25200153563</t>
  </si>
  <si>
    <t>2025/06/10 11:34</t>
  </si>
  <si>
    <t>10,213,000</t>
  </si>
  <si>
    <t>2026/05/20 14:57:52</t>
  </si>
  <si>
    <t>古利根流域処理場電気棟外耐水化詳細設計業務委託</t>
  </si>
  <si>
    <t>25200153561</t>
  </si>
  <si>
    <t>2025/06/10 11:04</t>
  </si>
  <si>
    <t>13,791,000</t>
  </si>
  <si>
    <t>2026/05/20 14:57:57</t>
  </si>
  <si>
    <t>道路改築工事（道路ネットワーク構想検討業務委託）</t>
  </si>
  <si>
    <t>25000034689</t>
  </si>
  <si>
    <t>2025/06/10 10:52</t>
  </si>
  <si>
    <t>13,135,000</t>
  </si>
  <si>
    <t>2026/05/20 14:57:59</t>
  </si>
  <si>
    <t>古利根流域処理場管理棟外耐水化詳細設計業務委託</t>
  </si>
  <si>
    <t>25200153560</t>
  </si>
  <si>
    <t>2025/06/10 10:33</t>
  </si>
  <si>
    <t>17,778,000</t>
  </si>
  <si>
    <t>14,277,000</t>
  </si>
  <si>
    <t>2026/05/20 14:58:02</t>
  </si>
  <si>
    <t>５２３０河川改修工事（第二大場川橋梁架換概略設計業務委託）</t>
  </si>
  <si>
    <t>25100153389</t>
  </si>
  <si>
    <t>2025/06/10 10:30</t>
  </si>
  <si>
    <t>14,859,000</t>
  </si>
  <si>
    <t>11,937,000</t>
  </si>
  <si>
    <t>2026/05/20 14:58:04</t>
  </si>
  <si>
    <t>５２２９社資交付金（河川）工事（第二大場川樋管詳細設計業務委託）</t>
  </si>
  <si>
    <t>25100153388</t>
  </si>
  <si>
    <t>2025/06/10 10:00</t>
  </si>
  <si>
    <t>17,549,000</t>
  </si>
  <si>
    <t>2026/05/20 14:58:06</t>
  </si>
  <si>
    <t>総委重）５２０１道路改築事業工事（道路等詳細設計業務委託 朝霞工区）</t>
  </si>
  <si>
    <t>25000002761</t>
  </si>
  <si>
    <t>2025/06/09 15:30</t>
  </si>
  <si>
    <t>65,350,000</t>
  </si>
  <si>
    <t>52,473,000</t>
  </si>
  <si>
    <t>2026/05/20 14:58:08</t>
  </si>
  <si>
    <t>０２５大委第２０－１号 西部系サージタンク検討業務委託</t>
  </si>
  <si>
    <t>25100153321</t>
  </si>
  <si>
    <t>2025/06/06 13:13</t>
  </si>
  <si>
    <t>18,170,000</t>
  </si>
  <si>
    <t>14,587,000</t>
  </si>
  <si>
    <t>2026/05/20 14:58:10</t>
  </si>
  <si>
    <t>路面下空洞調査業務委託（その４）</t>
  </si>
  <si>
    <t>25100153332</t>
  </si>
  <si>
    <t>2025/06/05 14:08</t>
  </si>
  <si>
    <t>13,379,000</t>
  </si>
  <si>
    <t>10,658,000</t>
  </si>
  <si>
    <t>2026/05/20 14:58:13</t>
  </si>
  <si>
    <t>河川改修工事（倉松川整備手法基礎検討業務委託）</t>
  </si>
  <si>
    <t>25000019442</t>
  </si>
  <si>
    <t>2025/06/05 13:44</t>
  </si>
  <si>
    <t>17,878,000</t>
  </si>
  <si>
    <t>14,362,000</t>
  </si>
  <si>
    <t>2026/05/20 14:58:15</t>
  </si>
  <si>
    <t>河川改修工事（芝川工事監督支援業務委託その２）</t>
  </si>
  <si>
    <t>25000019968</t>
  </si>
  <si>
    <t>2025/06/05 13:27</t>
  </si>
  <si>
    <t>17,971,000</t>
  </si>
  <si>
    <t>14,548,000</t>
  </si>
  <si>
    <t>2026/05/20 14:58:17</t>
  </si>
  <si>
    <t>河川改修工事（芝川工事監督支援業務委託その１）</t>
  </si>
  <si>
    <t>25000019917</t>
  </si>
  <si>
    <t>2025/06/05 13:14</t>
  </si>
  <si>
    <t>18,126,000</t>
  </si>
  <si>
    <t>14,673,000</t>
  </si>
  <si>
    <t>2026/05/20 14:58:23</t>
  </si>
  <si>
    <t>25100153331</t>
  </si>
  <si>
    <t>2025/06/05 11:53</t>
  </si>
  <si>
    <t>12,843,000</t>
  </si>
  <si>
    <t>10,360,000</t>
  </si>
  <si>
    <t>2026/05/20 14:58:25</t>
  </si>
  <si>
    <t>25000016175</t>
  </si>
  <si>
    <t>2025/06/05 11:36</t>
  </si>
  <si>
    <t>14,004,000</t>
  </si>
  <si>
    <t>11,250,000</t>
  </si>
  <si>
    <t>2026/05/20 14:58:27</t>
  </si>
  <si>
    <t>25000016174</t>
  </si>
  <si>
    <t>2025/06/05 11:15</t>
  </si>
  <si>
    <t>14,409,000</t>
  </si>
  <si>
    <t>11,584,000</t>
  </si>
  <si>
    <t>株式会社中央技術コンサルタンツ 北関東支店</t>
  </si>
  <si>
    <t>2026/05/20 14:58:29</t>
  </si>
  <si>
    <t>25100153330</t>
  </si>
  <si>
    <t>2025/06/05 10:58</t>
  </si>
  <si>
    <t>14,622,000</t>
  </si>
  <si>
    <t>11,793,000</t>
  </si>
  <si>
    <t>2026/05/20 14:58:31</t>
  </si>
  <si>
    <t>社資交付金（河川）工事（第Ⅱ期・樋管詳細設計業務委託その２）</t>
  </si>
  <si>
    <t>25000019992</t>
  </si>
  <si>
    <t>2025/06/05 10:51</t>
  </si>
  <si>
    <t>11,160,000</t>
  </si>
  <si>
    <t>8,967,000</t>
  </si>
  <si>
    <t>2026/05/20 14:58:34</t>
  </si>
  <si>
    <t>社資交付金（河川）工事（第Ⅱ期・樋管詳細設計業務委託その１）</t>
  </si>
  <si>
    <t>25000019940</t>
  </si>
  <si>
    <t>2025/06/05 10:15</t>
  </si>
  <si>
    <t>2026/05/20 14:58:36</t>
  </si>
  <si>
    <t>25000017988</t>
  </si>
  <si>
    <t>2025/06/05 09:53</t>
  </si>
  <si>
    <t>15,537,000</t>
  </si>
  <si>
    <t>12,487,000</t>
  </si>
  <si>
    <t>株式会社サンテックインターナショナル 埼玉営業所</t>
  </si>
  <si>
    <t>2026/05/20 14:58:38</t>
  </si>
  <si>
    <t>社資（河川）工事（綾瀬川河道詳細設計業務委託その４）</t>
  </si>
  <si>
    <t>25000015809</t>
  </si>
  <si>
    <t>2025/06/04 14:04</t>
  </si>
  <si>
    <t>11,290,000</t>
  </si>
  <si>
    <t>9,071,000</t>
  </si>
  <si>
    <t>2026/05/20 14:58:40</t>
  </si>
  <si>
    <t>2025/06/04 13:35</t>
  </si>
  <si>
    <t>2026/05/20 14:58:42</t>
  </si>
  <si>
    <t>利根右流域処理場機械濃縮棟建築施工監理業務委託</t>
  </si>
  <si>
    <t>25200153408</t>
  </si>
  <si>
    <t>2025/06/03 15:33</t>
  </si>
  <si>
    <t>6,329,000</t>
  </si>
  <si>
    <t>4,845,000</t>
  </si>
  <si>
    <t>日本水工設計株式会社 関東事務所</t>
  </si>
  <si>
    <t>2026/05/20 14:58:48</t>
  </si>
  <si>
    <t>古利根流域鷲宮幹線人孔浮上診断業務委託その２</t>
  </si>
  <si>
    <t>25200153411</t>
  </si>
  <si>
    <t>2025/06/03 15:04</t>
  </si>
  <si>
    <t>14,718,000</t>
  </si>
  <si>
    <t>11,608,000</t>
  </si>
  <si>
    <t>2026/05/20 14:58:50</t>
  </si>
  <si>
    <t>中川流域宮代幹線ミヤ１～２管渠改築実施設計業務委託</t>
  </si>
  <si>
    <t>25200153308</t>
  </si>
  <si>
    <t>2025/06/03 14:49</t>
  </si>
  <si>
    <t>11,309,000</t>
  </si>
  <si>
    <t>9,084,000</t>
  </si>
  <si>
    <t>2026/05/20 14:58:53</t>
  </si>
  <si>
    <t>古利根流域鷲宮幹線人孔浮上診断業務委託その１</t>
  </si>
  <si>
    <t>25200153409</t>
  </si>
  <si>
    <t>2025/06/03 14:37</t>
  </si>
  <si>
    <t>15,726,000</t>
  </si>
  <si>
    <t>12,413,000</t>
  </si>
  <si>
    <t>株式会社シーエスエンジニアズ 本店</t>
  </si>
  <si>
    <t>2026/05/20 14:58:55</t>
  </si>
  <si>
    <t>中川流域中央幹線チュウ３８～３９管渠改築実施設計業務委託</t>
  </si>
  <si>
    <t>25200153306</t>
  </si>
  <si>
    <t>12,608,000</t>
  </si>
  <si>
    <t>10,127,000</t>
  </si>
  <si>
    <t>2026/05/20 14:58:57</t>
  </si>
  <si>
    <t>中川流域中央幹線チュⅡ－１７～１８管渠改築実施設計業務委託</t>
  </si>
  <si>
    <t>25200153307</t>
  </si>
  <si>
    <t>2025/06/03 14:09</t>
  </si>
  <si>
    <t>14,712,000</t>
  </si>
  <si>
    <t>株式会社ピーシーレールウェイコンサルタント 埼玉営業所</t>
  </si>
  <si>
    <t>11,817,000</t>
  </si>
  <si>
    <t>2026/05/20 14:58:59</t>
  </si>
  <si>
    <t>古利根流域栗橋中継圧送管二条化詳細設計業務委託その２</t>
  </si>
  <si>
    <t>25200153413</t>
  </si>
  <si>
    <t>2025/06/03 14:03</t>
  </si>
  <si>
    <t>2026/05/20 14:59:01</t>
  </si>
  <si>
    <t>古利根流域栗橋中継圧送管二条化詳細設計業務委託その１</t>
  </si>
  <si>
    <t>25200153412</t>
  </si>
  <si>
    <t>2025/06/03 13:38</t>
  </si>
  <si>
    <t>17,719,000</t>
  </si>
  <si>
    <t>14,229,000</t>
  </si>
  <si>
    <t>2026/05/20 14:59:04</t>
  </si>
  <si>
    <t>河川改修工事（測量設計業務委託芦ヶ久保工区）</t>
  </si>
  <si>
    <t>25000019710</t>
  </si>
  <si>
    <t>2025/06/03 13:36</t>
  </si>
  <si>
    <t>4,273,000</t>
  </si>
  <si>
    <t>3,435,000</t>
  </si>
  <si>
    <t>3,890,000</t>
  </si>
  <si>
    <t>2026/05/20 14:59:06</t>
  </si>
  <si>
    <t>中川流域中央幹線チュウ３７～３８管渠改築実施設計業務委託</t>
  </si>
  <si>
    <t>25200153305</t>
  </si>
  <si>
    <t>2025/06/03 13:28</t>
  </si>
  <si>
    <t>17,237,000</t>
  </si>
  <si>
    <t>13,854,000</t>
  </si>
  <si>
    <t>2026/05/20 14:59:08</t>
  </si>
  <si>
    <t>令和７年度イノシシ・二ホンジカ生息状況調査及び個体数推定業務</t>
  </si>
  <si>
    <t>20250519</t>
  </si>
  <si>
    <t>2025/06/03 10:05</t>
  </si>
  <si>
    <t>17,840,000</t>
  </si>
  <si>
    <t>13,380,000</t>
  </si>
  <si>
    <t>株式会社野生動物保護管理事務所 本店</t>
  </si>
  <si>
    <t>17,635,300</t>
  </si>
  <si>
    <t>2026/05/20 14:59:14</t>
  </si>
  <si>
    <t>砂防施設工事（下赤工川堰堤設計業務委託）</t>
  </si>
  <si>
    <t>25000007444</t>
  </si>
  <si>
    <t>2025/06/02 13:33</t>
  </si>
  <si>
    <t>17,418,000</t>
  </si>
  <si>
    <t>13,988,000</t>
  </si>
  <si>
    <t>2026/05/20 14:59:16</t>
  </si>
  <si>
    <t>令和７年度二ホンジカ高標高地域捕獲業務</t>
  </si>
  <si>
    <t>2025051902</t>
  </si>
  <si>
    <t>2025/05/30 13:38</t>
  </si>
  <si>
    <t>10,162,000</t>
  </si>
  <si>
    <t>7,622,000</t>
  </si>
  <si>
    <t>株式会社ＦｏｒｅｓｔｅｒｓＰＲＯ 本店</t>
  </si>
  <si>
    <t>8,535,000</t>
  </si>
  <si>
    <t>2026/05/20 14:59:18</t>
  </si>
  <si>
    <t>令和７年度ツキノワグマ生息状況調査業務</t>
  </si>
  <si>
    <t>20250515</t>
  </si>
  <si>
    <t>2025/05/30 10:06</t>
  </si>
  <si>
    <t>5,805,000</t>
  </si>
  <si>
    <t>4,354,000</t>
  </si>
  <si>
    <t>4,570,000</t>
  </si>
  <si>
    <t>2026/05/20 14:59:20</t>
  </si>
  <si>
    <t>河川改修事業（水辺）工事（除塵機等更新設計業務委託）６０３</t>
  </si>
  <si>
    <t>25100153061</t>
  </si>
  <si>
    <t>2025/05/29 13:43</t>
  </si>
  <si>
    <t>17,233,000</t>
  </si>
  <si>
    <t>13,840,000</t>
  </si>
  <si>
    <t>2026/05/20 14:59:22</t>
  </si>
  <si>
    <t>25000019237</t>
  </si>
  <si>
    <t>2025/05/29 13:23</t>
  </si>
  <si>
    <t>4,285,000</t>
  </si>
  <si>
    <t>3,368,000</t>
  </si>
  <si>
    <t>2026/05/20 14:59:24</t>
  </si>
  <si>
    <t>河川改修工事・自転車歩行者道整備工事（工事監督支援業務委託）</t>
  </si>
  <si>
    <t>25000014646</t>
  </si>
  <si>
    <t>2025/05/29 10:00</t>
  </si>
  <si>
    <t>17,946,000</t>
  </si>
  <si>
    <t>14,528,000</t>
  </si>
  <si>
    <t>2026/05/20 14:59:27</t>
  </si>
  <si>
    <t>河川改修工事（大落古利根川堤根地区設計業務委託）</t>
  </si>
  <si>
    <t>25000014539</t>
  </si>
  <si>
    <t>2025/05/28 13:47</t>
  </si>
  <si>
    <t>7,802,000</t>
  </si>
  <si>
    <t>6,270,000</t>
  </si>
  <si>
    <t>2026/05/20 14:59:29</t>
  </si>
  <si>
    <t>道の駅リニューアル推進工事（計画策定業務委託）</t>
  </si>
  <si>
    <t>24100152256</t>
  </si>
  <si>
    <t>2025/05/28 09:22</t>
  </si>
  <si>
    <t>31,367,000</t>
  </si>
  <si>
    <t>2026/05/20 14:59:31</t>
  </si>
  <si>
    <t>保留地販売等支援業務委託</t>
  </si>
  <si>
    <t>25100152893</t>
  </si>
  <si>
    <t>2025/05/27 16:00</t>
  </si>
  <si>
    <t>3,446,000</t>
  </si>
  <si>
    <t>4,200,000</t>
  </si>
  <si>
    <t>2026/05/20 14:59:33</t>
  </si>
  <si>
    <t>５２３６河川改修（水辺）工事（護岸改築検討業務委託）</t>
  </si>
  <si>
    <t>25100153065</t>
  </si>
  <si>
    <t>2025/05/27 11:36</t>
  </si>
  <si>
    <t>13,247,000</t>
  </si>
  <si>
    <t>10,640,000</t>
  </si>
  <si>
    <t>2026/05/20 14:59:39</t>
  </si>
  <si>
    <t>５２０２河川改修事業（水辺）工事（辰井川排水機場１号ポンプ等分解整備設計業務委託）</t>
  </si>
  <si>
    <t>25100153053</t>
  </si>
  <si>
    <t>2025/05/27 11:03</t>
  </si>
  <si>
    <t>9,707,000</t>
  </si>
  <si>
    <t>7,798,000</t>
  </si>
  <si>
    <t>2026/05/20 14:59:41</t>
  </si>
  <si>
    <t>５２０９河川改修事業（水辺）工事（古綾瀬川排水機場１号ポンプ等分解整備設計業務委託）</t>
  </si>
  <si>
    <t>25100153054</t>
  </si>
  <si>
    <t>2025/05/27 10:33</t>
  </si>
  <si>
    <t>10,497,000</t>
  </si>
  <si>
    <t>8,432,000</t>
  </si>
  <si>
    <t>2026/05/20 14:59:43</t>
  </si>
  <si>
    <t>５２０８河川改修事業（水辺）工事（垳川排水機場４号ポンプ駆動設備等更新設計業務委託）</t>
  </si>
  <si>
    <t>25100152926</t>
  </si>
  <si>
    <t>2025/05/27 10:03</t>
  </si>
  <si>
    <t>16,696,000</t>
  </si>
  <si>
    <t>13,408,000</t>
  </si>
  <si>
    <t>2026/05/20 14:59:45</t>
  </si>
  <si>
    <t>７荒設第１号経済効果算定業務委託</t>
  </si>
  <si>
    <t>25000023677</t>
  </si>
  <si>
    <t>2025/05/27 09:01</t>
  </si>
  <si>
    <t>2026/05/20 14:59:47</t>
  </si>
  <si>
    <t>総委重）河川改修工事（国補）（笹目川排水機場増強詳細設計業務委託）</t>
  </si>
  <si>
    <t>25100152529</t>
  </si>
  <si>
    <t>2025/05/26 15:30</t>
  </si>
  <si>
    <t>114,492,000</t>
  </si>
  <si>
    <t>91,883,000</t>
  </si>
  <si>
    <t>2026/05/20 14:59:50</t>
  </si>
  <si>
    <t>０２５大委第１４―１５―１号 中央系・工水水管橋点検業務委託</t>
  </si>
  <si>
    <t>25100152835</t>
  </si>
  <si>
    <t>2025/05/23 13:41</t>
  </si>
  <si>
    <t>8,939,000</t>
  </si>
  <si>
    <t>6,966,000</t>
  </si>
  <si>
    <t>7,013,000</t>
  </si>
  <si>
    <t>2026/05/20 14:59:52</t>
  </si>
  <si>
    <t>２０２７年国際園芸博覧会出展内容検討・設計業務委託</t>
  </si>
  <si>
    <t>25000012923</t>
  </si>
  <si>
    <t>2025/05/23 09:58</t>
  </si>
  <si>
    <t>12,019,000</t>
  </si>
  <si>
    <t>9,655,000</t>
  </si>
  <si>
    <t>埼玉県 農林部 生産振興課</t>
  </si>
  <si>
    <t>2026/05/20 14:59:54</t>
  </si>
  <si>
    <t>７高柳設第１号ため池整備事業計画策定業務委託</t>
  </si>
  <si>
    <t>25000019553</t>
  </si>
  <si>
    <t>2025/05/23 09:41</t>
  </si>
  <si>
    <t>4,160,000</t>
  </si>
  <si>
    <t>3,343,000</t>
  </si>
  <si>
    <t>4,076,000</t>
  </si>
  <si>
    <t>2026/05/20 14:59:56</t>
  </si>
  <si>
    <t>７前谷設第１号ため池整備事業計画策定業務委託</t>
  </si>
  <si>
    <t>25000019753</t>
  </si>
  <si>
    <t>2025/05/23 09:21</t>
  </si>
  <si>
    <t>3,341,000</t>
  </si>
  <si>
    <t>2026/05/20 14:59:58</t>
  </si>
  <si>
    <t>７櫛設第１号管水路事業計画策定業務委託</t>
  </si>
  <si>
    <t>25000019582</t>
  </si>
  <si>
    <t>2025/05/23 09:04</t>
  </si>
  <si>
    <t>7,090,000</t>
  </si>
  <si>
    <t>6,830,000</t>
  </si>
  <si>
    <t>2026/05/20 15:00:04</t>
  </si>
  <si>
    <t>道路改築工事（測量設計業務委託）１６２</t>
  </si>
  <si>
    <t>25000010409</t>
  </si>
  <si>
    <t>2025/05/22 15:41</t>
  </si>
  <si>
    <t>8,769,000</t>
  </si>
  <si>
    <t>2026/05/20 15:00:06</t>
  </si>
  <si>
    <t>社資交（改築）工事（交差点・道路詳細設計業務委託）１６１</t>
  </si>
  <si>
    <t>25100152877</t>
  </si>
  <si>
    <t>2025/05/22 15:20</t>
  </si>
  <si>
    <t>15,535,000</t>
  </si>
  <si>
    <t>12,481,000</t>
  </si>
  <si>
    <t>2026/05/20 15:00:08</t>
  </si>
  <si>
    <t>道路改築工事（（仮称）利根川新橋アクセス道路橋梁予備設計）１０３</t>
  </si>
  <si>
    <t>25000008576</t>
  </si>
  <si>
    <t>2025/05/22 14:55</t>
  </si>
  <si>
    <t>18,095,000</t>
  </si>
  <si>
    <t>14,538,000</t>
  </si>
  <si>
    <t>2026/05/20 15:00:11</t>
  </si>
  <si>
    <t>河川改修（水辺）工事（測量設計業務委託）７０８</t>
  </si>
  <si>
    <t>25000009578</t>
  </si>
  <si>
    <t>2025/05/22 14:44</t>
  </si>
  <si>
    <t>4,571,000</t>
  </si>
  <si>
    <t>2026/05/20 15:00:13</t>
  </si>
  <si>
    <t>５２３１河川改修工事（第二大場川護岸詳細設計業務委託）</t>
  </si>
  <si>
    <t>25100153050</t>
  </si>
  <si>
    <t>2025/05/22 13:01</t>
  </si>
  <si>
    <t>6,666,000</t>
  </si>
  <si>
    <t>5,358,000</t>
  </si>
  <si>
    <t>2026/05/20 15:00:15</t>
  </si>
  <si>
    <t>河川改修工事（忍川・環境影響評価業務委託）</t>
  </si>
  <si>
    <t>25000009346</t>
  </si>
  <si>
    <t>2025/05/22 11:54</t>
  </si>
  <si>
    <t>15,858,000</t>
  </si>
  <si>
    <t>12,730,000</t>
  </si>
  <si>
    <t>2026/05/20 15:00:17</t>
  </si>
  <si>
    <t>河川改修工事（忍川・樋管修正設計業務委託その１）</t>
  </si>
  <si>
    <t>25000005250</t>
  </si>
  <si>
    <t>2025/05/22 10:10</t>
  </si>
  <si>
    <t>6,884,000</t>
  </si>
  <si>
    <t>2026/05/20 15:00:19</t>
  </si>
  <si>
    <t>５２３３自転車歩行者道整備工事（測量設計業務委託）</t>
  </si>
  <si>
    <t>25000009606</t>
  </si>
  <si>
    <t>2025/05/22 10:08</t>
  </si>
  <si>
    <t>5,073,000</t>
  </si>
  <si>
    <t>3,958,000</t>
  </si>
  <si>
    <t>2026/05/20 15:00:21</t>
  </si>
  <si>
    <t>河川改修工事（忍川・樋管修正設計業務委託その２）</t>
  </si>
  <si>
    <t>25000005272</t>
  </si>
  <si>
    <t>2025/05/22 09:59</t>
  </si>
  <si>
    <t>7,142,000</t>
  </si>
  <si>
    <t>5,739,000</t>
  </si>
  <si>
    <t>2026/05/20 15:00:24</t>
  </si>
  <si>
    <t>７雀川上雲線森林管理道測量設計業務</t>
  </si>
  <si>
    <t>25000015613</t>
  </si>
  <si>
    <t>2025/05/22 09:40</t>
  </si>
  <si>
    <t>3,040,000</t>
  </si>
  <si>
    <t>2,370,000</t>
  </si>
  <si>
    <t>2,764,000</t>
  </si>
  <si>
    <t>2026/05/20 15:00:29</t>
  </si>
  <si>
    <t>街路整備工事（交通量推計業務委託）</t>
  </si>
  <si>
    <t>25000011707</t>
  </si>
  <si>
    <t>2025/05/21 13:06</t>
  </si>
  <si>
    <t>7,140,000</t>
  </si>
  <si>
    <t>2026/05/20 15:00:31</t>
  </si>
  <si>
    <t>県立浦和商業高校擁壁予備設計業務委託</t>
  </si>
  <si>
    <t>25001</t>
  </si>
  <si>
    <t>2025/05/21 10:54</t>
  </si>
  <si>
    <t>3,134,000</t>
  </si>
  <si>
    <t>2,520,000</t>
  </si>
  <si>
    <t>埼玉県 教育機関 浦和商業高等学校</t>
  </si>
  <si>
    <t>2026/05/20 15:00:34</t>
  </si>
  <si>
    <t>道路構造物維持工事（電線共同溝詳細設計業務委託・上工区）</t>
  </si>
  <si>
    <t>25100152876</t>
  </si>
  <si>
    <t>2025/05/21 10:40</t>
  </si>
  <si>
    <t>17,993,000</t>
  </si>
  <si>
    <t>14,454,000</t>
  </si>
  <si>
    <t>2026/05/20 15:00:36</t>
  </si>
  <si>
    <t>南部流域鴨川幹線ほか人孔改築検討業務委託</t>
  </si>
  <si>
    <t>25200152831</t>
  </si>
  <si>
    <t>2025/05/19 15:53</t>
  </si>
  <si>
    <t>14,286,000</t>
  </si>
  <si>
    <t>2026/05/20 15:00:38</t>
  </si>
  <si>
    <t>南部流域南部幹線ほか人孔改築検討業務委託</t>
  </si>
  <si>
    <t>25200152830</t>
  </si>
  <si>
    <t>2025/05/19 15:20</t>
  </si>
  <si>
    <t>14,374,000</t>
  </si>
  <si>
    <t>11,454,000</t>
  </si>
  <si>
    <t>株式会社関東工社 本店</t>
  </si>
  <si>
    <t>2026/05/20 15:00:40</t>
  </si>
  <si>
    <t>橋りょう修繕工事（環境対策検討業務委託）３８１</t>
  </si>
  <si>
    <t>25000004417</t>
  </si>
  <si>
    <t>2025/05/15 13:34</t>
  </si>
  <si>
    <t>18,172,000</t>
  </si>
  <si>
    <t>2026/05/20 15:00:42</t>
  </si>
  <si>
    <t>河川改修工事（鴻沼川積算支援業務委託その３）</t>
  </si>
  <si>
    <t>25000009672</t>
  </si>
  <si>
    <t>2025/05/15 13:26</t>
  </si>
  <si>
    <t>8,493,000</t>
  </si>
  <si>
    <t>6,814,000</t>
  </si>
  <si>
    <t>2026/05/20 15:00:44</t>
  </si>
  <si>
    <t>水質調査業務委託</t>
  </si>
  <si>
    <t>25100153019</t>
  </si>
  <si>
    <t>2025/05/15 13:18</t>
  </si>
  <si>
    <t>5,288,000</t>
  </si>
  <si>
    <t>4,043,000</t>
  </si>
  <si>
    <t>2026/05/20 15:00:47</t>
  </si>
  <si>
    <t>社資交（河川）工事（樋管詳細設計業務委託）６０１</t>
  </si>
  <si>
    <t>25100152498</t>
  </si>
  <si>
    <t>2025/05/15 13:08</t>
  </si>
  <si>
    <t>13,482,000</t>
  </si>
  <si>
    <t>10,832,000</t>
  </si>
  <si>
    <t>2026/05/20 15:00:49</t>
  </si>
  <si>
    <t>自転車歩行者道整備工事（擁壁修正設計業務委託）</t>
  </si>
  <si>
    <t>25100153021</t>
  </si>
  <si>
    <t>2025/05/15 13:02</t>
  </si>
  <si>
    <t>4,484,000</t>
  </si>
  <si>
    <t>3,605,000</t>
  </si>
  <si>
    <t>4,190,000</t>
  </si>
  <si>
    <t>2026/05/20 15:00:54</t>
  </si>
  <si>
    <t>河川改修工事（飯盛川事業再評価業務委託）</t>
  </si>
  <si>
    <t>25000003187</t>
  </si>
  <si>
    <t>2025/05/14 13:59</t>
  </si>
  <si>
    <t>10,309,000</t>
  </si>
  <si>
    <t>8,277,000</t>
  </si>
  <si>
    <t>2026/05/20 15:00:57</t>
  </si>
  <si>
    <t>砂防施設工事（工事監督支援業務委託Ｒ７－１）</t>
  </si>
  <si>
    <t>25100152796</t>
  </si>
  <si>
    <t>2025/05/14 13:34</t>
  </si>
  <si>
    <t>8,218,000</t>
  </si>
  <si>
    <t>6,653,000</t>
  </si>
  <si>
    <t>2026/05/20 15:00:59</t>
  </si>
  <si>
    <t>道路改築工事（長尾根バイパス地すべり調査業務委託）</t>
  </si>
  <si>
    <t>25000010985</t>
  </si>
  <si>
    <t>2025/05/14 13:32</t>
  </si>
  <si>
    <t>4,238,000</t>
  </si>
  <si>
    <t>3,323,000</t>
  </si>
  <si>
    <t>2026/05/20 15:01:01</t>
  </si>
  <si>
    <t>河川改修工事（午の堀川外事業評価業務委託）</t>
  </si>
  <si>
    <t>25000003265</t>
  </si>
  <si>
    <t>2025/05/14 13:29</t>
  </si>
  <si>
    <t>14,235,000</t>
  </si>
  <si>
    <t>11,428,000</t>
  </si>
  <si>
    <t>2026/05/20 15:01:03</t>
  </si>
  <si>
    <t>所有者不明土地の管理適正化マニュアル作成業務委託</t>
  </si>
  <si>
    <t>02H000701</t>
  </si>
  <si>
    <t>2025/05/14 10:43</t>
  </si>
  <si>
    <t>2,672,000</t>
  </si>
  <si>
    <t>2,146,000</t>
  </si>
  <si>
    <t>埼玉県 企画財政部 土地水政策課</t>
  </si>
  <si>
    <t>2026/05/20 15:01:05</t>
  </si>
  <si>
    <t>自転車歩行者道整備工事（久喜・葛梅工区交差点詳細設計業務委託）</t>
  </si>
  <si>
    <t>25000007679</t>
  </si>
  <si>
    <t>2025/05/09 09:22</t>
  </si>
  <si>
    <t>7,085,000</t>
  </si>
  <si>
    <t>2026/05/20 15:01:07</t>
  </si>
  <si>
    <t>７大谷榛沢設第１号末端畑地かんがい事業計画策定業務委託</t>
  </si>
  <si>
    <t>25000007317</t>
  </si>
  <si>
    <t>2025/05/08 09:01</t>
  </si>
  <si>
    <t>4,400,000</t>
  </si>
  <si>
    <t>3,535,000</t>
  </si>
  <si>
    <t>2026/05/20 15:01:10</t>
  </si>
  <si>
    <t>総委重）総合交付金（河川）工事（川面調節池詳細設計業務委託その２）</t>
  </si>
  <si>
    <t>24100151821</t>
  </si>
  <si>
    <t>2025/05/07 15:30</t>
  </si>
  <si>
    <t>51,646,000</t>
  </si>
  <si>
    <t>41,465,000</t>
  </si>
  <si>
    <t>2026/05/20 15:01:12</t>
  </si>
  <si>
    <t>総委重）河川改修（国補）工事（前耕地１号橋詳細設計業務委託）</t>
  </si>
  <si>
    <t>24100152120</t>
  </si>
  <si>
    <t>2025/05/07 13:30</t>
  </si>
  <si>
    <t>31,973,000</t>
  </si>
  <si>
    <t>25,676,000</t>
  </si>
  <si>
    <t>2026/05/20 15:01:14</t>
  </si>
  <si>
    <t>総委重）総合交付金（河川）工事（３０８１－１号橋詳細設計業務委託）</t>
  </si>
  <si>
    <t>24100151815</t>
  </si>
  <si>
    <t>2025/05/07 10:30</t>
  </si>
  <si>
    <t>32,167,000</t>
  </si>
  <si>
    <t>25,830,000</t>
  </si>
  <si>
    <t>26,000,000</t>
  </si>
  <si>
    <t>2026/05/20 15:01:20</t>
  </si>
  <si>
    <t>５１０１街路整備（スクラム）工事（放射７号線費用便益分析業務委託）</t>
  </si>
  <si>
    <t>24100152264</t>
  </si>
  <si>
    <t>2025/04/25 15:35</t>
  </si>
  <si>
    <t>11,356,000</t>
  </si>
  <si>
    <t>9,120,000</t>
  </si>
  <si>
    <t>2026/05/20 15:01:22</t>
  </si>
  <si>
    <t>ダム等施設管理工事（有間ダム水質調査業務委託）</t>
  </si>
  <si>
    <t>24100152230</t>
  </si>
  <si>
    <t>2025/04/25 14:10</t>
  </si>
  <si>
    <t>8,926,000</t>
  </si>
  <si>
    <t>株式会社静環検査センター 埼玉営業所</t>
  </si>
  <si>
    <t>2026/05/20 15:01:24</t>
  </si>
  <si>
    <t>橋りょう架換工事（建武橋仮設構造物撤去設計業務委託）</t>
  </si>
  <si>
    <t>24100152183</t>
  </si>
  <si>
    <t>2025/04/24 16:40</t>
  </si>
  <si>
    <t>15,390,000</t>
  </si>
  <si>
    <t>12,360,000</t>
  </si>
  <si>
    <t>2026/05/20 15:01:26</t>
  </si>
  <si>
    <t>25100152315</t>
  </si>
  <si>
    <t>2025/04/24 15:37</t>
  </si>
  <si>
    <t>2026/05/20 15:01:28</t>
  </si>
  <si>
    <t>令和７年度 換地設計業務委託</t>
  </si>
  <si>
    <t>25000003505</t>
  </si>
  <si>
    <t>2025/04/24 13:45</t>
  </si>
  <si>
    <t>6,773,000</t>
  </si>
  <si>
    <t>昭和株式会社 埼玉支社</t>
  </si>
  <si>
    <t>2026/05/20 15:01:31</t>
  </si>
  <si>
    <t>社資（河川）工事（女堀川樋管詳細設計業務委託その２）</t>
  </si>
  <si>
    <t>24100152253</t>
  </si>
  <si>
    <t>14,537,000</t>
  </si>
  <si>
    <t>11,679,000</t>
  </si>
  <si>
    <t>2026/05/20 15:01:33</t>
  </si>
  <si>
    <t>大宮公園サクラ活性化対策支援業務委託</t>
  </si>
  <si>
    <t>25000004897</t>
  </si>
  <si>
    <t>2025/04/24 11:52</t>
  </si>
  <si>
    <t>7,206,000</t>
  </si>
  <si>
    <t>5,788,000</t>
  </si>
  <si>
    <t>株式会社愛植物設計事務所 本店</t>
  </si>
  <si>
    <t>2026/05/20 15:01:35</t>
  </si>
  <si>
    <t>総委重）埼玉県路面下空洞調査計画策定業務委託</t>
  </si>
  <si>
    <t>24100152219</t>
  </si>
  <si>
    <t>2025/04/24 11:35</t>
  </si>
  <si>
    <t>15,940,000</t>
  </si>
  <si>
    <t>12,796,000</t>
  </si>
  <si>
    <t>川崎地質株式会社 北関東支店</t>
  </si>
  <si>
    <t>2026/05/20 15:01:37</t>
  </si>
  <si>
    <t>24100152218</t>
  </si>
  <si>
    <t>2025/04/24 11:11</t>
  </si>
  <si>
    <t>14,457,000</t>
  </si>
  <si>
    <t>11,606,000</t>
  </si>
  <si>
    <t>2026/05/20 15:01:39</t>
  </si>
  <si>
    <t>路面下空洞調査業務委託（その３）</t>
  </si>
  <si>
    <t>24100152252</t>
  </si>
  <si>
    <t>2025/04/24 10:41</t>
  </si>
  <si>
    <t>10,809,000</t>
  </si>
  <si>
    <t>8,612,000</t>
  </si>
  <si>
    <t>2026/05/20 15:01:45</t>
  </si>
  <si>
    <t>路面下空洞調査業務委託（その２）</t>
  </si>
  <si>
    <t>24100152251</t>
  </si>
  <si>
    <t>2025/04/24 10:02</t>
  </si>
  <si>
    <t>13,237,000</t>
  </si>
  <si>
    <t>10,544,000</t>
  </si>
  <si>
    <t>2026/05/20 15:01:47</t>
  </si>
  <si>
    <t>路面下空洞調査業務委託（その１）</t>
  </si>
  <si>
    <t>24100152249</t>
  </si>
  <si>
    <t>2025/04/24 09:33</t>
  </si>
  <si>
    <t>15,915,000</t>
  </si>
  <si>
    <t>12,679,000</t>
  </si>
  <si>
    <t>2026/05/20 15:01:49</t>
  </si>
  <si>
    <t>県内公共交通網検討調査業務委託</t>
  </si>
  <si>
    <t>2025/04/23 10:12</t>
  </si>
  <si>
    <t>埼玉県 企画財政部 交通政策課</t>
  </si>
  <si>
    <t>日本交通技術株式会社 埼玉営業所</t>
  </si>
  <si>
    <t>6,240,000</t>
  </si>
  <si>
    <t>2026/05/20 15:01:51</t>
  </si>
  <si>
    <t>橋りょう修繕工事（工事監督支援業務委託その１）</t>
  </si>
  <si>
    <t>24100152165</t>
  </si>
  <si>
    <t>2025/04/23 10:02</t>
  </si>
  <si>
    <t>9,428,000</t>
  </si>
  <si>
    <t>2026/05/20 15:01:54</t>
  </si>
  <si>
    <t>道路改築工事（加須幸手線・アンダーパス概略設計業務委託）</t>
  </si>
  <si>
    <t>24100152271</t>
  </si>
  <si>
    <t>2025/04/23 09:24</t>
  </si>
  <si>
    <t>14,620,000</t>
  </si>
  <si>
    <t>11,745,000</t>
  </si>
  <si>
    <t>2026/05/20 15:01:56</t>
  </si>
  <si>
    <t>自歩道（さいふじ所沢（上福岡）対策工事検討）</t>
  </si>
  <si>
    <t>24100152286</t>
  </si>
  <si>
    <t>2025/04/22 15:12</t>
  </si>
  <si>
    <t>7,756,000</t>
  </si>
  <si>
    <t>2026/05/20 15:01:58</t>
  </si>
  <si>
    <t>24100152073</t>
  </si>
  <si>
    <t>2025/04/18 09:03</t>
  </si>
  <si>
    <t>5,937,000</t>
  </si>
  <si>
    <t>4,534,000</t>
  </si>
  <si>
    <t>2026/05/20 15:02:00</t>
  </si>
  <si>
    <t>道路改築工事（交通量調査業務委託）</t>
  </si>
  <si>
    <t>24100152203</t>
  </si>
  <si>
    <t>2025/04/17 14:00</t>
  </si>
  <si>
    <t>3,215,000</t>
  </si>
  <si>
    <t>2,503,000</t>
  </si>
  <si>
    <t>2,860,000</t>
  </si>
  <si>
    <t>2026/05/20 15:02:02</t>
  </si>
  <si>
    <t>社資交（河川）工事（堤防補強設計業務委託）６２９</t>
  </si>
  <si>
    <t>24000310177</t>
  </si>
  <si>
    <t>2025/04/17 13:33</t>
  </si>
  <si>
    <t>9,059,000</t>
  </si>
  <si>
    <t>2026/05/20 15:02:04</t>
  </si>
  <si>
    <t>（取止め）水質調査業務委託</t>
  </si>
  <si>
    <t>24100152111</t>
  </si>
  <si>
    <t>2025/04/16 14:51</t>
  </si>
  <si>
    <t>2026/05/20 15:02:10</t>
  </si>
  <si>
    <t>砂防施設事業工事（桜ヶ谷工区解析業務委託）</t>
  </si>
  <si>
    <t>24100152124</t>
  </si>
  <si>
    <t>2025/04/16 13:37</t>
  </si>
  <si>
    <t>5,227,000</t>
  </si>
  <si>
    <t>4,103,000</t>
  </si>
  <si>
    <t>2026/05/20 15:02:12</t>
  </si>
  <si>
    <t>砂防施設事業工事（金崎工区総合解析業務委託）</t>
  </si>
  <si>
    <t>24100152123</t>
  </si>
  <si>
    <t>2025/04/16 13:33</t>
  </si>
  <si>
    <t>13,083,000</t>
  </si>
  <si>
    <t>10,407,000</t>
  </si>
  <si>
    <t>2026/05/20 15:02:14</t>
  </si>
  <si>
    <t>中川流域浦和幹線ウラ１３人孔外浮上防止対策実施設計業務委託</t>
  </si>
  <si>
    <t>2025032105</t>
  </si>
  <si>
    <t>2025/04/15 15:38</t>
  </si>
  <si>
    <t>12,664,000</t>
  </si>
  <si>
    <t>10,172,000</t>
  </si>
  <si>
    <t>2026/05/20 15:02:17</t>
  </si>
  <si>
    <t>中川流域中川幹線ナカ１０人孔外浮上防止対策実施設計業務委託</t>
  </si>
  <si>
    <t>2025032104</t>
  </si>
  <si>
    <t>2025/04/15 15:17</t>
  </si>
  <si>
    <t>13,736,000</t>
  </si>
  <si>
    <t>11,032,000</t>
  </si>
  <si>
    <t>2026/05/20 15:02:19</t>
  </si>
  <si>
    <t>中川流域中川幹線ナカ１１人孔外浮上防止対策実施設計業務委託</t>
  </si>
  <si>
    <t>2025032103</t>
  </si>
  <si>
    <t>2025/04/15 14:50</t>
  </si>
  <si>
    <t>17,103,000</t>
  </si>
  <si>
    <t>13,735,000</t>
  </si>
  <si>
    <t>2026/05/20 15:02:21</t>
  </si>
  <si>
    <t>中川流域中川幹線ナカ２３人孔外浮上防止対策実施設計業務委託</t>
  </si>
  <si>
    <t>2025032102</t>
  </si>
  <si>
    <t>2025/04/15 14:24</t>
  </si>
  <si>
    <t>17,974,000</t>
  </si>
  <si>
    <t>14,434,000</t>
  </si>
  <si>
    <t>2026/05/20 15:02:23</t>
  </si>
  <si>
    <t>中川流域中川幹線ナカ１７人孔外浮上防止対策実施設計業務委託</t>
  </si>
  <si>
    <t>2025032101</t>
  </si>
  <si>
    <t>2025/04/15 13:49</t>
  </si>
  <si>
    <t>18,016,000</t>
  </si>
  <si>
    <t>14,468,000</t>
  </si>
  <si>
    <t>2026/05/20 15:02:25</t>
  </si>
  <si>
    <t>砂防維持修繕工事（Ｒ７空堀川地すべり観測業務委託）</t>
  </si>
  <si>
    <t>24100151820</t>
  </si>
  <si>
    <t>2025/04/15 13:22</t>
  </si>
  <si>
    <t>10,508,000</t>
  </si>
  <si>
    <t>8,328,000</t>
  </si>
  <si>
    <t>2026/05/20 15:02:28</t>
  </si>
  <si>
    <t>砂防施設（補助）工事（Ｒ７下モ地すべり観測業務委託）</t>
  </si>
  <si>
    <t>24100151819</t>
  </si>
  <si>
    <t>2025/04/15 13:16</t>
  </si>
  <si>
    <t>15,060,000</t>
  </si>
  <si>
    <t>11,995,000</t>
  </si>
  <si>
    <t>2026/05/20 15:02:30</t>
  </si>
  <si>
    <t>砂防施設（補助）工事（Ｒ７上の山地すべり観測業務委託）</t>
  </si>
  <si>
    <t>24100151822</t>
  </si>
  <si>
    <t>2025/04/15 13:12</t>
  </si>
  <si>
    <t>18,138,000</t>
  </si>
  <si>
    <t>14,484,000</t>
  </si>
  <si>
    <t>2026/05/20 15:02:35</t>
  </si>
  <si>
    <t>令和７年度埼玉県３Ｄ都市モデル整備業務委託</t>
  </si>
  <si>
    <t>A05</t>
  </si>
  <si>
    <t>2025/04/15 10:18</t>
  </si>
  <si>
    <t>172,920,000</t>
  </si>
  <si>
    <t>2026/05/20 15:02:38</t>
  </si>
  <si>
    <t>道路改築工事（道路詳細修正設計業務委託）</t>
  </si>
  <si>
    <t>24000308423</t>
  </si>
  <si>
    <t>2025/04/14 14:31</t>
  </si>
  <si>
    <t>3,240,000</t>
  </si>
  <si>
    <t>2,606,000</t>
  </si>
  <si>
    <t>2,980,000</t>
  </si>
  <si>
    <t>2026/05/20 15:02:40</t>
  </si>
  <si>
    <t>河改（国水辺）（九十川排水機場操作支援システム更新設計）</t>
  </si>
  <si>
    <t>24000309530</t>
  </si>
  <si>
    <t>2025/04/08 13:38</t>
  </si>
  <si>
    <t>18,157,000</t>
  </si>
  <si>
    <t>2026/05/20 15:02:42</t>
  </si>
  <si>
    <t>総委重）社資（河川）（不老川護岸詳細設計）西武新宿線上流工区２</t>
  </si>
  <si>
    <t>24000301802</t>
  </si>
  <si>
    <t>2025/04/08 13:28</t>
  </si>
  <si>
    <t>11,989,000</t>
  </si>
  <si>
    <t>9,633,000</t>
  </si>
  <si>
    <t>2026/05/20 15:02:44</t>
  </si>
  <si>
    <t>道路安全施設工事（東橋張出歩道詳細設計業務委託）</t>
  </si>
  <si>
    <t>24000309361</t>
  </si>
  <si>
    <t>2025/03/28 13:34</t>
  </si>
  <si>
    <t>2,885,000</t>
  </si>
  <si>
    <t>2,321,000</t>
  </si>
  <si>
    <t>2,760,000</t>
  </si>
  <si>
    <t>2026/05/20 15:02:46</t>
  </si>
  <si>
    <t>中川流域処理場５号水処理施設最初沈殿池ほか防食設計業務委託</t>
  </si>
  <si>
    <t>24200151829</t>
  </si>
  <si>
    <t>2025/03/27 13:08</t>
  </si>
  <si>
    <t>5,616,000</t>
  </si>
  <si>
    <t>2026/05/20 15:02:49</t>
  </si>
  <si>
    <t>事業再評価資料作成業務委託</t>
  </si>
  <si>
    <t>24000301377</t>
  </si>
  <si>
    <t>2025/03/26 14:39</t>
  </si>
  <si>
    <t>3,280,000</t>
  </si>
  <si>
    <t>2,634,000</t>
  </si>
  <si>
    <t>2,950,000</t>
  </si>
  <si>
    <t>2026/05/20 15:02:51</t>
  </si>
  <si>
    <t>令和７年度 換地関連現場技術業務委託</t>
  </si>
  <si>
    <t>24000304367</t>
  </si>
  <si>
    <t>2025/03/26 13:35</t>
  </si>
  <si>
    <t>9,033,000</t>
  </si>
  <si>
    <t>7,305,000</t>
  </si>
  <si>
    <t>2026/05/20 15:02:53</t>
  </si>
  <si>
    <t>砂防施設事業工事（金崎工区地すべり調査業務委託Ｒ７その２）</t>
  </si>
  <si>
    <t>24100151731</t>
  </si>
  <si>
    <t>2025/03/26 13:34</t>
  </si>
  <si>
    <t>6,416,000</t>
  </si>
  <si>
    <t>5,049,000</t>
  </si>
  <si>
    <t>2026/05/20 15:02:55</t>
  </si>
  <si>
    <t>道路改築工事（大滝トンネル工事監督支援業務委託その１１）</t>
  </si>
  <si>
    <t>24100151733</t>
  </si>
  <si>
    <t>2025/03/26 13:32</t>
  </si>
  <si>
    <t>8,294,000</t>
  </si>
  <si>
    <t>2026/05/20 15:03:01</t>
  </si>
  <si>
    <t>砂防施設事業工事（金崎工区地すべり調査業務委託Ｒ７その１）</t>
  </si>
  <si>
    <t>24100151730</t>
  </si>
  <si>
    <t>2025/03/26 13:27</t>
  </si>
  <si>
    <t>9,627,000</t>
  </si>
  <si>
    <t>7,621,000</t>
  </si>
  <si>
    <t>2026/05/20 15:03:03</t>
  </si>
  <si>
    <t>砂防施設事業工事（桜ケ谷工区地すべり調査業務委託Ｒ７）</t>
  </si>
  <si>
    <t>24100151729</t>
  </si>
  <si>
    <t>2025/03/26 13:18</t>
  </si>
  <si>
    <t>10,345,000</t>
  </si>
  <si>
    <t>8,198,000</t>
  </si>
  <si>
    <t>2026/05/20 15:03:05</t>
  </si>
  <si>
    <t>（ゼロ債務）河川改修（水辺）工事（元荒川護岸詳細設計業務委託）</t>
  </si>
  <si>
    <t>24100151738</t>
  </si>
  <si>
    <t>2025/03/25 10:02</t>
  </si>
  <si>
    <t>7,261,000</t>
  </si>
  <si>
    <t>5,836,000</t>
  </si>
  <si>
    <t>2026/05/20 15:03:07</t>
  </si>
  <si>
    <t>南部流域処理場水処理施設耐水化対策詳細設計業務委託</t>
  </si>
  <si>
    <t>24200151732</t>
  </si>
  <si>
    <t>2025/03/24 14:33</t>
  </si>
  <si>
    <t>13,897,000</t>
  </si>
  <si>
    <t>11,162,000</t>
  </si>
  <si>
    <t>株式会社エフウォーターマネジメント 埼玉事務所</t>
  </si>
  <si>
    <t>2026/05/20 15:03:10</t>
  </si>
  <si>
    <t>道路改築工事（蓮田白岡久喜線・費用便益分析業務委託）</t>
  </si>
  <si>
    <t>24000296412</t>
  </si>
  <si>
    <t>2025/03/24 09:03</t>
  </si>
  <si>
    <t>9,902,000</t>
  </si>
  <si>
    <t>7,952,000</t>
  </si>
  <si>
    <t>株式会社フジヤマ 埼玉営業所</t>
  </si>
  <si>
    <t>2026/05/20 15:03:12</t>
  </si>
  <si>
    <t>社資（改築）工事（工事監督支援業務委託）</t>
  </si>
  <si>
    <t>24000296124</t>
  </si>
  <si>
    <t>2025/03/21 13:30</t>
  </si>
  <si>
    <t>11,712,000</t>
  </si>
  <si>
    <t>2026/05/20 15:03:14</t>
  </si>
  <si>
    <t>（ゼロ債務）砂防施設工事（関堀地すべり観測業務委託）</t>
  </si>
  <si>
    <t>24100151706</t>
  </si>
  <si>
    <t>2025/03/21 13:10</t>
  </si>
  <si>
    <t>4,186,000</t>
  </si>
  <si>
    <t>2026/05/20 15:03:16</t>
  </si>
  <si>
    <t>（ゼロ債務）砂防施設工事（柴地すべり観測業務委託）</t>
  </si>
  <si>
    <t>24100151705</t>
  </si>
  <si>
    <t>2025/03/21 13:06</t>
  </si>
  <si>
    <t>8,404,000</t>
  </si>
  <si>
    <t>6,641,000</t>
  </si>
  <si>
    <t>2026/05/20 15:03:18</t>
  </si>
  <si>
    <t>（ゼロ債務）砂防施設工事（柳沢地すべり観測業務委託）</t>
  </si>
  <si>
    <t>24100151704</t>
  </si>
  <si>
    <t>2025/03/21 13:01</t>
  </si>
  <si>
    <t>10,044,000</t>
  </si>
  <si>
    <t>7,956,000</t>
  </si>
  <si>
    <t>2026/05/20 15:03:21</t>
  </si>
  <si>
    <t>４２３８道路改築事業工事（電線共同溝詳細設計業務委託）</t>
  </si>
  <si>
    <t>24100151660</t>
  </si>
  <si>
    <t>2025/03/21 13:00</t>
  </si>
  <si>
    <t>16,581,000</t>
  </si>
  <si>
    <t>13,320,000</t>
  </si>
  <si>
    <t>2026/05/20 15:03:26</t>
  </si>
  <si>
    <t>社資交付金（河川）工事（忍川・工事監督支援業務委託その２）</t>
  </si>
  <si>
    <t>24100151658</t>
  </si>
  <si>
    <t>2025/03/21 09:43</t>
  </si>
  <si>
    <t>11,889,000</t>
  </si>
  <si>
    <t>9,624,000</t>
  </si>
  <si>
    <t>2026/05/20 15:03:29</t>
  </si>
  <si>
    <t>歩道整備工事（蓮田・東工区歩道整備検討業務委託）</t>
  </si>
  <si>
    <t>24000301794</t>
  </si>
  <si>
    <t>2025/03/21 09:40</t>
  </si>
  <si>
    <t>8,237,000</t>
  </si>
  <si>
    <t>6,618,000</t>
  </si>
  <si>
    <t>2026/05/20 15:03:31</t>
  </si>
  <si>
    <t>道路改築工事（蓮田白岡久喜線・道路付属物移設等設計業務委託）</t>
  </si>
  <si>
    <t>24000301739</t>
  </si>
  <si>
    <t>2025/03/21 09:21</t>
  </si>
  <si>
    <t>8,281,000</t>
  </si>
  <si>
    <t>6,655,000</t>
  </si>
  <si>
    <t>2026/05/20 15:03:33</t>
  </si>
  <si>
    <t>道路環境整備費（アンダーパス長寿命化計画策定業務委託）</t>
  </si>
  <si>
    <t>24000292248</t>
  </si>
  <si>
    <t>2025/03/18 14:11</t>
  </si>
  <si>
    <t>16,896,000</t>
  </si>
  <si>
    <t>13,563,000</t>
  </si>
  <si>
    <t>2026/05/20 15:03:35</t>
  </si>
  <si>
    <t>埼玉県舗装長寿命化計画更新業務委託</t>
  </si>
  <si>
    <t>24000292204</t>
  </si>
  <si>
    <t>2025/03/18 13:45</t>
  </si>
  <si>
    <t>13,626,000</t>
  </si>
  <si>
    <t>10,939,000</t>
  </si>
  <si>
    <t>2026/05/20 15:03:37</t>
  </si>
  <si>
    <t>４３２９橋りょう架換工事（潮止橋計画検討業務委託）</t>
  </si>
  <si>
    <t>24000293758</t>
  </si>
  <si>
    <t>2025/03/18 11:31</t>
  </si>
  <si>
    <t>11,668,000</t>
  </si>
  <si>
    <t>9,375,000</t>
  </si>
  <si>
    <t>2026/05/20 15:03:39</t>
  </si>
  <si>
    <t>（ゼロ債務）７上ミ治山地すべり調査測量設計業務</t>
  </si>
  <si>
    <t>201</t>
  </si>
  <si>
    <t>2025/03/18 09:22</t>
  </si>
  <si>
    <t>11,240,000</t>
  </si>
  <si>
    <t>8,944,000</t>
  </si>
  <si>
    <t>2026/05/20 15:03:41</t>
  </si>
  <si>
    <t>（ゼロ債務）７水洗戸治山全体計画策定業務委託</t>
  </si>
  <si>
    <t>24100151635</t>
  </si>
  <si>
    <t>2025/03/17 14:03</t>
  </si>
  <si>
    <t>12,320,000</t>
  </si>
  <si>
    <t>9,915,000</t>
  </si>
  <si>
    <t>2026/05/20 15:03:44</t>
  </si>
  <si>
    <t>道路改築工事（杉並木維持管理計画検討業務委託）</t>
  </si>
  <si>
    <t>24000293501</t>
  </si>
  <si>
    <t>2025/03/17 13:38</t>
  </si>
  <si>
    <t>7,930,000</t>
  </si>
  <si>
    <t>6,363,000</t>
  </si>
  <si>
    <t>2026/05/20 15:03:46</t>
  </si>
  <si>
    <t>（ゼロ債務）河川改修工事（葛川１１号橋設計業務委託）</t>
  </si>
  <si>
    <t>24100151631</t>
  </si>
  <si>
    <t>2025/03/17 13:15</t>
  </si>
  <si>
    <t>17,789,000</t>
  </si>
  <si>
    <t>14,287,000</t>
  </si>
  <si>
    <t>2026/05/20 15:03:52</t>
  </si>
  <si>
    <t>自歩道整備工事（測量設計業務委託）本庄工区</t>
  </si>
  <si>
    <t>24000295592</t>
  </si>
  <si>
    <t>2025/03/13 13:35</t>
  </si>
  <si>
    <t>7,167,000</t>
  </si>
  <si>
    <t>5,685,000</t>
  </si>
  <si>
    <t>2026/05/20 15:03:54</t>
  </si>
  <si>
    <t>電線地中化（道路）整備工事（工事監督支援業務委託）</t>
  </si>
  <si>
    <t>24000290901</t>
  </si>
  <si>
    <t>2025/03/13 13:26</t>
  </si>
  <si>
    <t>17,864,000</t>
  </si>
  <si>
    <t>2026/05/20 15:03:56</t>
  </si>
  <si>
    <t>河川改修工事（中川・綾瀬川ブロック流域治水関連検討業務委託その３）</t>
  </si>
  <si>
    <t>24000240012</t>
  </si>
  <si>
    <t>2025/03/13 13:25</t>
  </si>
  <si>
    <t>25,657,000</t>
  </si>
  <si>
    <t>2026/05/20 15:03:58</t>
  </si>
  <si>
    <t>荒川上流ほか２流域下水道下水汚泥肥料化詳細検討業務委託</t>
  </si>
  <si>
    <t>20250220</t>
  </si>
  <si>
    <t>2025/03/13 11:28</t>
  </si>
  <si>
    <t>23,015,000</t>
  </si>
  <si>
    <t>18,469,000</t>
  </si>
  <si>
    <t>2026/05/20 15:04:00</t>
  </si>
  <si>
    <t>（ゼロ債務）７障子岩治山測量設計業務委託</t>
  </si>
  <si>
    <t>24100151613</t>
  </si>
  <si>
    <t>2025/03/13 10:42</t>
  </si>
  <si>
    <t>3,770,000</t>
  </si>
  <si>
    <t>3,012,000</t>
  </si>
  <si>
    <t>3,400,000</t>
  </si>
  <si>
    <t>2026/05/20 15:04:02</t>
  </si>
  <si>
    <t>（ゼロ債務）７日影治山測量設計業務委託</t>
  </si>
  <si>
    <t>24100151612</t>
  </si>
  <si>
    <t>2025/03/13 10:29</t>
  </si>
  <si>
    <t>4,950,000</t>
  </si>
  <si>
    <t>3,961,000</t>
  </si>
  <si>
    <t>4,560,000</t>
  </si>
  <si>
    <t>2026/05/20 15:04:05</t>
  </si>
  <si>
    <t>24100151492</t>
  </si>
  <si>
    <t>2025/03/13 10:19</t>
  </si>
  <si>
    <t>4,173,000</t>
  </si>
  <si>
    <t>4,480,000</t>
  </si>
  <si>
    <t>2026/05/20 15:04:07</t>
  </si>
  <si>
    <t>６久喜－２２号 工事監督支援その３業務委託</t>
  </si>
  <si>
    <t>24100151637</t>
  </si>
  <si>
    <t>2025/03/13 10:08</t>
  </si>
  <si>
    <t>12,474,000</t>
  </si>
  <si>
    <t>10,085,000</t>
  </si>
  <si>
    <t>10,120,000</t>
  </si>
  <si>
    <t>2026/05/20 15:04:09</t>
  </si>
  <si>
    <t>社資（維持）工事（大滝８５切・２９２切工区設計業務委託）</t>
  </si>
  <si>
    <t>24000299849</t>
  </si>
  <si>
    <t>2025/03/12 13:32</t>
  </si>
  <si>
    <t>6,420,000</t>
  </si>
  <si>
    <t>5,117,000</t>
  </si>
  <si>
    <t>5,840,000</t>
  </si>
  <si>
    <t>2026/05/20 15:04:11</t>
  </si>
  <si>
    <t>社資（維持）工事（大滝２２３切工区設計業務委託）</t>
  </si>
  <si>
    <t>24000299139</t>
  </si>
  <si>
    <t>2025/03/12 13:25</t>
  </si>
  <si>
    <t>7,606,000</t>
  </si>
  <si>
    <t>6,111,000</t>
  </si>
  <si>
    <t>2026/05/20 15:04:17</t>
  </si>
  <si>
    <t>（ゼロ債務）公園等施設補修工事（護岸ほか改修設計業務委託）</t>
  </si>
  <si>
    <t>24000292383</t>
  </si>
  <si>
    <t>2025/03/12 10:12</t>
  </si>
  <si>
    <t>8,855,000</t>
  </si>
  <si>
    <t>2026/05/20 15:04:19</t>
  </si>
  <si>
    <t>自転車歩行者道整備工事（栗坪工区交差点予備・詳細設計業務委託）</t>
  </si>
  <si>
    <t>24000279417</t>
  </si>
  <si>
    <t>2025/03/11 13:50</t>
  </si>
  <si>
    <t>5,491,000</t>
  </si>
  <si>
    <t>2026/05/20 15:04:21</t>
  </si>
  <si>
    <t>河川改修工事（安藤川予備設計業務委託）</t>
  </si>
  <si>
    <t>24100151529</t>
  </si>
  <si>
    <t>2025/03/11 13:33</t>
  </si>
  <si>
    <t>12,004,000</t>
  </si>
  <si>
    <t>2026/05/20 15:04:23</t>
  </si>
  <si>
    <t>総委重）４２９３橋りょう架換工事（八条橋橋梁予備設計業務委託）</t>
  </si>
  <si>
    <t>24000249711</t>
  </si>
  <si>
    <t>2025/03/10 10:30</t>
  </si>
  <si>
    <t>29,552,000</t>
  </si>
  <si>
    <t>23,731,000</t>
  </si>
  <si>
    <t>2026/05/20 15:04:25</t>
  </si>
  <si>
    <t>古利根流域外圧送部路面下空洞調査業務委託</t>
  </si>
  <si>
    <t>24200151624</t>
  </si>
  <si>
    <t>2025/03/07 14:04</t>
  </si>
  <si>
    <t>6,945,000</t>
  </si>
  <si>
    <t>2026/05/20 15:04:28</t>
  </si>
  <si>
    <t>交差点（下田橋外予備設計）</t>
  </si>
  <si>
    <t>24000291548</t>
  </si>
  <si>
    <t>2025/03/07 13:30</t>
  </si>
  <si>
    <t>6,366,000</t>
  </si>
  <si>
    <t>2026/05/20 15:04:30</t>
  </si>
  <si>
    <t>24100151617</t>
  </si>
  <si>
    <t>2025/03/07 13:22</t>
  </si>
  <si>
    <t>3,556,000</t>
  </si>
  <si>
    <t>2,814,000</t>
  </si>
  <si>
    <t>2026/05/20 15:04:32</t>
  </si>
  <si>
    <t>右岸流域処理場管廊耐震設計業務委託（ＤＸ）</t>
  </si>
  <si>
    <t>24200151532</t>
  </si>
  <si>
    <t>2025/03/07 10:30</t>
  </si>
  <si>
    <t>17,208,000</t>
  </si>
  <si>
    <t>13,819,000</t>
  </si>
  <si>
    <t>株式会社中央設計技術研究所 埼玉事務所</t>
  </si>
  <si>
    <t>2026/05/20 15:04:34</t>
  </si>
  <si>
    <t>24000288115</t>
  </si>
  <si>
    <t>2025/03/07 09:30</t>
  </si>
  <si>
    <t>9,107,000</t>
  </si>
  <si>
    <t>2026/05/20 15:04:36</t>
  </si>
  <si>
    <t>川の再生推進工事（綾瀬川美園地区詳細設計業務委託）</t>
  </si>
  <si>
    <t>24000269913</t>
  </si>
  <si>
    <t>2025/03/04 13:44</t>
  </si>
  <si>
    <t>9,590,000</t>
  </si>
  <si>
    <t>7,704,000</t>
  </si>
  <si>
    <t>2026/05/20 15:04:42</t>
  </si>
  <si>
    <t>（ゼロ債務）総委地）橋修（県単）（東大久保橋耐震補強設計業務委託）</t>
  </si>
  <si>
    <t>24100151450</t>
  </si>
  <si>
    <t>2025/03/04 13:38</t>
  </si>
  <si>
    <t>12,698,000</t>
  </si>
  <si>
    <t>10,202,000</t>
  </si>
  <si>
    <t>2026/05/20 15:04:44</t>
  </si>
  <si>
    <t>６富士見－３２号開発変更申請作成業務委託</t>
  </si>
  <si>
    <t>24100151493</t>
  </si>
  <si>
    <t>2025/03/03 09:31</t>
  </si>
  <si>
    <t>9,073,000</t>
  </si>
  <si>
    <t>日本測地設計株式会社 埼玉支店</t>
  </si>
  <si>
    <t>2026/05/20 15:04:46</t>
  </si>
  <si>
    <t>道路改築工事（道路網検討業務委託）</t>
  </si>
  <si>
    <t>24000276782</t>
  </si>
  <si>
    <t>2025/02/28 14:01</t>
  </si>
  <si>
    <t>7,417,000</t>
  </si>
  <si>
    <t>2026/05/20 15:04:49</t>
  </si>
  <si>
    <t>（ゼロ債務）道路改築工事（長尾根バイパス橋梁詳細設計業務委託その２）</t>
  </si>
  <si>
    <t>24100151433</t>
  </si>
  <si>
    <t>2025/02/27 14:14</t>
  </si>
  <si>
    <t>11,416,000</t>
  </si>
  <si>
    <t>9,171,000</t>
  </si>
  <si>
    <t>2026/05/20 15:04:51</t>
  </si>
  <si>
    <t>４３２８道路改築事業工事（十二塚橋軟弱地盤技術解析業務委託）</t>
  </si>
  <si>
    <t>24000263620</t>
  </si>
  <si>
    <t>2025/02/27 14:06</t>
  </si>
  <si>
    <t>11,544,000</t>
  </si>
  <si>
    <t>9,274,000</t>
  </si>
  <si>
    <t>2026/05/20 15:04:53</t>
  </si>
  <si>
    <t>（ゼロ債務）道路改築工事（長尾根バイパス橋梁詳細設計業務委託その１）</t>
  </si>
  <si>
    <t>24100151430</t>
  </si>
  <si>
    <t>2025/02/27 13:57</t>
  </si>
  <si>
    <t>17,494,000</t>
  </si>
  <si>
    <t>14,052,000</t>
  </si>
  <si>
    <t>2026/05/20 15:04:55</t>
  </si>
  <si>
    <t>公園等建設工事（春日部夢の森公園南園遊具実施設計業務委託）</t>
  </si>
  <si>
    <t>24000281502</t>
  </si>
  <si>
    <t>2025/02/27 10:10</t>
  </si>
  <si>
    <t>6,486,000</t>
  </si>
  <si>
    <t>5,212,000</t>
  </si>
  <si>
    <t>2026/05/20 15:04:57</t>
  </si>
  <si>
    <t>道路構造物維持工事（橋りょう詳細点検業務委託その５）</t>
  </si>
  <si>
    <t>24100151429</t>
  </si>
  <si>
    <t>2025/02/26 13:55</t>
  </si>
  <si>
    <t>11,935,000</t>
  </si>
  <si>
    <t>9,666,000</t>
  </si>
  <si>
    <t>2026/05/20 15:05:00</t>
  </si>
  <si>
    <t>道路構造物維持工事（橋りょう詳細点検業務委託その６）</t>
  </si>
  <si>
    <t>24100151428</t>
  </si>
  <si>
    <t>2025/02/26 13:43</t>
  </si>
  <si>
    <t>17,982,000</t>
  </si>
  <si>
    <t>14,517,000</t>
  </si>
  <si>
    <t>2026/05/20 15:05:02</t>
  </si>
  <si>
    <t>24100151340</t>
  </si>
  <si>
    <t>2025/02/26 13:25</t>
  </si>
  <si>
    <t>2026/05/20 15:05:07</t>
  </si>
  <si>
    <t>24100151375</t>
  </si>
  <si>
    <t>2025/02/26 13:20</t>
  </si>
  <si>
    <t>2026/05/20 15:05:10</t>
  </si>
  <si>
    <t>24100151373</t>
  </si>
  <si>
    <t>2025/02/26 13:15</t>
  </si>
  <si>
    <t>2026/05/20 15:05:12</t>
  </si>
  <si>
    <t>０２４水整第１１２号 共同幹線送水管更新実施設計業務委託</t>
  </si>
  <si>
    <t>24100151040</t>
  </si>
  <si>
    <t>2025/02/26 10:30</t>
  </si>
  <si>
    <t>35,500,000</t>
  </si>
  <si>
    <t>28,764,000</t>
  </si>
  <si>
    <t>株式会社吹上技研コンサルタント さいたま営業所</t>
  </si>
  <si>
    <t>29,136,000</t>
  </si>
  <si>
    <t>2026/05/20 15:05:14</t>
  </si>
  <si>
    <t>荒川左岸北部下水道事務所設備機器価格調査業務委託その３</t>
  </si>
  <si>
    <t>24200151411</t>
  </si>
  <si>
    <t>2025/02/25 14:21</t>
  </si>
  <si>
    <t>3,867,000</t>
  </si>
  <si>
    <t>3,106,000</t>
  </si>
  <si>
    <t>2026/05/20 15:05:16</t>
  </si>
  <si>
    <t>24200151408</t>
  </si>
  <si>
    <t>2025/02/25 13:48</t>
  </si>
  <si>
    <t>9,014,000</t>
  </si>
  <si>
    <t>7,237,000</t>
  </si>
  <si>
    <t>2026/05/20 15:05:18</t>
  </si>
  <si>
    <t>（ゼロ債務）河川改修工事（高麗川護岸工測量設計業務委託）</t>
  </si>
  <si>
    <t>24100151333</t>
  </si>
  <si>
    <t>2025/02/25 13:31</t>
  </si>
  <si>
    <t>7,837,000</t>
  </si>
  <si>
    <t>6,230,000</t>
  </si>
  <si>
    <t>2026/05/20 15:05:21</t>
  </si>
  <si>
    <t>（ゼロ債務）河川改修工事（不老川事業評価業務委託）</t>
  </si>
  <si>
    <t>24100150857</t>
  </si>
  <si>
    <t>2025/02/25 13:20</t>
  </si>
  <si>
    <t>17,363,000</t>
  </si>
  <si>
    <t>2026/05/20 15:05:23</t>
  </si>
  <si>
    <t>６水土里GISデータ作成業務委託</t>
  </si>
  <si>
    <t>24000279918</t>
  </si>
  <si>
    <t>2025/02/25 09:06</t>
  </si>
  <si>
    <t>800,000</t>
  </si>
  <si>
    <t>2026/05/20 15:05:25</t>
  </si>
  <si>
    <t>（ゼロ債務）河改（弁天橋取付道路設計）</t>
  </si>
  <si>
    <t>24100151460</t>
  </si>
  <si>
    <t>2025/02/21 13:30</t>
  </si>
  <si>
    <t>9,066,000</t>
  </si>
  <si>
    <t>7,284,000</t>
  </si>
  <si>
    <t>2026/05/20 15:05:27</t>
  </si>
  <si>
    <t>（ゼロ債務）４３４３舗装道整備工事（ＦＷＤ調査業務委託）</t>
  </si>
  <si>
    <t>24100151462</t>
  </si>
  <si>
    <t>2025/02/21 13:07</t>
  </si>
  <si>
    <t>3,625,000</t>
  </si>
  <si>
    <t>2,869,000</t>
  </si>
  <si>
    <t>2026/05/20 15:05:33</t>
  </si>
  <si>
    <t>河川改修工事（工事監督支援業務委託）６５９</t>
  </si>
  <si>
    <t>24000266742</t>
  </si>
  <si>
    <t>2025/02/20 13:16</t>
  </si>
  <si>
    <t>7,297,000</t>
  </si>
  <si>
    <t>2026/05/20 15:05:35</t>
  </si>
  <si>
    <t>道路改築工事（費用便益分析業務委託）０６８</t>
  </si>
  <si>
    <t>24000266852</t>
  </si>
  <si>
    <t>2025/02/20 13:03</t>
  </si>
  <si>
    <t>9,709,000</t>
  </si>
  <si>
    <t>7,797,000</t>
  </si>
  <si>
    <t>2026/05/20 15:05:37</t>
  </si>
  <si>
    <t>（ゼロ債務）河川改修（水辺）工事（手子堀川護岸測量設計業務委託）</t>
  </si>
  <si>
    <t>24100151121</t>
  </si>
  <si>
    <t>2025/02/20 09:51</t>
  </si>
  <si>
    <t>7,141,000</t>
  </si>
  <si>
    <t>5,665,000</t>
  </si>
  <si>
    <t>株式会社オカマツエンヂニアリング 本店</t>
  </si>
  <si>
    <t>2026/05/20 15:05:40</t>
  </si>
  <si>
    <t>総委重）砂防維持修繕工事（横石沢堰堤改築詳細設計業務委託）</t>
  </si>
  <si>
    <t>24000269037</t>
  </si>
  <si>
    <t>2025/02/19 13:20</t>
  </si>
  <si>
    <t>11,965,000</t>
  </si>
  <si>
    <t>9,611,000</t>
  </si>
  <si>
    <t>2026/05/20 15:05:46</t>
  </si>
  <si>
    <t>（ゼロ債務）総委重）４２３４道路改築工事（松ノ木島交差点橋りょう予備設計業務委託）</t>
  </si>
  <si>
    <t>24100150774</t>
  </si>
  <si>
    <t>2025/02/18 10:30</t>
  </si>
  <si>
    <t>41,122,000</t>
  </si>
  <si>
    <t>33,017,000</t>
  </si>
  <si>
    <t>2026/05/20 15:05:48</t>
  </si>
  <si>
    <t>男女共同参画推進センターペデストリアンデッキ点検業務委託（再々）</t>
  </si>
  <si>
    <t>14H020702</t>
  </si>
  <si>
    <t>2025/02/17 10:34</t>
  </si>
  <si>
    <t>埼玉県 県民生活部 男女共同参画推進センター</t>
  </si>
  <si>
    <t>2026/05/20 15:05:50</t>
  </si>
  <si>
    <t>24200151314</t>
  </si>
  <si>
    <t>2025/02/14 14:01</t>
  </si>
  <si>
    <t>3,412,000</t>
  </si>
  <si>
    <t>2,740,000</t>
  </si>
  <si>
    <t>2026/05/20 15:05:52</t>
  </si>
  <si>
    <t>０２４行受第６０１号 上尾幹線移設基本設計業務委託</t>
  </si>
  <si>
    <t>24100151243</t>
  </si>
  <si>
    <t>17,920,000</t>
  </si>
  <si>
    <t>14,385,000</t>
  </si>
  <si>
    <t>14,681,000</t>
  </si>
  <si>
    <t>2026/05/20 15:05:54</t>
  </si>
  <si>
    <t>荒川左岸北部下水道事務所設備機器価格調査業務委託その４</t>
  </si>
  <si>
    <t>24200151313</t>
  </si>
  <si>
    <t>2025/02/14 13:44</t>
  </si>
  <si>
    <t>4,431,000</t>
  </si>
  <si>
    <t>3,558,000</t>
  </si>
  <si>
    <t>2026/05/20 15:05:56</t>
  </si>
  <si>
    <t>南部流域処理場第２汚泥濃縮棟ほか電気設備改築実施設計業務委託</t>
  </si>
  <si>
    <t>24200151233</t>
  </si>
  <si>
    <t>2025/02/14 13:37</t>
  </si>
  <si>
    <t>15,018,000</t>
  </si>
  <si>
    <t>2026/05/20 15:06:02</t>
  </si>
  <si>
    <t>河川改修（補助）工事（（仮称）九十九川排水機場詳細設計業務委託）</t>
  </si>
  <si>
    <t>24100150783</t>
  </si>
  <si>
    <t>2025/02/14 13:30</t>
  </si>
  <si>
    <t>112,306,000</t>
  </si>
  <si>
    <t>90,145,000</t>
  </si>
  <si>
    <t>2026/05/20 15:06:04</t>
  </si>
  <si>
    <t>４２６６排水機場等維持修繕工事（大場川下流排水機場自家発等設計業務委託）</t>
  </si>
  <si>
    <t>24100151171</t>
  </si>
  <si>
    <t>2025/02/14 10:05</t>
  </si>
  <si>
    <t>10,262,000</t>
  </si>
  <si>
    <t>8,243,000</t>
  </si>
  <si>
    <t>2026/05/20 15:06:06</t>
  </si>
  <si>
    <t>６水土里ＧⅠＳデータ作成業務委託</t>
  </si>
  <si>
    <t>24000274096</t>
  </si>
  <si>
    <t>2025/02/14 09:07</t>
  </si>
  <si>
    <t>170,000</t>
  </si>
  <si>
    <t>2026/05/20 15:06:09</t>
  </si>
  <si>
    <t>（ゼロ債務）河川改修（水辺）工事（女堀川護岸修繕設計業務委託）</t>
  </si>
  <si>
    <t>24100151288</t>
  </si>
  <si>
    <t>2025/02/13 14:35</t>
  </si>
  <si>
    <t>5,339,000</t>
  </si>
  <si>
    <t>4,234,000</t>
  </si>
  <si>
    <t>2026/05/20 15:06:11</t>
  </si>
  <si>
    <t>（ゼロ債務）道路改築工事（道路詳細設計業務委託）西富田工区</t>
  </si>
  <si>
    <t>24100151192</t>
  </si>
  <si>
    <t>2025/02/13 14:06</t>
  </si>
  <si>
    <t>12,048,000</t>
  </si>
  <si>
    <t>9,680,000</t>
  </si>
  <si>
    <t>2026/05/20 15:06:13</t>
  </si>
  <si>
    <t>公園等建設工事 （Ａ４区域排水施設修正設計業務委託）</t>
  </si>
  <si>
    <t>24000262112</t>
  </si>
  <si>
    <t>2025/02/13 10:41</t>
  </si>
  <si>
    <t>6,537,000</t>
  </si>
  <si>
    <t>5,253,000</t>
  </si>
  <si>
    <t>2026/05/20 15:06:15</t>
  </si>
  <si>
    <t>４３１０道路改築事業工事（道路詳細設計業務委託）</t>
  </si>
  <si>
    <t>24000256507</t>
  </si>
  <si>
    <t>2025/02/13 10:36</t>
  </si>
  <si>
    <t>17,884,000</t>
  </si>
  <si>
    <t>2026/05/20 15:06:17</t>
  </si>
  <si>
    <t>（ゼロ債務）７穴ノ尾治山測量設計業務委託</t>
  </si>
  <si>
    <t>24100151249</t>
  </si>
  <si>
    <t>2025/02/13 10:02</t>
  </si>
  <si>
    <t>4,730,000</t>
  </si>
  <si>
    <t>3,792,000</t>
  </si>
  <si>
    <t>2026/05/20 15:06:20</t>
  </si>
  <si>
    <t>交差点整備工事（深谷東松山線修正設計業務委託）</t>
  </si>
  <si>
    <t>24000262994</t>
  </si>
  <si>
    <t>2025/02/10 13:24</t>
  </si>
  <si>
    <t>909,000</t>
  </si>
  <si>
    <t>2026/05/20 15:06:22</t>
  </si>
  <si>
    <t>24100151255</t>
  </si>
  <si>
    <t>2025/02/10 13:12</t>
  </si>
  <si>
    <t>9,037,000</t>
  </si>
  <si>
    <t>7,181,000</t>
  </si>
  <si>
    <t>2026/05/20 15:06:28</t>
  </si>
  <si>
    <t>（ゼロ債務）河改（工事監督支援）４</t>
  </si>
  <si>
    <t>24100151106</t>
  </si>
  <si>
    <t>2025/02/07 13:22</t>
  </si>
  <si>
    <t>12,184,000</t>
  </si>
  <si>
    <t>9,863,000</t>
  </si>
  <si>
    <t>2026/05/20 15:06:30</t>
  </si>
  <si>
    <t>６水活さ委第１号緑のヘルシーロード土留設計等業務委託</t>
  </si>
  <si>
    <t>24000271433</t>
  </si>
  <si>
    <t>2025/02/07 10:00</t>
  </si>
  <si>
    <t>3,420,000</t>
  </si>
  <si>
    <t>2,811,000</t>
  </si>
  <si>
    <t>2026/05/20 15:06:32</t>
  </si>
  <si>
    <t>男女共同参画推進センターペデストリアンデッキ点検業務委託（再）</t>
  </si>
  <si>
    <t>12H02202402</t>
  </si>
  <si>
    <t>2025/02/06 10:33</t>
  </si>
  <si>
    <t>2026/05/20 15:06:34</t>
  </si>
  <si>
    <t>（ゼロ債務）橋りょう修繕工事（桜町歩道橋外修繕設計業務委託）</t>
  </si>
  <si>
    <t>24100151078</t>
  </si>
  <si>
    <t>2025/02/06 10:20</t>
  </si>
  <si>
    <t>9,487,000</t>
  </si>
  <si>
    <t>2026/05/20 15:06:36</t>
  </si>
  <si>
    <t>（ゼロ債務）自歩道整備工事（喜畜道橋側道橋詳細設計業務委託）</t>
  </si>
  <si>
    <t>24100151207</t>
  </si>
  <si>
    <t>2025/02/05 13:19</t>
  </si>
  <si>
    <t>8,796,000</t>
  </si>
  <si>
    <t>7,077,000</t>
  </si>
  <si>
    <t>2026/05/20 15:06:39</t>
  </si>
  <si>
    <t>６治山施設点検業務（その３）</t>
  </si>
  <si>
    <t>24000264469</t>
  </si>
  <si>
    <t>2025/02/05 09:20</t>
  </si>
  <si>
    <t>2,090,000</t>
  </si>
  <si>
    <t>1,682,000</t>
  </si>
  <si>
    <t>1,970,000</t>
  </si>
  <si>
    <t>2026/05/20 15:06:41</t>
  </si>
  <si>
    <t>６治山施設点検業務（その２）</t>
  </si>
  <si>
    <t>24000263334</t>
  </si>
  <si>
    <t>2025/02/05 09:07</t>
  </si>
  <si>
    <t>2,610,000</t>
  </si>
  <si>
    <t>2,099,000</t>
  </si>
  <si>
    <t>2,460,000</t>
  </si>
  <si>
    <t>2026/05/20 15:06:43</t>
  </si>
  <si>
    <t>河川改修工事（Ｆ４９４号橋修正設計業務委託その２）</t>
  </si>
  <si>
    <t>24000244962</t>
  </si>
  <si>
    <t>2025/02/04 13:32</t>
  </si>
  <si>
    <t>17,879,000</t>
  </si>
  <si>
    <t>14,363,000</t>
  </si>
  <si>
    <t>2026/05/20 15:06:45</t>
  </si>
  <si>
    <t>公園等建設工事（都市計画図書作成業務委託）</t>
  </si>
  <si>
    <t>24005400007</t>
  </si>
  <si>
    <t>2025/02/03 13:32</t>
  </si>
  <si>
    <t>7,320,000</t>
  </si>
  <si>
    <t>5,877,000</t>
  </si>
  <si>
    <t>2026/05/20 15:06:47</t>
  </si>
  <si>
    <t>（ゼロ債務）総委重）連続立体交差工事（県単）（水路予備設計業務委託）</t>
  </si>
  <si>
    <t>24100151054</t>
  </si>
  <si>
    <t>2025/01/31 13:39</t>
  </si>
  <si>
    <t>10,457,000</t>
  </si>
  <si>
    <t>2026/05/20 15:06:53</t>
  </si>
  <si>
    <t>右岸流域吉見中継ほか土木資材価格調査業務委託</t>
  </si>
  <si>
    <t>24200151053</t>
  </si>
  <si>
    <t>2025/01/31 10:00</t>
  </si>
  <si>
    <t>3,633,000</t>
  </si>
  <si>
    <t>2,915,000</t>
  </si>
  <si>
    <t>2026/05/20 15:06:55</t>
  </si>
  <si>
    <t>（ゼロ債務）河川改修（水辺）工事（護岸設計業務委託）６２７</t>
  </si>
  <si>
    <t>24100151039</t>
  </si>
  <si>
    <t>2025/01/30 13:17</t>
  </si>
  <si>
    <t>7,573,000</t>
  </si>
  <si>
    <t>6,087,000</t>
  </si>
  <si>
    <t>7,100,000</t>
  </si>
  <si>
    <t>2026/05/20 15:06:58</t>
  </si>
  <si>
    <t>（ゼロ債務）舗装道整備工事（ＦＷＤ調査業務委託その２）４７０</t>
  </si>
  <si>
    <t>24100151038</t>
  </si>
  <si>
    <t>2025/01/30 13:09</t>
  </si>
  <si>
    <t>5,433,000</t>
  </si>
  <si>
    <t>2026/05/20 15:07:00</t>
  </si>
  <si>
    <t>橋りょう修繕工事（荒川橋架換え設計業務委託）</t>
  </si>
  <si>
    <t>24000245541</t>
  </si>
  <si>
    <t>2025/01/29 14:26</t>
  </si>
  <si>
    <t>12,361,000</t>
  </si>
  <si>
    <t>9,929,000</t>
  </si>
  <si>
    <t>2026/05/20 15:07:02</t>
  </si>
  <si>
    <t>橋りょう修繕工事（荒川橋耐震補強検討業務委託）</t>
  </si>
  <si>
    <t>24000245499</t>
  </si>
  <si>
    <t>2025/01/29 14:20</t>
  </si>
  <si>
    <t>14,494,000</t>
  </si>
  <si>
    <t>11,641,000</t>
  </si>
  <si>
    <t>2026/05/20 15:07:04</t>
  </si>
  <si>
    <t>橋りょう架換工事（建武橋道路詳細設計業務委託）</t>
  </si>
  <si>
    <t>24000230680</t>
  </si>
  <si>
    <t>2025/01/28 15:14</t>
  </si>
  <si>
    <t>9,076,000</t>
  </si>
  <si>
    <t>7,293,000</t>
  </si>
  <si>
    <t>2026/05/20 15:07:06</t>
  </si>
  <si>
    <t>道路安全施設工事（小沢トンネル照明施設更新設計業務委託）</t>
  </si>
  <si>
    <t>24000235601</t>
  </si>
  <si>
    <t>2025/01/28 15:01</t>
  </si>
  <si>
    <t>6,706,000</t>
  </si>
  <si>
    <t>5,390,000</t>
  </si>
  <si>
    <t>2026/05/20 15:07:09</t>
  </si>
  <si>
    <t>（ゼロ債務）河川改修工事（東川事業事後評価業務委託）</t>
  </si>
  <si>
    <t>24100150855</t>
  </si>
  <si>
    <t>2025/01/28 13:27</t>
  </si>
  <si>
    <t>9,805,000</t>
  </si>
  <si>
    <t>2026/05/20 15:07:11</t>
  </si>
  <si>
    <t>河川改修工事（新方川洪水調節施設水理模型実験業務委託）</t>
  </si>
  <si>
    <t>24000181323</t>
  </si>
  <si>
    <t>2025/01/27 15:00</t>
  </si>
  <si>
    <t>40,930,400</t>
  </si>
  <si>
    <t>2026/05/20 15:07:13</t>
  </si>
  <si>
    <t>社資（河川）工事（堤脚水路詳細設計業務委託）</t>
  </si>
  <si>
    <t>24000238456</t>
  </si>
  <si>
    <t>2025/01/27 13:46</t>
  </si>
  <si>
    <t>4,892,000</t>
  </si>
  <si>
    <t>2026/05/20 15:07:19</t>
  </si>
  <si>
    <t>街路整備工事（工事監督支援業務委託その３）</t>
  </si>
  <si>
    <t>24000235605</t>
  </si>
  <si>
    <t>2025/01/24 15:00</t>
  </si>
  <si>
    <t>9,194,000</t>
  </si>
  <si>
    <t>7,443,000</t>
  </si>
  <si>
    <t>2026/05/20 15:07:21</t>
  </si>
  <si>
    <t>４３３１橋りょう修繕工事（いろは橋外補修設計業務委託）</t>
  </si>
  <si>
    <t>24000240027</t>
  </si>
  <si>
    <t>2025/01/24 14:36</t>
  </si>
  <si>
    <t>10,575,000</t>
  </si>
  <si>
    <t>2026/05/20 15:07:23</t>
  </si>
  <si>
    <t>総委重）４３３０道路構造物維持工事（橋梁点検業務委託その３）</t>
  </si>
  <si>
    <t>24000233247</t>
  </si>
  <si>
    <t>2025/01/24 13:30</t>
  </si>
  <si>
    <t>7,549,000</t>
  </si>
  <si>
    <t>2026/05/20 15:07:25</t>
  </si>
  <si>
    <t>（ゼロ債務）橋りょう修繕工事（栗橋跨線橋補修設計業務委託その２）</t>
  </si>
  <si>
    <t>24100150832</t>
  </si>
  <si>
    <t>2025/01/24 09:22</t>
  </si>
  <si>
    <t>12,941,000</t>
  </si>
  <si>
    <t>10,394,000</t>
  </si>
  <si>
    <t>2026/05/20 15:07:28</t>
  </si>
  <si>
    <t>（ゼロ債務）橋りょう修繕工事（大原橋外補修設計業務委託）</t>
  </si>
  <si>
    <t>24100150877</t>
  </si>
  <si>
    <t>2025/01/24 09:02</t>
  </si>
  <si>
    <t>14,627,000</t>
  </si>
  <si>
    <t>11,747,000</t>
  </si>
  <si>
    <t>56</t>
  </si>
  <si>
    <t>2026/05/20 15:07:30</t>
  </si>
  <si>
    <t>総委重）河川改修工事（女堀川護岸詳細設計業務委託）</t>
  </si>
  <si>
    <t>24000227534</t>
  </si>
  <si>
    <t>2025/01/23 13:34</t>
  </si>
  <si>
    <t>13,876,000</t>
  </si>
  <si>
    <t>11,146,000</t>
  </si>
  <si>
    <t>2026/05/20 15:07:32</t>
  </si>
  <si>
    <t>河川改修調査工事（浸水被害調査業務委託）</t>
  </si>
  <si>
    <t>24000226169</t>
  </si>
  <si>
    <t>2025/01/23 13:27</t>
  </si>
  <si>
    <t>7,530,000</t>
  </si>
  <si>
    <t>6,049,000</t>
  </si>
  <si>
    <t>2026/05/20 15:07:34</t>
  </si>
  <si>
    <t>（ゼロ債務）社資交（改築）工事（構造物設計業務委託）１２７</t>
  </si>
  <si>
    <t>24100150943</t>
  </si>
  <si>
    <t>2025/01/23 13:15</t>
  </si>
  <si>
    <t>14,378,000</t>
  </si>
  <si>
    <t>11,551,000</t>
  </si>
  <si>
    <t>2026/05/20 15:07:37</t>
  </si>
  <si>
    <t>（ゼロ債務）橋りょう修繕工事（志戸川橋外１橋補修設計業務委託）</t>
  </si>
  <si>
    <t>24100150865</t>
  </si>
  <si>
    <t>2025/01/23 13:12</t>
  </si>
  <si>
    <t>12,450,000</t>
  </si>
  <si>
    <t>10,000,000</t>
  </si>
  <si>
    <t>2026/05/20 15:07:39</t>
  </si>
  <si>
    <t>自転車歩行者道整備工事（交差点設計業務委託）</t>
  </si>
  <si>
    <t>24000225988</t>
  </si>
  <si>
    <t>2025/01/23 11:44</t>
  </si>
  <si>
    <t>3,094,000</t>
  </si>
  <si>
    <t>2026/05/20 15:07:45</t>
  </si>
  <si>
    <t>（ゼロ債務）舗装指定修繕工事（舗装たわみ量（ＦＷＤ）調査業務委託）</t>
  </si>
  <si>
    <t>24100150856</t>
  </si>
  <si>
    <t>2025/01/23 10:01</t>
  </si>
  <si>
    <t>3,675,000</t>
  </si>
  <si>
    <t>2,908,000</t>
  </si>
  <si>
    <t>2026/05/20 15:07:47</t>
  </si>
  <si>
    <t>社資（交通安全）工事（御霊工区詳細設計業務委託）</t>
  </si>
  <si>
    <t>24000232757</t>
  </si>
  <si>
    <t>2025/01/22 14:51</t>
  </si>
  <si>
    <t>11,223,000</t>
  </si>
  <si>
    <t>2026/05/20 15:07:49</t>
  </si>
  <si>
    <t>南部流域鴨川幹線・南部第五準幹線管渠改築実施設計業務委託</t>
  </si>
  <si>
    <t>24200150906</t>
  </si>
  <si>
    <t>2025/01/22 14:02</t>
  </si>
  <si>
    <t>2026/05/20 15:07:51</t>
  </si>
  <si>
    <t>右岸流域処理場汚水ポンプ設備ほか改築実施設計業務委託</t>
  </si>
  <si>
    <t>24200150869</t>
  </si>
  <si>
    <t>2025/01/22 10:09</t>
  </si>
  <si>
    <t>10,845,000</t>
  </si>
  <si>
    <t>8,711,000</t>
  </si>
  <si>
    <t>内外エンジニアリング株式会社 埼玉営業所</t>
  </si>
  <si>
    <t>2026/05/20 15:07:54</t>
  </si>
  <si>
    <t>ダム等施設管理工事（アンカー健全度調査業務委託）ＢＫブロック</t>
  </si>
  <si>
    <t>24000230302</t>
  </si>
  <si>
    <t>2025/01/21 14:30</t>
  </si>
  <si>
    <t>9,731,000</t>
  </si>
  <si>
    <t>7,705,000</t>
  </si>
  <si>
    <t>2026/05/20 15:07:56</t>
  </si>
  <si>
    <t>ダム等施設管理工事（アンカー健全度調査業務委託）Ａブロック</t>
  </si>
  <si>
    <t>24000230287</t>
  </si>
  <si>
    <t>2025/01/21 14:20</t>
  </si>
  <si>
    <t>10,585,000</t>
  </si>
  <si>
    <t>2026/05/20 15:07:58</t>
  </si>
  <si>
    <t>ダム等施設管理工事（アンカー健全度調査業務委託）Ｊブロック</t>
  </si>
  <si>
    <t>24000230267</t>
  </si>
  <si>
    <t>2025/01/21 14:11</t>
  </si>
  <si>
    <t>13,010,000</t>
  </si>
  <si>
    <t>10,312,000</t>
  </si>
  <si>
    <t>2026/05/20 15:08:00</t>
  </si>
  <si>
    <t>北部流域処理場難脱水性汚泥改善設備基本設計業務委託</t>
  </si>
  <si>
    <t>24200150773</t>
  </si>
  <si>
    <t>2025/01/21 14:07</t>
  </si>
  <si>
    <t>17,054,000</t>
  </si>
  <si>
    <t>13,696,000</t>
  </si>
  <si>
    <t>2026/05/20 15:08:02</t>
  </si>
  <si>
    <t>ダム等施設管理工事（アンカー健全度調査業務委託）ＣＬブロック</t>
  </si>
  <si>
    <t>24000230162</t>
  </si>
  <si>
    <t>2025/01/21 14:00</t>
  </si>
  <si>
    <t>13,266,000</t>
  </si>
  <si>
    <t>10,269,000</t>
  </si>
  <si>
    <t>2026/05/20 15:08:04</t>
  </si>
  <si>
    <t>ダム等施設管理工事（アンカー健全度調査業務委託）Ｄブロック</t>
  </si>
  <si>
    <t>24000229984</t>
  </si>
  <si>
    <t>2025/01/21 13:54</t>
  </si>
  <si>
    <t>16,157,000</t>
  </si>
  <si>
    <t>12,665,000</t>
  </si>
  <si>
    <t>2026/05/20 15:08:10</t>
  </si>
  <si>
    <t>４２９９橋りょう架換工事（新川橋詳細修正設計業務委託）</t>
  </si>
  <si>
    <t>24000227773</t>
  </si>
  <si>
    <t>2025/01/21 11:38</t>
  </si>
  <si>
    <t>9,236,000</t>
  </si>
  <si>
    <t>7,421,000</t>
  </si>
  <si>
    <t>2026/05/20 15:08:12</t>
  </si>
  <si>
    <t>南部流域日進中継異常流入調査検討・ＢＩＭ／ＣＩＭ作成業務委託</t>
  </si>
  <si>
    <t>24200150883</t>
  </si>
  <si>
    <t>2025/01/20 13:32</t>
  </si>
  <si>
    <t>27,207,000</t>
  </si>
  <si>
    <t>21,759,000</t>
  </si>
  <si>
    <t>2026/05/20 15:08:15</t>
  </si>
  <si>
    <t>公園等建設工事（天馬の塔ほか改修設計業務委託）</t>
  </si>
  <si>
    <t>24000233176</t>
  </si>
  <si>
    <t>2025/01/20 10:11</t>
  </si>
  <si>
    <t>11,498,000</t>
  </si>
  <si>
    <t>株式会社テレウス 埼玉支店</t>
  </si>
  <si>
    <t>2026/05/20 15:08:17</t>
  </si>
  <si>
    <t>橋りょう修繕工事（第２和田吉野橋補修設計業務委託）３６７</t>
  </si>
  <si>
    <t>24000224277</t>
  </si>
  <si>
    <t>2025/01/17 13:17</t>
  </si>
  <si>
    <t>5,807,000</t>
  </si>
  <si>
    <t>2026/05/20 15:08:19</t>
  </si>
  <si>
    <t>６治山施設点検業務</t>
  </si>
  <si>
    <t>24000233487</t>
  </si>
  <si>
    <t>2025/01/17 09:31</t>
  </si>
  <si>
    <t>4,720,000</t>
  </si>
  <si>
    <t>3,796,000</t>
  </si>
  <si>
    <t>2026/05/20 15:08:21</t>
  </si>
  <si>
    <t>交通安全施設整備工事（久喜・河原代工区詳細設計業務委託）</t>
  </si>
  <si>
    <t>24000231224</t>
  </si>
  <si>
    <t>2025/01/17 09:00</t>
  </si>
  <si>
    <t>2,599,000</t>
  </si>
  <si>
    <t>2,091,000</t>
  </si>
  <si>
    <t>株式会社坂田測量設計事務所 本店</t>
  </si>
  <si>
    <t>2026/05/20 15:08:23</t>
  </si>
  <si>
    <t>総委重）社資（改築）（４６３（松郷交差点）詳細設計）</t>
  </si>
  <si>
    <t>24000186429</t>
  </si>
  <si>
    <t>2025/01/16 15:30</t>
  </si>
  <si>
    <t>90,285,000</t>
  </si>
  <si>
    <t>72,488,000</t>
  </si>
  <si>
    <t>2026/05/20 15:08:25</t>
  </si>
  <si>
    <t>（ゼロ債務）河川改修（水辺）工事（神明下橋下流設計業務委託）</t>
  </si>
  <si>
    <t>24100150930</t>
  </si>
  <si>
    <t>2025/01/16 13:50</t>
  </si>
  <si>
    <t>3,677,000</t>
  </si>
  <si>
    <t>2,957,000</t>
  </si>
  <si>
    <t>2026/05/20 15:08:28</t>
  </si>
  <si>
    <t>自歩道整備工事（迂回路設計業務委託）太駄工区</t>
  </si>
  <si>
    <t>24000231559</t>
  </si>
  <si>
    <t>2025/01/16 13:40</t>
  </si>
  <si>
    <t>7,278,000</t>
  </si>
  <si>
    <t>5,735,000</t>
  </si>
  <si>
    <t>6,690,000</t>
  </si>
  <si>
    <t>2026/05/20 15:08:30</t>
  </si>
  <si>
    <t>（ゼロ債務）河川改修（水辺）工事（芝川築堤設計業務委託その２）</t>
  </si>
  <si>
    <t>24100150929</t>
  </si>
  <si>
    <t>5,943,000</t>
  </si>
  <si>
    <t>4,777,000</t>
  </si>
  <si>
    <t>2026/05/20 15:08:36</t>
  </si>
  <si>
    <t>河川改修工事（元小山川測量設計業務委託）</t>
  </si>
  <si>
    <t>24000218757</t>
  </si>
  <si>
    <t>2025/01/16 13:22</t>
  </si>
  <si>
    <t>11,603,000</t>
  </si>
  <si>
    <t>9,240,000</t>
  </si>
  <si>
    <t>2026/05/20 15:08:38</t>
  </si>
  <si>
    <t>中川流域下水道雨天時浸入水対策計画策定支援業務委託</t>
  </si>
  <si>
    <t>24200150793</t>
  </si>
  <si>
    <t>2025/01/16 13:02</t>
  </si>
  <si>
    <t>4,269,000</t>
  </si>
  <si>
    <t>3,429,000</t>
  </si>
  <si>
    <t>2026/05/20 15:08:40</t>
  </si>
  <si>
    <t>４２９２橋りょう架換工事（八条橋道路予備設計業務委託）</t>
  </si>
  <si>
    <t>24000220320</t>
  </si>
  <si>
    <t>2025/01/16 10:05</t>
  </si>
  <si>
    <t>16,182,000</t>
  </si>
  <si>
    <t>13,000,000</t>
  </si>
  <si>
    <t>2026/05/20 15:08:42</t>
  </si>
  <si>
    <t>（ゼロ債務）災害防除工事（三次元設計業務委託その２１）</t>
  </si>
  <si>
    <t>24100150847</t>
  </si>
  <si>
    <t>2025/01/15 14:04</t>
  </si>
  <si>
    <t>5,852,000</t>
  </si>
  <si>
    <t>2026/05/20 15:08:44</t>
  </si>
  <si>
    <t>（ゼロ債務）災害防除工事（三次元設計業務委託その２０）</t>
  </si>
  <si>
    <t>24100150846</t>
  </si>
  <si>
    <t>2025/01/15 13:57</t>
  </si>
  <si>
    <t>2026/05/20 15:08:47</t>
  </si>
  <si>
    <t>（ゼロ債務）災害防除工事（三次元設計業務委託その２４）</t>
  </si>
  <si>
    <t>24100150845</t>
  </si>
  <si>
    <t>2025/01/15 13:51</t>
  </si>
  <si>
    <t>8,919,000</t>
  </si>
  <si>
    <t>8,088,000</t>
  </si>
  <si>
    <t>2026/05/20 15:08:49</t>
  </si>
  <si>
    <t>（ゼロ債務）災害防除工事（三次元設計業務委託その２３）</t>
  </si>
  <si>
    <t>24100150844</t>
  </si>
  <si>
    <t>2025/01/15 13:46</t>
  </si>
  <si>
    <t>8,085,000</t>
  </si>
  <si>
    <t>2026/05/20 15:08:51</t>
  </si>
  <si>
    <t>（ゼロ債務）災害防除工事（三次元設計業務委託その２２）</t>
  </si>
  <si>
    <t>24100150843</t>
  </si>
  <si>
    <t>2025/01/15 13:40</t>
  </si>
  <si>
    <t>8,080,000</t>
  </si>
  <si>
    <t>2026/05/20 15:08:53</t>
  </si>
  <si>
    <t>（ゼロ債務）災害防除工事（三次元設計業務委託その１９）</t>
  </si>
  <si>
    <t>24100150842</t>
  </si>
  <si>
    <t>2025/01/15 13:34</t>
  </si>
  <si>
    <t>8,073,000</t>
  </si>
  <si>
    <t>2026/05/20 15:08:55</t>
  </si>
  <si>
    <t>（ゼロ債務）４２３５道路改築工事（横断水路対策設計業務委託）</t>
  </si>
  <si>
    <t>24100150796</t>
  </si>
  <si>
    <t>2025/01/10 14:01</t>
  </si>
  <si>
    <t>8,644,000</t>
  </si>
  <si>
    <t>6,947,000</t>
  </si>
  <si>
    <t>2026/05/20 15:09:01</t>
  </si>
  <si>
    <t>４３４６道路構造物維持工事（橋梁点検業務委託その４）</t>
  </si>
  <si>
    <t>24000216140</t>
  </si>
  <si>
    <t>2025/01/10 13:31</t>
  </si>
  <si>
    <t>17,674,000</t>
  </si>
  <si>
    <t>14,288,000</t>
  </si>
  <si>
    <t>2026/05/20 15:09:03</t>
  </si>
  <si>
    <t>４３０３街路整備工事（辰井川護岸矢板長調査業務委託）</t>
  </si>
  <si>
    <t>24000217592</t>
  </si>
  <si>
    <t>2025/01/09 13:38</t>
  </si>
  <si>
    <t>2,970,000</t>
  </si>
  <si>
    <t>2,386,000</t>
  </si>
  <si>
    <t>2026/05/20 15:09:05</t>
  </si>
  <si>
    <t>４３０４街路整備工事（水路修正設計業務委託）</t>
  </si>
  <si>
    <t>24000217965</t>
  </si>
  <si>
    <t>2025/01/09 11:42</t>
  </si>
  <si>
    <t>9,977,000</t>
  </si>
  <si>
    <t>8,015,000</t>
  </si>
  <si>
    <t>2026/05/20 15:09:08</t>
  </si>
  <si>
    <t>４３０５街路整備工事（道路詳細修正設計業務委託）</t>
  </si>
  <si>
    <t>24000218035</t>
  </si>
  <si>
    <t>2025/01/09 11:16</t>
  </si>
  <si>
    <t>12,819,000</t>
  </si>
  <si>
    <t>10,297,000</t>
  </si>
  <si>
    <t>2026/05/20 15:09:10</t>
  </si>
  <si>
    <t>橋りょう修繕工事（関宿橋高架橋積算技術業務委託）</t>
  </si>
  <si>
    <t>24000211008</t>
  </si>
  <si>
    <t>2025/01/09 09:20</t>
  </si>
  <si>
    <t>13,769,000</t>
  </si>
  <si>
    <t>11,052,000</t>
  </si>
  <si>
    <t>2026/05/20 15:09:12</t>
  </si>
  <si>
    <t>橋りょう修繕工事（呉服跨線橋外積算技術業務委託）</t>
  </si>
  <si>
    <t>24000210419</t>
  </si>
  <si>
    <t>2025/01/09 09:04</t>
  </si>
  <si>
    <t>14,019,000</t>
  </si>
  <si>
    <t>11,252,000</t>
  </si>
  <si>
    <t>2026/05/20 15:09:14</t>
  </si>
  <si>
    <t>橋りょう修繕工事（坂戸入西大橋補修設計業務委託その２）</t>
  </si>
  <si>
    <t>24000218152</t>
  </si>
  <si>
    <t>2025/01/07 13:25</t>
  </si>
  <si>
    <t>15,714,000</t>
  </si>
  <si>
    <t>12,635,000</t>
  </si>
  <si>
    <t>2026/05/20 15:09:16</t>
  </si>
  <si>
    <t>道路構造物維持工事（橋梁点検業務委託その１０）３３０</t>
  </si>
  <si>
    <t>24000211825</t>
  </si>
  <si>
    <t>2024/12/26 13:37</t>
  </si>
  <si>
    <t>9,350,000</t>
  </si>
  <si>
    <t>7,548,000</t>
  </si>
  <si>
    <t>2026/05/20 15:09:18</t>
  </si>
  <si>
    <t>道路構造物維持工事（橋梁点検業務委託その９）３２９</t>
  </si>
  <si>
    <t>24000212001</t>
  </si>
  <si>
    <t>2024/12/26 13:30</t>
  </si>
  <si>
    <t>9,464,000</t>
  </si>
  <si>
    <t>7,613,000</t>
  </si>
  <si>
    <t>2026/05/20 15:09:21</t>
  </si>
  <si>
    <t>河川改修工事（（仮称）Ｄ４７５号橋修正設計業務委託）</t>
  </si>
  <si>
    <t>24100150618</t>
  </si>
  <si>
    <t>2024/12/26 13:29</t>
  </si>
  <si>
    <t>17,763,000</t>
  </si>
  <si>
    <t>14,268,000</t>
  </si>
  <si>
    <t>2026/05/20 15:09:26</t>
  </si>
  <si>
    <t>道路構造物維持工事（橋梁点検業務委託その８）３６８</t>
  </si>
  <si>
    <t>24000211991</t>
  </si>
  <si>
    <t>2024/12/26 13:12</t>
  </si>
  <si>
    <t>12,687,000</t>
  </si>
  <si>
    <t>10,247,000</t>
  </si>
  <si>
    <t>2026/05/20 15:09:29</t>
  </si>
  <si>
    <t>河川改修工事（芝川積算支援業務委託その２）</t>
  </si>
  <si>
    <t>24100150600</t>
  </si>
  <si>
    <t>2024/12/26 13:10</t>
  </si>
  <si>
    <t>13,308,000</t>
  </si>
  <si>
    <t>10,677,000</t>
  </si>
  <si>
    <t>2026/05/20 15:09:31</t>
  </si>
  <si>
    <t>社資交付金（河川）工事（忍川・迂回路測量設計業務委託）</t>
  </si>
  <si>
    <t>24000213445</t>
  </si>
  <si>
    <t>2024/12/26 09:31</t>
  </si>
  <si>
    <t>8,838,000</t>
  </si>
  <si>
    <t>7,037,000</t>
  </si>
  <si>
    <t>8,550,000</t>
  </si>
  <si>
    <t>2026/05/20 15:09:33</t>
  </si>
  <si>
    <t>災害防除工事（芦ヶ久保工区法面補修設計業務委託）</t>
  </si>
  <si>
    <t>24000227271</t>
  </si>
  <si>
    <t>2024/12/25 14:16</t>
  </si>
  <si>
    <t>7,184,000</t>
  </si>
  <si>
    <t>5,772,000</t>
  </si>
  <si>
    <t>2026/05/20 15:09:35</t>
  </si>
  <si>
    <t>砂防維持修繕工事（長寿命化計画調査設計業務委託その５）</t>
  </si>
  <si>
    <t>24000226799</t>
  </si>
  <si>
    <t>2024/12/25 13:35</t>
  </si>
  <si>
    <t>6,998,000</t>
  </si>
  <si>
    <t>7,960,000</t>
  </si>
  <si>
    <t>2026/05/20 15:09:37</t>
  </si>
  <si>
    <t>砂防維持修繕工事（長寿命化計画調査設計業務委託その４）</t>
  </si>
  <si>
    <t>24000226796</t>
  </si>
  <si>
    <t>2024/12/25 13:29</t>
  </si>
  <si>
    <t>8,861,000</t>
  </si>
  <si>
    <t>7,119,000</t>
  </si>
  <si>
    <t>8,054,000</t>
  </si>
  <si>
    <t>2026/05/20 15:09:39</t>
  </si>
  <si>
    <t>砂防維持修繕工事（長寿命化計画調査設計業務委託その３）</t>
  </si>
  <si>
    <t>24000226794</t>
  </si>
  <si>
    <t>2024/12/25 13:14</t>
  </si>
  <si>
    <t>8,046,000</t>
  </si>
  <si>
    <t>2026/05/20 15:09:42</t>
  </si>
  <si>
    <t>中川流域処理場４号反応槽送気管等改築実施設計業務委託（ＤＸ）</t>
  </si>
  <si>
    <t>24200150604</t>
  </si>
  <si>
    <t>2024/12/25 13:01</t>
  </si>
  <si>
    <t>18,100,000</t>
  </si>
  <si>
    <t>14,542,000</t>
  </si>
  <si>
    <t>14,554,000</t>
  </si>
  <si>
    <t>2026/05/20 15:09:44</t>
  </si>
  <si>
    <t>資源循環農場・公園設計業務委託（施設実施設計）</t>
  </si>
  <si>
    <t>24000219854</t>
  </si>
  <si>
    <t>2024/12/24 10:00</t>
  </si>
  <si>
    <t>7,961,000</t>
  </si>
  <si>
    <t>6,397,000</t>
  </si>
  <si>
    <t>2026/05/20 15:09:46</t>
  </si>
  <si>
    <t>24000207257</t>
  </si>
  <si>
    <t>2024/12/23 13:19</t>
  </si>
  <si>
    <t>5,992,000</t>
  </si>
  <si>
    <t>4,716,000</t>
  </si>
  <si>
    <t>5,550,000</t>
  </si>
  <si>
    <t>2026/05/20 15:09:52</t>
  </si>
  <si>
    <t>ダム等施設管理工事（元原石山法面詳細修正設計業務委託）</t>
  </si>
  <si>
    <t>24000200511</t>
  </si>
  <si>
    <t>2024/12/23 13:12</t>
  </si>
  <si>
    <t>8,615,000</t>
  </si>
  <si>
    <t>6,871,000</t>
  </si>
  <si>
    <t>2026/05/20 15:09:54</t>
  </si>
  <si>
    <t>社会資本整備総合交付金（河川）工事（洪水予報河川検討業務委託）</t>
  </si>
  <si>
    <t>24100150643</t>
  </si>
  <si>
    <t>2024/12/23 12:00</t>
  </si>
  <si>
    <t>24,650,000</t>
  </si>
  <si>
    <t>19,786,000</t>
  </si>
  <si>
    <t>2026/05/20 15:09:56</t>
  </si>
  <si>
    <t>６金鑚橋梁付替調査設計業務</t>
  </si>
  <si>
    <t>24000217096</t>
  </si>
  <si>
    <t>2024/12/23 09:33</t>
  </si>
  <si>
    <t>4,598,000</t>
  </si>
  <si>
    <t>4,747,000</t>
  </si>
  <si>
    <t>2026/05/20 15:09:58</t>
  </si>
  <si>
    <t>６窪向治山測量設計業務</t>
  </si>
  <si>
    <t>24000217113</t>
  </si>
  <si>
    <t>2024/12/23 09:22</t>
  </si>
  <si>
    <t>4,260,000</t>
  </si>
  <si>
    <t>3,880,000</t>
  </si>
  <si>
    <t>2026/05/20 15:10:01</t>
  </si>
  <si>
    <t>総委重）４２１４道路改築工事（地盤沈下対策修正検討業務委託）</t>
  </si>
  <si>
    <t>24000209443</t>
  </si>
  <si>
    <t>2024/12/20 13:35</t>
  </si>
  <si>
    <t>13,202,000</t>
  </si>
  <si>
    <t>10,604,000</t>
  </si>
  <si>
    <t>2026/05/20 15:10:03</t>
  </si>
  <si>
    <t>右岸流域処理場ほかテレメータ改築実施設計業務委託</t>
  </si>
  <si>
    <t>24200150588</t>
  </si>
  <si>
    <t>2024/12/19 09:37</t>
  </si>
  <si>
    <t>14,256,000</t>
  </si>
  <si>
    <t>11,450,000</t>
  </si>
  <si>
    <t>2026/05/20 15:10:05</t>
  </si>
  <si>
    <t>自転車歩行者道整備工事（蓮田・閏戸交差点外交通量調査業務委託）</t>
  </si>
  <si>
    <t>24000211719</t>
  </si>
  <si>
    <t>2024/12/19 09:03</t>
  </si>
  <si>
    <t>2,388,000</t>
  </si>
  <si>
    <t>1,849,000</t>
  </si>
  <si>
    <t>2,250,000</t>
  </si>
  <si>
    <t>2026/05/20 15:10:07</t>
  </si>
  <si>
    <t>河川改修工事（倉松川管理用通路修正設計業務委託）</t>
  </si>
  <si>
    <t>24000209442</t>
  </si>
  <si>
    <t>2024/12/18 13:41</t>
  </si>
  <si>
    <t>5,606,000</t>
  </si>
  <si>
    <t>4,505,000</t>
  </si>
  <si>
    <t>2026/05/20 15:10:09</t>
  </si>
  <si>
    <t>河川改修調査工事（Ｒ６年度末河川改修状況調査業務委託）</t>
  </si>
  <si>
    <t>24000206611</t>
  </si>
  <si>
    <t>2024/12/18 13:23</t>
  </si>
  <si>
    <t>8,678,000</t>
  </si>
  <si>
    <t>2026/05/20 15:10:11</t>
  </si>
  <si>
    <t>水防情報システム整備工事（川の防災情報（Ｗｅｂ）システム改修業務委託）</t>
  </si>
  <si>
    <t>24100150615</t>
  </si>
  <si>
    <t>2024/12/16 13:31</t>
  </si>
  <si>
    <t>2026/05/20 15:10:17</t>
  </si>
  <si>
    <t>砂防施設工事（細窪沢－１外全体計画策定業務委託）</t>
  </si>
  <si>
    <t>24000196882</t>
  </si>
  <si>
    <t>2024/12/16 13:24</t>
  </si>
  <si>
    <t>11,112,000</t>
  </si>
  <si>
    <t>2026/05/20 15:10:19</t>
  </si>
  <si>
    <t>道路構造物維持工事（橋梁点検業務委託）</t>
  </si>
  <si>
    <t>24100150491</t>
  </si>
  <si>
    <t>2024/12/16 13:06</t>
  </si>
  <si>
    <t>17,508,000</t>
  </si>
  <si>
    <t>14,099,000</t>
  </si>
  <si>
    <t>2026/05/20 15:10:22</t>
  </si>
  <si>
    <t>中川流域中央幹線外管渠耐震診断業務委託（多層系）</t>
  </si>
  <si>
    <t>24240000047</t>
  </si>
  <si>
    <t>2024/12/12 15:04</t>
  </si>
  <si>
    <t>33,426,000</t>
  </si>
  <si>
    <t>26,836,000</t>
  </si>
  <si>
    <t>株式会社水工技建コンサルタント 本店</t>
  </si>
  <si>
    <t>2026/05/20 15:10:24</t>
  </si>
  <si>
    <t>交付金（河川）工事（与野中央公園調節池工事監督支援業務委託その４）</t>
  </si>
  <si>
    <t>24100150444</t>
  </si>
  <si>
    <t>2024/12/12 13:50</t>
  </si>
  <si>
    <t>16,888,000</t>
  </si>
  <si>
    <t>13,671,000</t>
  </si>
  <si>
    <t>2026/05/20 15:10:26</t>
  </si>
  <si>
    <t>24100150429</t>
  </si>
  <si>
    <t>2024/12/12 13:30</t>
  </si>
  <si>
    <t>11,923,000</t>
  </si>
  <si>
    <t>9,587,000</t>
  </si>
  <si>
    <t>日本データーサービス株式会社 さいたま事務所</t>
  </si>
  <si>
    <t>2026/05/20 15:10:28</t>
  </si>
  <si>
    <t>24100150428</t>
  </si>
  <si>
    <t>2024/12/12 13:20</t>
  </si>
  <si>
    <t>12,264,000</t>
  </si>
  <si>
    <t>9,864,000</t>
  </si>
  <si>
    <t>2026/05/20 15:10:30</t>
  </si>
  <si>
    <t>４３０８舗装道整備工事（舗装たわみ量調査業務委託）</t>
  </si>
  <si>
    <t>24000197836</t>
  </si>
  <si>
    <t>2024/12/12 10:38</t>
  </si>
  <si>
    <t>3,527,000</t>
  </si>
  <si>
    <t>2026/05/20 15:10:33</t>
  </si>
  <si>
    <t>６石原治山測量設計業務委託</t>
  </si>
  <si>
    <t>24000205205</t>
  </si>
  <si>
    <t>2024/12/12 10:00</t>
  </si>
  <si>
    <t>3,610,000</t>
  </si>
  <si>
    <t>2,887,000</t>
  </si>
  <si>
    <t>2026/05/20 15:10:35</t>
  </si>
  <si>
    <t>橋りょう修繕工事（笊田橋補修設計業務委託）</t>
  </si>
  <si>
    <t>24000203953</t>
  </si>
  <si>
    <t>2024/12/12 09:41</t>
  </si>
  <si>
    <t>8,049,000</t>
  </si>
  <si>
    <t>6,467,000</t>
  </si>
  <si>
    <t>2026/05/20 15:10:37</t>
  </si>
  <si>
    <t>砂防維持修繕工事（熊木工区測量設計業務委託）</t>
  </si>
  <si>
    <t>24000210066</t>
  </si>
  <si>
    <t>2024/12/11 13:32</t>
  </si>
  <si>
    <t>4,466,000</t>
  </si>
  <si>
    <t>2026/05/20 15:10:43</t>
  </si>
  <si>
    <t>６学習の森管理道測量設計業務委託</t>
  </si>
  <si>
    <t>24000203445</t>
  </si>
  <si>
    <t>2024/12/11 13:15</t>
  </si>
  <si>
    <t>3,990,000</t>
  </si>
  <si>
    <t>3,165,000</t>
  </si>
  <si>
    <t>3,790,000</t>
  </si>
  <si>
    <t>2026/05/20 15:10:45</t>
  </si>
  <si>
    <t>６長久保線森林管理道改良設計業務委託</t>
  </si>
  <si>
    <t>24000205136</t>
  </si>
  <si>
    <t>2024/12/11 10:45</t>
  </si>
  <si>
    <t>2,396,000</t>
  </si>
  <si>
    <t>2,820,000</t>
  </si>
  <si>
    <t>2026/05/20 15:10:47</t>
  </si>
  <si>
    <t>６日影勝負沢治山測量設計業務委託</t>
  </si>
  <si>
    <t>24000203394</t>
  </si>
  <si>
    <t>2024/12/11 10:32</t>
  </si>
  <si>
    <t>5,050,000</t>
  </si>
  <si>
    <t>4,038,000</t>
  </si>
  <si>
    <t>株式会社シビル技術 本店</t>
  </si>
  <si>
    <t>2026/05/20 15:10:49</t>
  </si>
  <si>
    <t>24200150434</t>
  </si>
  <si>
    <t>2024/12/10 14:50</t>
  </si>
  <si>
    <t>2026/05/20 15:10:51</t>
  </si>
  <si>
    <t>南部流域芝中継異常流入調査検討・ＢＩＭ／ＣＩＭ作成業務委託</t>
  </si>
  <si>
    <t>24200150436</t>
  </si>
  <si>
    <t>2024/12/10 13:48</t>
  </si>
  <si>
    <t>27,316,000</t>
  </si>
  <si>
    <t>21,847,000</t>
  </si>
  <si>
    <t>2026/05/20 15:10:54</t>
  </si>
  <si>
    <t>橋りょう修繕工事（坂戸入西大橋補修設計業務委託その１）</t>
  </si>
  <si>
    <t>24000194155</t>
  </si>
  <si>
    <t>2024/12/09 13:18</t>
  </si>
  <si>
    <t>17,223,000</t>
  </si>
  <si>
    <t>13,851,000</t>
  </si>
  <si>
    <t>2026/05/20 15:10:56</t>
  </si>
  <si>
    <t>GISインフラ管理データ作成及び保管業務委託</t>
  </si>
  <si>
    <t>24000191236</t>
  </si>
  <si>
    <t>2024/12/09 10:05</t>
  </si>
  <si>
    <t>33,278,000</t>
  </si>
  <si>
    <t>26,706,000</t>
  </si>
  <si>
    <t>2026/05/20 15:10:58</t>
  </si>
  <si>
    <t>街整（飯能所沢電線地中化詳細設計）</t>
  </si>
  <si>
    <t>24000194884</t>
  </si>
  <si>
    <t>2024/12/06 13:46</t>
  </si>
  <si>
    <t>11,399,000</t>
  </si>
  <si>
    <t>9,158,000</t>
  </si>
  <si>
    <t>2026/05/20 15:11:00</t>
  </si>
  <si>
    <t>河改（仮称月見台調節池概算事業費算定）</t>
  </si>
  <si>
    <t>24000189990</t>
  </si>
  <si>
    <t>2024/12/06 13:37</t>
  </si>
  <si>
    <t>11,391,000</t>
  </si>
  <si>
    <t>2026/05/20 15:11:02</t>
  </si>
  <si>
    <t>河川改修調査工事（新河岸川流域水理解析業務委託）</t>
  </si>
  <si>
    <t>24000134306</t>
  </si>
  <si>
    <t>2024/12/06 13:22</t>
  </si>
  <si>
    <t>26,114,000</t>
  </si>
  <si>
    <t>2026/05/20 15:11:08</t>
  </si>
  <si>
    <t>右岸流域資料電子化業務委託</t>
  </si>
  <si>
    <t>24200150363</t>
  </si>
  <si>
    <t>2024/12/06 10:00</t>
  </si>
  <si>
    <t>4,217,000</t>
  </si>
  <si>
    <t>3,389,000</t>
  </si>
  <si>
    <t>2026/05/20 15:11:10</t>
  </si>
  <si>
    <t>令和６年度埼玉県水道基盤強化支援業務委託</t>
  </si>
  <si>
    <t>seiei49</t>
  </si>
  <si>
    <t>2024/12/06 09:02</t>
  </si>
  <si>
    <t>4,930,000</t>
  </si>
  <si>
    <t>3,960,000</t>
  </si>
  <si>
    <t>埼玉県 保健医療部 生活衛生課</t>
  </si>
  <si>
    <t>3,962,000</t>
  </si>
  <si>
    <t>2026/05/20 15:11:12</t>
  </si>
  <si>
    <t>総委重）総合交付金（改築）工事（行田蓮田線・橋梁詳細設計業務委託）</t>
  </si>
  <si>
    <t>24000170598</t>
  </si>
  <si>
    <t>2024/12/05 15:30</t>
  </si>
  <si>
    <t>42,327,000</t>
  </si>
  <si>
    <t>33,989,000</t>
  </si>
  <si>
    <t>2026/05/20 15:11:15</t>
  </si>
  <si>
    <t>河川改修（補助）工事（（仮称）新江川排水機場詳細設計業務委託）</t>
  </si>
  <si>
    <t>24100149962</t>
  </si>
  <si>
    <t>2024/12/05 14:30</t>
  </si>
  <si>
    <t>113,019,000</t>
  </si>
  <si>
    <t>90,717,000</t>
  </si>
  <si>
    <t>2026/05/20 15:11:17</t>
  </si>
  <si>
    <t>交差点整備工事（測量設計業務委託）東富田工区</t>
  </si>
  <si>
    <t>24100150403</t>
  </si>
  <si>
    <t>2024/12/05 13:21</t>
  </si>
  <si>
    <t>5,206,000</t>
  </si>
  <si>
    <t>2026/05/20 15:11:19</t>
  </si>
  <si>
    <t>交差点整備工事（交差点修正設計業務委託）</t>
  </si>
  <si>
    <t>24000202826</t>
  </si>
  <si>
    <t>2024/12/05 13:20</t>
  </si>
  <si>
    <t>2,785,000</t>
  </si>
  <si>
    <t>2,240,000</t>
  </si>
  <si>
    <t>2026/05/20 15:11:21</t>
  </si>
  <si>
    <t>河川改修工事（緑川流域調査業務委託）</t>
  </si>
  <si>
    <t>24000193454</t>
  </si>
  <si>
    <t>2024/12/05 13:10</t>
  </si>
  <si>
    <t>9,475,000</t>
  </si>
  <si>
    <t>7,607,000</t>
  </si>
  <si>
    <t>2026/05/20 15:11:23</t>
  </si>
  <si>
    <t>総委重）河川改修（国庫）工事（連通管詳細設計業務委託その２）</t>
  </si>
  <si>
    <t>24000198945</t>
  </si>
  <si>
    <t>2024/12/05 11:00</t>
  </si>
  <si>
    <t>13,196,000</t>
  </si>
  <si>
    <t>10,599,000</t>
  </si>
  <si>
    <t>2026/05/20 15:11:25</t>
  </si>
  <si>
    <t>総委重）河川改修（国庫）工事（連通管詳細設計業務委託その１）</t>
  </si>
  <si>
    <t>24000198923</t>
  </si>
  <si>
    <t>2024/12/05 10:40</t>
  </si>
  <si>
    <t>17,198,000</t>
  </si>
  <si>
    <t>13,812,000</t>
  </si>
  <si>
    <t>2026/05/20 15:11:28</t>
  </si>
  <si>
    <t>４２８５電線地中化（道路）整備工事（修正設計業務委託）</t>
  </si>
  <si>
    <t>24000190289</t>
  </si>
  <si>
    <t>2024/12/05 10:21</t>
  </si>
  <si>
    <t>9,011,000</t>
  </si>
  <si>
    <t>2026/05/20 15:11:33</t>
  </si>
  <si>
    <t>道路改築工事（道路予備設計業務委託）</t>
  </si>
  <si>
    <t>24000189674</t>
  </si>
  <si>
    <t>2024/12/05 10:20</t>
  </si>
  <si>
    <t>5,585,000</t>
  </si>
  <si>
    <t>4,490,000</t>
  </si>
  <si>
    <t>2026/05/20 15:11:36</t>
  </si>
  <si>
    <t>４号埋立地仮設設計業務委託</t>
  </si>
  <si>
    <t>24000201463</t>
  </si>
  <si>
    <t>2024/12/05 10:01</t>
  </si>
  <si>
    <t>8,795,000</t>
  </si>
  <si>
    <t>7,066,000</t>
  </si>
  <si>
    <t>8,460,000</t>
  </si>
  <si>
    <t>2026/05/20 15:11:38</t>
  </si>
  <si>
    <t>24000189062</t>
  </si>
  <si>
    <t>2024/12/03 14:01</t>
  </si>
  <si>
    <t>10,562,000</t>
  </si>
  <si>
    <t>8,478,000</t>
  </si>
  <si>
    <t>2026/05/20 15:11:40</t>
  </si>
  <si>
    <t>24000189021</t>
  </si>
  <si>
    <t>2024/12/03 13:42</t>
  </si>
  <si>
    <t>2026/05/20 15:11:42</t>
  </si>
  <si>
    <t>総委重）右岸流域新河岸川北幹線二条化実施設計業務委託</t>
  </si>
  <si>
    <t>24200150125</t>
  </si>
  <si>
    <t>2024/11/29 14:30</t>
  </si>
  <si>
    <t>19,569,000</t>
  </si>
  <si>
    <t>15,715,000</t>
  </si>
  <si>
    <t>2026/05/20 15:11:44</t>
  </si>
  <si>
    <t>道路改築工事（大滝トンネル終点側法面設計業務委託）</t>
  </si>
  <si>
    <t>24000191768</t>
  </si>
  <si>
    <t>2024/11/29 13:31</t>
  </si>
  <si>
    <t>7,511,000</t>
  </si>
  <si>
    <t>6,037,000</t>
  </si>
  <si>
    <t>6,820,000</t>
  </si>
  <si>
    <t>2026/05/20 15:11:46</t>
  </si>
  <si>
    <t>４３４５路面性状調査業務委託（主要地方道その２）</t>
  </si>
  <si>
    <t>24000197414</t>
  </si>
  <si>
    <t>2024/11/29 13:26</t>
  </si>
  <si>
    <t>7,758,000</t>
  </si>
  <si>
    <t>6,133,000</t>
  </si>
  <si>
    <t>2026/05/20 15:11:49</t>
  </si>
  <si>
    <t>４３４４路面性状調査業務委託（主要地方道その１）</t>
  </si>
  <si>
    <t>24000197240</t>
  </si>
  <si>
    <t>2024/11/29 13:16</t>
  </si>
  <si>
    <t>6,634,000</t>
  </si>
  <si>
    <t>2026/05/20 15:11:51</t>
  </si>
  <si>
    <t>総委重）総合交付金（改築）工事（神扇橋詳細設計業務委託）</t>
  </si>
  <si>
    <t>24000156326</t>
  </si>
  <si>
    <t>2024/11/29 11:30</t>
  </si>
  <si>
    <t>25,204,000</t>
  </si>
  <si>
    <t>20,242,000</t>
  </si>
  <si>
    <t>2026/05/20 15:11:53</t>
  </si>
  <si>
    <t>４３０１橋りょう修繕工事（神吉橋修繕設計業務委託）</t>
  </si>
  <si>
    <t>24000185721</t>
  </si>
  <si>
    <t>2024/11/28 14:01</t>
  </si>
  <si>
    <t>5,270,000</t>
  </si>
  <si>
    <t>4,235,000</t>
  </si>
  <si>
    <t>2026/05/20 15:11:59</t>
  </si>
  <si>
    <t>４３００橋りょう修繕工事（豊橋修繕設計業務委託）</t>
  </si>
  <si>
    <t>24000185694</t>
  </si>
  <si>
    <t>2024/11/28 13:35</t>
  </si>
  <si>
    <t>7,075,000</t>
  </si>
  <si>
    <t>2026/05/20 15:12:01</t>
  </si>
  <si>
    <t>４２９１道路構造物維持工事（橋梁点検業務委託その３）</t>
  </si>
  <si>
    <t>24000177344</t>
  </si>
  <si>
    <t>2024/11/28 11:04</t>
  </si>
  <si>
    <t>15,103,000</t>
  </si>
  <si>
    <t>12,167,000</t>
  </si>
  <si>
    <t>2026/05/20 15:12:03</t>
  </si>
  <si>
    <t>４２９０橋りょう修繕工事（橋梁点検業務委託その２）</t>
  </si>
  <si>
    <t>24000177316</t>
  </si>
  <si>
    <t>2024/11/28 10:36</t>
  </si>
  <si>
    <t>17,435,000</t>
  </si>
  <si>
    <t>14,051,000</t>
  </si>
  <si>
    <t>2026/05/20 15:12:05</t>
  </si>
  <si>
    <t>24200150287</t>
  </si>
  <si>
    <t>2024/11/28 10:34</t>
  </si>
  <si>
    <t>2026/05/20 15:12:08</t>
  </si>
  <si>
    <t>４２８９橋りょう修繕工事（橋梁点検業務委託その１）</t>
  </si>
  <si>
    <t>24000177304</t>
  </si>
  <si>
    <t>2024/11/28 10:14</t>
  </si>
  <si>
    <t>17,839,000</t>
  </si>
  <si>
    <t>14,372,000</t>
  </si>
  <si>
    <t>2026/05/20 15:12:10</t>
  </si>
  <si>
    <t>道路改築工事（道路詳細設計業務委託）</t>
  </si>
  <si>
    <t>24000184292</t>
  </si>
  <si>
    <t>2024/11/28 09:58</t>
  </si>
  <si>
    <t>5,827,000</t>
  </si>
  <si>
    <t>4,684,000</t>
  </si>
  <si>
    <t>2026/05/20 15:12:12</t>
  </si>
  <si>
    <t>社資交付金（河川）工事（忍川・積算技術業務委託その５）</t>
  </si>
  <si>
    <t>24000184398</t>
  </si>
  <si>
    <t>2024/11/28 09:49</t>
  </si>
  <si>
    <t>12,141,000</t>
  </si>
  <si>
    <t>9,745,000</t>
  </si>
  <si>
    <t>2026/05/20 15:12:14</t>
  </si>
  <si>
    <t>右岸流域吉見中継ほか電気計装設備改築実施設計業務委託</t>
  </si>
  <si>
    <t>24200150285</t>
  </si>
  <si>
    <t>2024/11/28 09:33</t>
  </si>
  <si>
    <t>9,031,000</t>
  </si>
  <si>
    <t>10,980,000</t>
  </si>
  <si>
    <t>2026/05/20 15:12:16</t>
  </si>
  <si>
    <t>災害防除工事（三次元設計業務委託その１８）</t>
  </si>
  <si>
    <t>24000195457</t>
  </si>
  <si>
    <t>2024/11/27 13:56</t>
  </si>
  <si>
    <t>8,120,000</t>
  </si>
  <si>
    <t>2026/05/20 15:12:19</t>
  </si>
  <si>
    <t>災害防除工事（三次元設計業務委託その１７）</t>
  </si>
  <si>
    <t>24000195448</t>
  </si>
  <si>
    <t>2024/11/27 13:50</t>
  </si>
  <si>
    <t>8,132,000</t>
  </si>
  <si>
    <t>2026/05/20 15:12:24</t>
  </si>
  <si>
    <t>河川改修（水辺）工事（元荒川南荻島工区詳細設計業務委託）</t>
  </si>
  <si>
    <t>24000188585</t>
  </si>
  <si>
    <t>2024/11/27 13:47</t>
  </si>
  <si>
    <t>5,903,000</t>
  </si>
  <si>
    <t>2026/05/20 15:12:26</t>
  </si>
  <si>
    <t>災害防除工事（三次元設計業務委託その１６）</t>
  </si>
  <si>
    <t>24000195441</t>
  </si>
  <si>
    <t>2024/11/27 13:44</t>
  </si>
  <si>
    <t>8,130,000</t>
  </si>
  <si>
    <t>2026/05/20 15:12:29</t>
  </si>
  <si>
    <t>災害防除工事（三次元設計業務委託その１５）</t>
  </si>
  <si>
    <t>24000195434</t>
  </si>
  <si>
    <t>2024/11/27 13:37</t>
  </si>
  <si>
    <t>吉田測量設計株式会社 本店</t>
  </si>
  <si>
    <t>2026/05/20 15:12:31</t>
  </si>
  <si>
    <t>道路築造実施設計業務委託（Ｒ６－１）</t>
  </si>
  <si>
    <t>24000187731</t>
  </si>
  <si>
    <t>2024/11/27 13:33</t>
  </si>
  <si>
    <t>16,248,000</t>
  </si>
  <si>
    <t>12,982,000</t>
  </si>
  <si>
    <t>2026/05/20 15:12:33</t>
  </si>
  <si>
    <t>災害防除工事（三次元設計業務委託その１４）</t>
  </si>
  <si>
    <t>24000195428</t>
  </si>
  <si>
    <t>2024/11/27 13:23</t>
  </si>
  <si>
    <t>2026/05/20 15:12:35</t>
  </si>
  <si>
    <t>災害防除工事（三次元設計業務委託その１３）</t>
  </si>
  <si>
    <t>24000195385</t>
  </si>
  <si>
    <t>2024/11/27 13:17</t>
  </si>
  <si>
    <t>2026/05/20 15:12:37</t>
  </si>
  <si>
    <t>６上武秩父線ほか森林管理道トンネル点検業務委託</t>
  </si>
  <si>
    <t>24000192155</t>
  </si>
  <si>
    <t>2024/11/27 10:22</t>
  </si>
  <si>
    <t>17,370,000</t>
  </si>
  <si>
    <t>13,994,000</t>
  </si>
  <si>
    <t>13,995,000</t>
  </si>
  <si>
    <t>2026/05/20 15:12:40</t>
  </si>
  <si>
    <t>６太田部峠２号線森林管理道改良調査設計業務委託（大久保橋・権田橋補修）</t>
  </si>
  <si>
    <t>24000192098</t>
  </si>
  <si>
    <t>2024/11/27 10:00</t>
  </si>
  <si>
    <t>12,610,000</t>
  </si>
  <si>
    <t>10,036,000</t>
  </si>
  <si>
    <t>2026/05/20 15:12:42</t>
  </si>
  <si>
    <t>橋りょう修繕工事（大蔵平橋補修設計業務委託）</t>
  </si>
  <si>
    <t>24000173448</t>
  </si>
  <si>
    <t>2024/11/25 13:18</t>
  </si>
  <si>
    <t>6,652,000</t>
  </si>
  <si>
    <t>5,355,000</t>
  </si>
  <si>
    <t>2026/05/20 15:12:44</t>
  </si>
  <si>
    <t>道路改築工事（大滝トンネル工事監督支援業務委託その１０）</t>
  </si>
  <si>
    <t>24000186693</t>
  </si>
  <si>
    <t>2024/11/22 13:32</t>
  </si>
  <si>
    <t>7,864,000</t>
  </si>
  <si>
    <t>6,369,000</t>
  </si>
  <si>
    <t>7,300,000</t>
  </si>
  <si>
    <t>2026/05/20 15:12:50</t>
  </si>
  <si>
    <t>６川長設第１号長楽揚水機場保全計画更新業務委託</t>
  </si>
  <si>
    <t>24000197531</t>
  </si>
  <si>
    <t>2024/11/22 09:00</t>
  </si>
  <si>
    <t>780,000</t>
  </si>
  <si>
    <t>2026/05/20 15:12:52</t>
  </si>
  <si>
    <t>河川改修工事（水辺）（午の堀川・護岸詳細設計業務委託）</t>
  </si>
  <si>
    <t>24000185457</t>
  </si>
  <si>
    <t>2024/11/21 10:23</t>
  </si>
  <si>
    <t>3,897,000</t>
  </si>
  <si>
    <t>2026/05/20 15:12:54</t>
  </si>
  <si>
    <t>６金山志賀坂線森林管理道改良測量設計業務委託</t>
  </si>
  <si>
    <t>353</t>
  </si>
  <si>
    <t>2024/11/21 10:00</t>
  </si>
  <si>
    <t>3,311,000</t>
  </si>
  <si>
    <t>4,044,000</t>
  </si>
  <si>
    <t>2026/05/20 15:12:56</t>
  </si>
  <si>
    <t>道路改築工事（春日部菖蒲線・施工計画検討業務委託）</t>
  </si>
  <si>
    <t>24000187249</t>
  </si>
  <si>
    <t>7,648,000</t>
  </si>
  <si>
    <t>6,147,000</t>
  </si>
  <si>
    <t>2026/05/20 15:12:58</t>
  </si>
  <si>
    <t>24200150230</t>
  </si>
  <si>
    <t>2024/11/21 09:33</t>
  </si>
  <si>
    <t>2026/05/20 15:13:01</t>
  </si>
  <si>
    <t>社資（改築）工事（（仮称）猪鼻橋橋梁詳細設計業務委託）</t>
  </si>
  <si>
    <t>24000184122</t>
  </si>
  <si>
    <t>2024/11/20 14:06</t>
  </si>
  <si>
    <t>16,933,000</t>
  </si>
  <si>
    <t>13,600,000</t>
  </si>
  <si>
    <t>2026/05/20 15:13:03</t>
  </si>
  <si>
    <t>中川流域中央幹線チュウ１４～１５及びチュⅡ－１管渠改築実施設計業務委託</t>
  </si>
  <si>
    <t>24200150139</t>
  </si>
  <si>
    <t>2024/11/20 13:07</t>
  </si>
  <si>
    <t>18,068,000</t>
  </si>
  <si>
    <t>14,520,000</t>
  </si>
  <si>
    <t>2026/05/20 15:13:05</t>
  </si>
  <si>
    <t>南部流域鴨川幹線ほか路面下空洞化調査業務委託</t>
  </si>
  <si>
    <t>24200150165</t>
  </si>
  <si>
    <t>2024/11/19 13:35</t>
  </si>
  <si>
    <t>8,740,000</t>
  </si>
  <si>
    <t>2026/05/20 15:13:07</t>
  </si>
  <si>
    <t>河川改修工事（市野川特殊堤詳細設計業務委託（大串工区））</t>
  </si>
  <si>
    <t>24000185426</t>
  </si>
  <si>
    <t>2024/11/19 13:26</t>
  </si>
  <si>
    <t>6,950,000</t>
  </si>
  <si>
    <t>2026/05/20 15:13:09</t>
  </si>
  <si>
    <t>道路改築工事（荒川工区予備設計（Ｂ）業務委託）</t>
  </si>
  <si>
    <t>24000185462</t>
  </si>
  <si>
    <t>2024/11/19 13:20</t>
  </si>
  <si>
    <t>7,146,000</t>
  </si>
  <si>
    <t>5,744,000</t>
  </si>
  <si>
    <t>2026/05/20 15:13:15</t>
  </si>
  <si>
    <t>道路・河川維持管理支援システム運用業務委託</t>
  </si>
  <si>
    <t>24100149721</t>
  </si>
  <si>
    <t>2024/11/19 10:19</t>
  </si>
  <si>
    <t>11,761,000</t>
  </si>
  <si>
    <t>2026/05/20 15:13:17</t>
  </si>
  <si>
    <t>県立いずみ高校テニスコート実施設計業務委託</t>
  </si>
  <si>
    <t>0608</t>
  </si>
  <si>
    <t>2024/11/19 10:08</t>
  </si>
  <si>
    <t>6,479,000</t>
  </si>
  <si>
    <t>埼玉県 教育機関 いずみ高等学校</t>
  </si>
  <si>
    <t>2026/05/20 15:13:19</t>
  </si>
  <si>
    <t>緊急浚渫推進（砂防）工事（湯基入測量・設計業務委託）</t>
  </si>
  <si>
    <t>24000178647</t>
  </si>
  <si>
    <t>2024/11/18 13:25</t>
  </si>
  <si>
    <t>8,993,000</t>
  </si>
  <si>
    <t>7,129,000</t>
  </si>
  <si>
    <t>2026/05/20 15:13:21</t>
  </si>
  <si>
    <t>右岸流域新河岸川幹線ほか管渠補修調査設計業務委託</t>
  </si>
  <si>
    <t>24200150036</t>
  </si>
  <si>
    <t>2024/11/15 10:41</t>
  </si>
  <si>
    <t>17,345,000</t>
  </si>
  <si>
    <t>2026/05/20 15:13:24</t>
  </si>
  <si>
    <t>24000182266</t>
  </si>
  <si>
    <t>2024/11/14 14:36</t>
  </si>
  <si>
    <t>2,660,000</t>
  </si>
  <si>
    <t>2,104,000</t>
  </si>
  <si>
    <t>2026/05/20 15:13:26</t>
  </si>
  <si>
    <t>路面性状調査業務委託（一般県道その２）</t>
  </si>
  <si>
    <t>24000182337</t>
  </si>
  <si>
    <t>2024/11/14 13:51</t>
  </si>
  <si>
    <t>8,822,000</t>
  </si>
  <si>
    <t>6,990,000</t>
  </si>
  <si>
    <t>2026/05/20 15:13:28</t>
  </si>
  <si>
    <t>路面性状調査業務委託（一般県道その１）</t>
  </si>
  <si>
    <t>24000182321</t>
  </si>
  <si>
    <t>2024/11/14 13:42</t>
  </si>
  <si>
    <t>9,051,000</t>
  </si>
  <si>
    <t>7,175,000</t>
  </si>
  <si>
    <t>2026/05/20 15:13:30</t>
  </si>
  <si>
    <t>橋りょう補修工事（刀水橋排水施設詳細設計業務委託）４２４</t>
  </si>
  <si>
    <t>24000172855</t>
  </si>
  <si>
    <t>2024/11/14 13:07</t>
  </si>
  <si>
    <t>7,954,000</t>
  </si>
  <si>
    <t>6,390,000</t>
  </si>
  <si>
    <t>2026/05/20 15:13:32</t>
  </si>
  <si>
    <t>６常林治山測量設計業務委託</t>
  </si>
  <si>
    <t>24000179130</t>
  </si>
  <si>
    <t>2024/11/14 10:56</t>
  </si>
  <si>
    <t>4,524,000</t>
  </si>
  <si>
    <t>5,180,000</t>
  </si>
  <si>
    <t>2026/05/20 15:13:35</t>
  </si>
  <si>
    <t>６治山施設点検業務委託</t>
  </si>
  <si>
    <t>24000179968</t>
  </si>
  <si>
    <t>2024/11/14 10:29</t>
  </si>
  <si>
    <t>4,650,000</t>
  </si>
  <si>
    <t>3,741,000</t>
  </si>
  <si>
    <t>株式会社中野技術 本店</t>
  </si>
  <si>
    <t>3,817,000</t>
  </si>
  <si>
    <t>2026/05/20 15:13:40</t>
  </si>
  <si>
    <t>街路整備工事（電線共同溝予備設計業務委託）</t>
  </si>
  <si>
    <t>24000166198</t>
  </si>
  <si>
    <t>2024/11/14 09:38</t>
  </si>
  <si>
    <t>8,908,000</t>
  </si>
  <si>
    <t>7,157,000</t>
  </si>
  <si>
    <t>2026/05/20 15:13:42</t>
  </si>
  <si>
    <t>南部流域処理場ほか設備工事監督支援業務委託</t>
  </si>
  <si>
    <t>24200150055</t>
  </si>
  <si>
    <t>2024/11/12 13:31</t>
  </si>
  <si>
    <t>8,906,000</t>
  </si>
  <si>
    <t>7,209,000</t>
  </si>
  <si>
    <t>2026/05/20 15:13:45</t>
  </si>
  <si>
    <t>河管（東川地下河川点検）</t>
  </si>
  <si>
    <t>24000173580</t>
  </si>
  <si>
    <t>2024/11/11 13:38</t>
  </si>
  <si>
    <t>11,794,000</t>
  </si>
  <si>
    <t>9,471,000</t>
  </si>
  <si>
    <t>2026/05/20 15:13:47</t>
  </si>
  <si>
    <t>河川改修工事（笹目川流域治水方策検討業務委託）</t>
  </si>
  <si>
    <t>08A01000120241009</t>
  </si>
  <si>
    <t>2024/11/11 13:30</t>
  </si>
  <si>
    <t>26,225,000</t>
  </si>
  <si>
    <t>2026/05/20 15:13:49</t>
  </si>
  <si>
    <t>総委重）河改（入間川河川整備概略検討）</t>
  </si>
  <si>
    <t>24000169403</t>
  </si>
  <si>
    <t>2024/11/11 13:29</t>
  </si>
  <si>
    <t>18,162,000</t>
  </si>
  <si>
    <t>14,584,000</t>
  </si>
  <si>
    <t>2026/05/20 15:13:51</t>
  </si>
  <si>
    <t>交付金（河川）工事（Ｒ６積算技術業務委託その１０）</t>
  </si>
  <si>
    <t>24000166103</t>
  </si>
  <si>
    <t>2024/11/08 15:25</t>
  </si>
  <si>
    <t>8,407,000</t>
  </si>
  <si>
    <t>2026/05/20 15:13:53</t>
  </si>
  <si>
    <t>路面性状調査業務委託（一般国道その２）</t>
  </si>
  <si>
    <t>24100150084</t>
  </si>
  <si>
    <t>2024/11/08 14:31</t>
  </si>
  <si>
    <t>2026/05/20 15:13:56</t>
  </si>
  <si>
    <t>路面性状調査業務委託（一般国道その１）</t>
  </si>
  <si>
    <t>24100150083</t>
  </si>
  <si>
    <t>2024/11/08 14:26</t>
  </si>
  <si>
    <t>8,310,000</t>
  </si>
  <si>
    <t>6,577,000</t>
  </si>
  <si>
    <t>2026/05/20 15:13:58</t>
  </si>
  <si>
    <t>交付金（河川）工事（Ｒ６積算技術業務委託その９）</t>
  </si>
  <si>
    <t>24000166049</t>
  </si>
  <si>
    <t>2024/11/08 14:05</t>
  </si>
  <si>
    <t>2026/05/20 15:14:00</t>
  </si>
  <si>
    <t>４３１４橋りょう修繕工事（新座ＩＣ側道橋耐震設計業務委託）</t>
  </si>
  <si>
    <t>24000180214</t>
  </si>
  <si>
    <t>2024/11/08 13:53</t>
  </si>
  <si>
    <t>2026/05/20 15:14:06</t>
  </si>
  <si>
    <t>６鴻巣－２７号開発変更申請作成業務委託</t>
  </si>
  <si>
    <t>24100149902</t>
  </si>
  <si>
    <t>2024/11/08 09:30</t>
  </si>
  <si>
    <t>8,837,000</t>
  </si>
  <si>
    <t>7,093,000</t>
  </si>
  <si>
    <t>2026/05/20 15:14:08</t>
  </si>
  <si>
    <t>４２８６道路改築工事（田島工区外監督支援業務委託）</t>
  </si>
  <si>
    <t>24000169610</t>
  </si>
  <si>
    <t>2024/11/07 10:33</t>
  </si>
  <si>
    <t>7,639,000</t>
  </si>
  <si>
    <t>2026/05/20 15:14:10</t>
  </si>
  <si>
    <t>【取止め】中川流域中央幹線外管渠耐震診断業務委託（多層系）</t>
  </si>
  <si>
    <t>24200149552</t>
  </si>
  <si>
    <t>2024/11/06 13:52</t>
  </si>
  <si>
    <t>2026/05/20 15:14:12</t>
  </si>
  <si>
    <t>４３２３道路構造物維持工事（橋梁点検業務委託その２）</t>
  </si>
  <si>
    <t>24000165130</t>
  </si>
  <si>
    <t>2024/11/01 13:02</t>
  </si>
  <si>
    <t>17,854,000</t>
  </si>
  <si>
    <t>14,379,000</t>
  </si>
  <si>
    <t>2026/05/20 15:14:14</t>
  </si>
  <si>
    <t>古利根流域清久中継ポンプ場外耐震診断業務委託</t>
  </si>
  <si>
    <t>24200149875</t>
  </si>
  <si>
    <t>2024/11/01 10:05</t>
  </si>
  <si>
    <t>45,131,000</t>
  </si>
  <si>
    <t>36,231,000</t>
  </si>
  <si>
    <t>エス・テー・コンサルタント株式会社 埼玉営業所</t>
  </si>
  <si>
    <t>2026/05/20 15:14:16</t>
  </si>
  <si>
    <t>荒上流域荒川上流幹線人孔浮上診断設計業務委託</t>
  </si>
  <si>
    <t>24200149849</t>
  </si>
  <si>
    <t>2024/10/31 15:08</t>
  </si>
  <si>
    <t>6,895,000</t>
  </si>
  <si>
    <t>5,541,000</t>
  </si>
  <si>
    <t>2026/05/20 15:14:19</t>
  </si>
  <si>
    <t>交付金（河川）工事（Ｒ６積算技術業務委託その８）</t>
  </si>
  <si>
    <t>24000160244</t>
  </si>
  <si>
    <t>2024/10/31 15:04</t>
  </si>
  <si>
    <t>8,174,000</t>
  </si>
  <si>
    <t>2026/05/20 15:14:21</t>
  </si>
  <si>
    <t>北部流域桶川幹線外人孔浮上診断設計業務委託</t>
  </si>
  <si>
    <t>24200149850</t>
  </si>
  <si>
    <t>2024/10/31 14:49</t>
  </si>
  <si>
    <t>10,896,000</t>
  </si>
  <si>
    <t>2026/05/20 15:14:23</t>
  </si>
  <si>
    <t>交付金（河川）工事（Ｒ６積算技術業務委託その７）</t>
  </si>
  <si>
    <t>24000161095</t>
  </si>
  <si>
    <t>2024/10/31 14:38</t>
  </si>
  <si>
    <t>8,725,000</t>
  </si>
  <si>
    <t>2026/05/20 15:14:25</t>
  </si>
  <si>
    <t>交付金（河川）工事（Ｒ６積算技術業務委託その６）</t>
  </si>
  <si>
    <t>24000164437</t>
  </si>
  <si>
    <t>2024/10/31 14:07</t>
  </si>
  <si>
    <t>2026/05/20 15:14:31</t>
  </si>
  <si>
    <t>総委重）０２４水整第１０６号 所沢幹線送水管更新実施設計業務委託</t>
  </si>
  <si>
    <t>24100149429</t>
  </si>
  <si>
    <t>2024/10/31 13:30</t>
  </si>
  <si>
    <t>64,700,000</t>
  </si>
  <si>
    <t>52,410,000</t>
  </si>
  <si>
    <t>64,300,000</t>
  </si>
  <si>
    <t>2026/05/20 15:14:33</t>
  </si>
  <si>
    <t>社資交（河川）工事（福川堤防強化設計業務委託その２）６２４</t>
  </si>
  <si>
    <t>24000164197</t>
  </si>
  <si>
    <t>11,619,000</t>
  </si>
  <si>
    <t>9,336,000</t>
  </si>
  <si>
    <t>三陽技術コンサルタンツ株式会社 埼玉支店</t>
  </si>
  <si>
    <t>2026/05/20 15:14:35</t>
  </si>
  <si>
    <t>24100149775</t>
  </si>
  <si>
    <t>2024/10/31 13:24</t>
  </si>
  <si>
    <t>10,803,000</t>
  </si>
  <si>
    <t>8,684,000</t>
  </si>
  <si>
    <t>2026/05/20 15:14:37</t>
  </si>
  <si>
    <t>社資交（河川）工事（福川堤防強化設計業務委託その１）６２３</t>
  </si>
  <si>
    <t>24000164154</t>
  </si>
  <si>
    <t>2024/10/31 13:20</t>
  </si>
  <si>
    <t>12,559,000</t>
  </si>
  <si>
    <t>10,091,000</t>
  </si>
  <si>
    <t>2026/05/20 15:14:39</t>
  </si>
  <si>
    <t>河川改修工事（青毛堀川・鉄道橋交差区間河道計画検討業務委託）</t>
  </si>
  <si>
    <t>24000160920</t>
  </si>
  <si>
    <t>2024/10/31 11:27</t>
  </si>
  <si>
    <t>12,179,000</t>
  </si>
  <si>
    <t>9,782,000</t>
  </si>
  <si>
    <t>2026/05/20 15:14:42</t>
  </si>
  <si>
    <t>河川改修工事（忍川・樋管修正設計業務委託）</t>
  </si>
  <si>
    <t>24000156875</t>
  </si>
  <si>
    <t>2024/10/31 10:25</t>
  </si>
  <si>
    <t>6,703,000</t>
  </si>
  <si>
    <t>5,386,000</t>
  </si>
  <si>
    <t>2026/05/20 15:14:44</t>
  </si>
  <si>
    <t>河川改修工事（忍川・水理解析業務委託）</t>
  </si>
  <si>
    <t>24000161571</t>
  </si>
  <si>
    <t>2024/10/31 10:16</t>
  </si>
  <si>
    <t>14,023,000</t>
  </si>
  <si>
    <t>11,258,000</t>
  </si>
  <si>
    <t>2026/05/20 15:14:46</t>
  </si>
  <si>
    <t>社資交付金（河川）工事（忍川・積算技術業務委託その４）</t>
  </si>
  <si>
    <t>24000153124</t>
  </si>
  <si>
    <t>2024/10/31 09:52</t>
  </si>
  <si>
    <t>2026/05/20 15:14:48</t>
  </si>
  <si>
    <t>道路改築工事（三山工区道路概略設計業務委託）</t>
  </si>
  <si>
    <t>24000171823</t>
  </si>
  <si>
    <t>2024/10/30 13:58</t>
  </si>
  <si>
    <t>4,536,000</t>
  </si>
  <si>
    <t>3,647,000</t>
  </si>
  <si>
    <t>2026/05/20 15:14:50</t>
  </si>
  <si>
    <t>総委重）総合交付金（河川）工事（川面調節池詳細設計業務委託その１）</t>
  </si>
  <si>
    <t>24000120058</t>
  </si>
  <si>
    <t>2024/10/30 11:30</t>
  </si>
  <si>
    <t>44,999,000</t>
  </si>
  <si>
    <t>36,124,000</t>
  </si>
  <si>
    <t>2026/05/20 15:14:56</t>
  </si>
  <si>
    <t>総委重）河川改修（国庫）工事（上の池２，３詳細設計業務委託）</t>
  </si>
  <si>
    <t>24000121902</t>
  </si>
  <si>
    <t>2024/10/30 10:30</t>
  </si>
  <si>
    <t>51,374,000</t>
  </si>
  <si>
    <t>41,240,000</t>
  </si>
  <si>
    <t>2026/05/20 15:14:58</t>
  </si>
  <si>
    <t>４３１７道路構造物維持工事（無電柱化詳細設計業務委託）</t>
  </si>
  <si>
    <t>24000159637</t>
  </si>
  <si>
    <t>2024/10/25 13:03</t>
  </si>
  <si>
    <t>9,289,000</t>
  </si>
  <si>
    <t>7,465,000</t>
  </si>
  <si>
    <t>2026/05/20 15:15:00</t>
  </si>
  <si>
    <t>資源循環農場・公園設計業務委託（造成実施設計）</t>
  </si>
  <si>
    <t>24100149870</t>
  </si>
  <si>
    <t>2024/10/25 10:04</t>
  </si>
  <si>
    <t>8,986,000</t>
  </si>
  <si>
    <t>7,219,000</t>
  </si>
  <si>
    <t>2026/05/20 15:15:02</t>
  </si>
  <si>
    <t>６北管設第１号管水路実施設計業務委託</t>
  </si>
  <si>
    <t>24000158606</t>
  </si>
  <si>
    <t>2024/10/25 09:57</t>
  </si>
  <si>
    <t>5,090,000</t>
  </si>
  <si>
    <t>4,089,000</t>
  </si>
  <si>
    <t>4,800,000</t>
  </si>
  <si>
    <t>2026/05/20 15:15:05</t>
  </si>
  <si>
    <t>道路構造物維持工事（橋梁点検業務委託その７）３２７</t>
  </si>
  <si>
    <t>24000155023</t>
  </si>
  <si>
    <t>2024/10/24 13:32</t>
  </si>
  <si>
    <t>7,272,000</t>
  </si>
  <si>
    <t>5,847,000</t>
  </si>
  <si>
    <t>2026/05/20 15:15:07</t>
  </si>
  <si>
    <t>道路構造物維持工事（橋梁点検業務委託その６）３２６</t>
  </si>
  <si>
    <t>24000154764</t>
  </si>
  <si>
    <t>2024/10/24 13:28</t>
  </si>
  <si>
    <t>8,012,000</t>
  </si>
  <si>
    <t>6,442,000</t>
  </si>
  <si>
    <t>2026/05/20 15:15:09</t>
  </si>
  <si>
    <t>道路構造物維持工事（橋梁点検業務委託その５）３２５</t>
  </si>
  <si>
    <t>24000154690</t>
  </si>
  <si>
    <t>2024/10/24 13:22</t>
  </si>
  <si>
    <t>8,539,000</t>
  </si>
  <si>
    <t>2026/05/20 15:15:11</t>
  </si>
  <si>
    <t>バリアフリー安全対策工事（歩道修繕設計業務委託）</t>
  </si>
  <si>
    <t>24000154260</t>
  </si>
  <si>
    <t>2024/10/24 11:40</t>
  </si>
  <si>
    <t>4,311,000</t>
  </si>
  <si>
    <t>3,405,000</t>
  </si>
  <si>
    <t>3,586,000</t>
  </si>
  <si>
    <t>2026/05/20 15:15:13</t>
  </si>
  <si>
    <t>街路改良工事（電線共同溝詳細設計業務委託）</t>
  </si>
  <si>
    <t>24000154063</t>
  </si>
  <si>
    <t>2024/10/24 11:20</t>
  </si>
  <si>
    <t>15,013,000</t>
  </si>
  <si>
    <t>12,058,000</t>
  </si>
  <si>
    <t>2026/05/20 15:15:16</t>
  </si>
  <si>
    <t>６大山沢線森林管理道改良設計業務委託（しおじ橋補修）</t>
  </si>
  <si>
    <t>24000162488</t>
  </si>
  <si>
    <t>2024/10/24 10:02</t>
  </si>
  <si>
    <t>2026/05/20 15:15:21</t>
  </si>
  <si>
    <t>総合交付金（改築）工事（行田蓮田線・道路詳細設計業務委託）</t>
  </si>
  <si>
    <t>24000156459</t>
  </si>
  <si>
    <t>2024/10/24 09:21</t>
  </si>
  <si>
    <t>17,408,000</t>
  </si>
  <si>
    <t>13,984,000</t>
  </si>
  <si>
    <t>2026/05/20 15:15:23</t>
  </si>
  <si>
    <t>宅地造成及び特定盛土等規制法に係る既存盛土調査業務委託</t>
  </si>
  <si>
    <t>24000134268</t>
  </si>
  <si>
    <t>2024/10/23 13:08</t>
  </si>
  <si>
    <t>22,637,000</t>
  </si>
  <si>
    <t>18,168,000</t>
  </si>
  <si>
    <t>2026/05/20 15:15:26</t>
  </si>
  <si>
    <t>砂防施設工事（埼玉県砂防関係施設整備計画検討業務委託）</t>
  </si>
  <si>
    <t>24000153065</t>
  </si>
  <si>
    <t>2024/10/23 09:18</t>
  </si>
  <si>
    <t>2026/05/20 15:15:28</t>
  </si>
  <si>
    <t>24100149654</t>
  </si>
  <si>
    <t>2024/10/22 14:23</t>
  </si>
  <si>
    <t>8,298,000</t>
  </si>
  <si>
    <t>6,671,000</t>
  </si>
  <si>
    <t>2026/05/20 15:15:30</t>
  </si>
  <si>
    <t>24100149653</t>
  </si>
  <si>
    <t>2024/10/22 14:13</t>
  </si>
  <si>
    <t>8,458,000</t>
  </si>
  <si>
    <t>6,795,000</t>
  </si>
  <si>
    <t>株式会社東洋設計 埼玉支店</t>
  </si>
  <si>
    <t>2026/05/20 15:15:32</t>
  </si>
  <si>
    <t>24100149651</t>
  </si>
  <si>
    <t>2024/10/22 14:07</t>
  </si>
  <si>
    <t>8,548,000</t>
  </si>
  <si>
    <t>6,878,000</t>
  </si>
  <si>
    <t>2026/05/20 15:15:34</t>
  </si>
  <si>
    <t>24100149650</t>
  </si>
  <si>
    <t>2024/10/22 14:00</t>
  </si>
  <si>
    <t>8,791,000</t>
  </si>
  <si>
    <t>2026/05/20 15:15:37</t>
  </si>
  <si>
    <t>24100149649</t>
  </si>
  <si>
    <t>2024/10/22 13:49</t>
  </si>
  <si>
    <t>8,940,000</t>
  </si>
  <si>
    <t>7,191,000</t>
  </si>
  <si>
    <t>2026/05/20 15:15:39</t>
  </si>
  <si>
    <t>24100149647</t>
  </si>
  <si>
    <t>2024/10/22 13:30</t>
  </si>
  <si>
    <t>9,089,000</t>
  </si>
  <si>
    <t>7,306,000</t>
  </si>
  <si>
    <t>2026/05/20 15:15:41</t>
  </si>
  <si>
    <t>河川改修工事（境橋取付道路詳細設計業務委託）</t>
  </si>
  <si>
    <t>24000149776</t>
  </si>
  <si>
    <t>2024/10/22 13:23</t>
  </si>
  <si>
    <t>5,782,000</t>
  </si>
  <si>
    <t>4,648,000</t>
  </si>
  <si>
    <t>5,370,000</t>
  </si>
  <si>
    <t>2026/05/20 15:15:47</t>
  </si>
  <si>
    <t>交差点整備工事（道場橋東詰交差点交通量調査業務委託）</t>
  </si>
  <si>
    <t>24000159095</t>
  </si>
  <si>
    <t>2024/10/22 13:07</t>
  </si>
  <si>
    <t>2,805,000</t>
  </si>
  <si>
    <t>2,650,000</t>
  </si>
  <si>
    <t>2026/05/20 15:15:49</t>
  </si>
  <si>
    <t>総委重）河改（新河岸川流下能力検討業務委託）</t>
  </si>
  <si>
    <t>24000147859</t>
  </si>
  <si>
    <t>2024/10/21 14:40</t>
  </si>
  <si>
    <t>9,962,000</t>
  </si>
  <si>
    <t>8,005,000</t>
  </si>
  <si>
    <t>2026/05/20 15:15:51</t>
  </si>
  <si>
    <t>砂防（上ノ原団地地区法面調査）</t>
  </si>
  <si>
    <t>24000150643</t>
  </si>
  <si>
    <t>2024/10/21 14:02</t>
  </si>
  <si>
    <t>9,034,000</t>
  </si>
  <si>
    <t>2026/05/20 15:15:53</t>
  </si>
  <si>
    <t>砂防（根岸地区法面調査）</t>
  </si>
  <si>
    <t>24000150592</t>
  </si>
  <si>
    <t>2024/10/21 13:32</t>
  </si>
  <si>
    <t>17,075,000</t>
  </si>
  <si>
    <t>13,758,000</t>
  </si>
  <si>
    <t>2026/05/20 15:15:55</t>
  </si>
  <si>
    <t>南部流域処理場遠心脱水設備補機ポンプほか改築実施設計業務委託</t>
  </si>
  <si>
    <t>24200149698</t>
  </si>
  <si>
    <t>2024/10/18 14:05</t>
  </si>
  <si>
    <t>8,847,000</t>
  </si>
  <si>
    <t>10,800,000</t>
  </si>
  <si>
    <t>2026/05/20 15:15:58</t>
  </si>
  <si>
    <t>河川改修調査工事（許容放流量更新検討業務委託その２）</t>
  </si>
  <si>
    <t>24000147384</t>
  </si>
  <si>
    <t>2024/10/18 13:43</t>
  </si>
  <si>
    <t>6,985,000</t>
  </si>
  <si>
    <t>2026/05/20 15:16:00</t>
  </si>
  <si>
    <t>河川改修調査工事（許容放流量更新検討業務委託その１）</t>
  </si>
  <si>
    <t>24000147377</t>
  </si>
  <si>
    <t>2024/10/18 13:28</t>
  </si>
  <si>
    <t>8,862,000</t>
  </si>
  <si>
    <t>7,116,000</t>
  </si>
  <si>
    <t>2026/05/20 15:16:02</t>
  </si>
  <si>
    <t>河川維持修繕工事（備前堀川・設計業務委託）</t>
  </si>
  <si>
    <t>24100149719</t>
  </si>
  <si>
    <t>2024/10/18 10:00</t>
  </si>
  <si>
    <t>4,225,000</t>
  </si>
  <si>
    <t>3,397,000</t>
  </si>
  <si>
    <t>2026/05/20 15:16:04</t>
  </si>
  <si>
    <t>６弥設第１号ほ場整備基本計画策定業務委託</t>
  </si>
  <si>
    <t>24000159566</t>
  </si>
  <si>
    <t>2024/10/18 09:32</t>
  </si>
  <si>
    <t>8,010,000</t>
  </si>
  <si>
    <t>6,431,000</t>
  </si>
  <si>
    <t>7,700,000</t>
  </si>
  <si>
    <t>2026/05/20 15:16:06</t>
  </si>
  <si>
    <t>橋りょう修繕工事（新根金橋（下り）耐震補強仮設修正設計業務委託）</t>
  </si>
  <si>
    <t>24000155460</t>
  </si>
  <si>
    <t>6,638,000</t>
  </si>
  <si>
    <t>5,334,000</t>
  </si>
  <si>
    <t>2026/05/20 15:16:12</t>
  </si>
  <si>
    <t>南部流域処理場雨水沈殿池等耐水化対策詳細設計業務委託</t>
  </si>
  <si>
    <t>24200149676</t>
  </si>
  <si>
    <t>2024/10/17 13:49</t>
  </si>
  <si>
    <t>16,047,000</t>
  </si>
  <si>
    <t>12,887,000</t>
  </si>
  <si>
    <t>2026/05/20 15:16:14</t>
  </si>
  <si>
    <t>積算技術業務委託（Ｒ６－１）</t>
  </si>
  <si>
    <t>24000148677</t>
  </si>
  <si>
    <t>2024/10/17 13:42</t>
  </si>
  <si>
    <t>11,401,000</t>
  </si>
  <si>
    <t>9,151,000</t>
  </si>
  <si>
    <t>2026/05/20 15:16:16</t>
  </si>
  <si>
    <t>古利根流域栗橋・大利根幹線外流量計撤去実施設計業務委託</t>
  </si>
  <si>
    <t>24200149623</t>
  </si>
  <si>
    <t>2024/10/17 13:41</t>
  </si>
  <si>
    <t>11,400,000</t>
  </si>
  <si>
    <t>9,167,000</t>
  </si>
  <si>
    <t>2026/05/20 15:16:19</t>
  </si>
  <si>
    <t>24000138736</t>
  </si>
  <si>
    <t>2024/10/17 11:20</t>
  </si>
  <si>
    <t>2026/05/20 15:16:21</t>
  </si>
  <si>
    <t>24000138640</t>
  </si>
  <si>
    <t>2024/10/17 11:01</t>
  </si>
  <si>
    <t>2026/05/20 15:16:23</t>
  </si>
  <si>
    <t>６有馬線森林管理道改良測量設計業務委託</t>
  </si>
  <si>
    <t>24000152227</t>
  </si>
  <si>
    <t>2024/10/17 10:22</t>
  </si>
  <si>
    <t>3,520,000</t>
  </si>
  <si>
    <t>2,824,000</t>
  </si>
  <si>
    <t>3,230,000</t>
  </si>
  <si>
    <t>2026/05/20 15:16:25</t>
  </si>
  <si>
    <t>６西名栗線（山中工区）森林管理道開設調査測量設計業務委託</t>
  </si>
  <si>
    <t>24000152214</t>
  </si>
  <si>
    <t>2024/10/17 10:03</t>
  </si>
  <si>
    <t>3,340,000</t>
  </si>
  <si>
    <t>3,080,000</t>
  </si>
  <si>
    <t>2026/05/20 15:16:27</t>
  </si>
  <si>
    <t>道路網構想推進業務委託（道路ネットワークの防災機能分析業務）</t>
  </si>
  <si>
    <t>24000151983</t>
  </si>
  <si>
    <t>2024/10/17 10:01</t>
  </si>
  <si>
    <t>10,153,000</t>
  </si>
  <si>
    <t>8,150,000</t>
  </si>
  <si>
    <t>株式会社建設環境研究所 さいたま事務所</t>
  </si>
  <si>
    <t>2026/05/20 15:16:30</t>
  </si>
  <si>
    <t>道路改築工事（付替市道測量設計業務委託）</t>
  </si>
  <si>
    <t>24000138682</t>
  </si>
  <si>
    <t>2024/10/16 13:35</t>
  </si>
  <si>
    <t>3,123,000</t>
  </si>
  <si>
    <t>2,475,000</t>
  </si>
  <si>
    <t>2,890,000</t>
  </si>
  <si>
    <t>2026/05/20 15:16:32</t>
  </si>
  <si>
    <t>道路改築工事（二ノ瀬橋側道橋架設工検討業務委託）</t>
  </si>
  <si>
    <t>24000146286</t>
  </si>
  <si>
    <t>2024/10/16 13:27</t>
  </si>
  <si>
    <t>5,908,000</t>
  </si>
  <si>
    <t>4,748,000</t>
  </si>
  <si>
    <t>2026/05/20 15:16:37</t>
  </si>
  <si>
    <t>河川改修工事（境橋詳細設計業務委託）</t>
  </si>
  <si>
    <t>24000144001</t>
  </si>
  <si>
    <t>2024/10/16 13:14</t>
  </si>
  <si>
    <t>17,907,000</t>
  </si>
  <si>
    <t>14,382,000</t>
  </si>
  <si>
    <t>2026/05/20 15:16:40</t>
  </si>
  <si>
    <t>24100149625</t>
  </si>
  <si>
    <t>2024/10/16 10:07</t>
  </si>
  <si>
    <t>12,040,000</t>
  </si>
  <si>
    <t>2026/05/20 15:16:42</t>
  </si>
  <si>
    <t>６落合治山測量設計業務委託</t>
  </si>
  <si>
    <t>24000146356</t>
  </si>
  <si>
    <t>2024/10/15 10:15</t>
  </si>
  <si>
    <t>5,780,000</t>
  </si>
  <si>
    <t>4,625,000</t>
  </si>
  <si>
    <t>5,500,000</t>
  </si>
  <si>
    <t>2026/05/20 15:16:44</t>
  </si>
  <si>
    <t>保留地販売検討業務委託（Ｒ６－１）</t>
  </si>
  <si>
    <t>24000150786</t>
  </si>
  <si>
    <t>2024/10/11 14:55</t>
  </si>
  <si>
    <t>8,747,000</t>
  </si>
  <si>
    <t>7,022,000</t>
  </si>
  <si>
    <t>7,226,000</t>
  </si>
  <si>
    <t>2026/05/20 15:16:46</t>
  </si>
  <si>
    <t>総委重）河川改修（水辺）工事（鴨川低水護岸設計業務委託その４）</t>
  </si>
  <si>
    <t>24100149540</t>
  </si>
  <si>
    <t>2024/10/11 13:20</t>
  </si>
  <si>
    <t>13,338,000</t>
  </si>
  <si>
    <t>10,716,000</t>
  </si>
  <si>
    <t>2026/05/20 15:16:48</t>
  </si>
  <si>
    <t>０２４柿改第３０８号 柿木浄水場給水貯槽等更新実施設計業務委託</t>
  </si>
  <si>
    <t>24100149558</t>
  </si>
  <si>
    <t>2024/10/11 13:01</t>
  </si>
  <si>
    <t>9,620,000</t>
  </si>
  <si>
    <t>7,731,000</t>
  </si>
  <si>
    <t>埼玉県 企業局 新三郷浄水場</t>
  </si>
  <si>
    <t>株式会社親水コンサルタント 埼玉事務所</t>
  </si>
  <si>
    <t>2026/05/20 15:16:50</t>
  </si>
  <si>
    <t>道路改築工事（交通量調査業務委託）１２３</t>
  </si>
  <si>
    <t>24100149545</t>
  </si>
  <si>
    <t>2024/10/10 13:22</t>
  </si>
  <si>
    <t>3,504,000</t>
  </si>
  <si>
    <t>2,732,000</t>
  </si>
  <si>
    <t>3,300,000</t>
  </si>
  <si>
    <t>2026/05/20 15:16:53</t>
  </si>
  <si>
    <t>道路改築工事（上之南交差点平面交差詳細設計業務委託）００４</t>
  </si>
  <si>
    <t>24000144575</t>
  </si>
  <si>
    <t>2024/10/10 13:11</t>
  </si>
  <si>
    <t>6,145,000</t>
  </si>
  <si>
    <t>4,877,000</t>
  </si>
  <si>
    <t>5,710,000</t>
  </si>
  <si>
    <t>2026/05/20 15:16:55</t>
  </si>
  <si>
    <t>右岸流域処理場（和光）防食調査設計業務委託</t>
  </si>
  <si>
    <t>24200149566</t>
  </si>
  <si>
    <t>2024/10/10 10:06</t>
  </si>
  <si>
    <t>15,219,000</t>
  </si>
  <si>
    <t>12,128,000</t>
  </si>
  <si>
    <t>12,439,000</t>
  </si>
  <si>
    <t>2026/05/20 15:16:57</t>
  </si>
  <si>
    <t>24000145459</t>
  </si>
  <si>
    <t>2024/10/10 09:56</t>
  </si>
  <si>
    <t>11,808,000</t>
  </si>
  <si>
    <t>9,496,000</t>
  </si>
  <si>
    <t>2026/05/20 15:17:03</t>
  </si>
  <si>
    <t>総委重）道路構造物維持工事（橋梁点検業務委託その３）</t>
  </si>
  <si>
    <t>24000136765</t>
  </si>
  <si>
    <t>2024/10/10 09:52</t>
  </si>
  <si>
    <t>12,306,000</t>
  </si>
  <si>
    <t>9,904,000</t>
  </si>
  <si>
    <t>2026/05/20 15:17:05</t>
  </si>
  <si>
    <t>総委重）道路構造物維持工事（橋梁点検業務委託その２）</t>
  </si>
  <si>
    <t>24000136758</t>
  </si>
  <si>
    <t>2024/10/10 09:48</t>
  </si>
  <si>
    <t>17,029,000</t>
  </si>
  <si>
    <t>13,707,000</t>
  </si>
  <si>
    <t>2026/05/20 15:17:07</t>
  </si>
  <si>
    <t>６さい中設第３号暗渠排水等実施設計業務委託</t>
  </si>
  <si>
    <t>24000154507</t>
  </si>
  <si>
    <t>2024/10/10 09:34</t>
  </si>
  <si>
    <t>6,970,000</t>
  </si>
  <si>
    <t>5,605,000</t>
  </si>
  <si>
    <t>2026/05/20 15:17:09</t>
  </si>
  <si>
    <t>24000145470</t>
  </si>
  <si>
    <t>2024/10/10 09:25</t>
  </si>
  <si>
    <t>12,181,000</t>
  </si>
  <si>
    <t>9,786,000</t>
  </si>
  <si>
    <t>2026/05/20 15:17:11</t>
  </si>
  <si>
    <t>中川流域中央幹線チュウ４０人孔外浮上防止対策実施設計業務委託</t>
  </si>
  <si>
    <t>24200149480</t>
  </si>
  <si>
    <t>2024/10/09 16:00</t>
  </si>
  <si>
    <t>14,324,000</t>
  </si>
  <si>
    <t>11,504,000</t>
  </si>
  <si>
    <t>2026/05/20 15:17:13</t>
  </si>
  <si>
    <t>中川流域中川幹線ナカ２人孔外浮上防止対策実施設計業務委託</t>
  </si>
  <si>
    <t>24200149478</t>
  </si>
  <si>
    <t>2024/10/09 15:00</t>
  </si>
  <si>
    <t>16,010,000</t>
  </si>
  <si>
    <t>12,858,000</t>
  </si>
  <si>
    <t>2026/05/20 15:17:16</t>
  </si>
  <si>
    <t>中川流域川口幹線カワ９人孔外浮上防止対策実施設計業務委託</t>
  </si>
  <si>
    <t>24200149477</t>
  </si>
  <si>
    <t>2024/10/09 14:03</t>
  </si>
  <si>
    <t>16,335,000</t>
  </si>
  <si>
    <t>13,119,000</t>
  </si>
  <si>
    <t>2026/05/20 15:17:18</t>
  </si>
  <si>
    <t>総委重）街路整備工事（電線共同溝・道路詳細設計業務委託）</t>
  </si>
  <si>
    <t>24000094819</t>
  </si>
  <si>
    <t>2024/10/09 13:30</t>
  </si>
  <si>
    <t>29,035,000</t>
  </si>
  <si>
    <t>23,319,000</t>
  </si>
  <si>
    <t>2026/05/20 15:17:20</t>
  </si>
  <si>
    <t>中川流域中央幹線チュウ２４人孔外浮上防止対策実施設計業務委託</t>
  </si>
  <si>
    <t>24200149476</t>
  </si>
  <si>
    <t>2024/10/09 13:07</t>
  </si>
  <si>
    <t>16,662,000</t>
  </si>
  <si>
    <t>13,381,000</t>
  </si>
  <si>
    <t>2026/05/20 15:17:22</t>
  </si>
  <si>
    <t>市野川流域嵐山幹線外人孔浮上診断設計業務委託</t>
  </si>
  <si>
    <t>24200149555</t>
  </si>
  <si>
    <t>2024/10/08 15:43</t>
  </si>
  <si>
    <t>9,651,000</t>
  </si>
  <si>
    <t>7,753,000</t>
  </si>
  <si>
    <t>2026/05/20 15:17:28</t>
  </si>
  <si>
    <t>古利根流域菖蒲第１幹線人孔浮上診断設計業務委託その２</t>
  </si>
  <si>
    <t>24200149554</t>
  </si>
  <si>
    <t>2024/10/08 15:38</t>
  </si>
  <si>
    <t>12,478,000</t>
  </si>
  <si>
    <t>10,023,000</t>
  </si>
  <si>
    <t>2026/05/20 15:17:30</t>
  </si>
  <si>
    <t>街整（所沢村山修正設計）</t>
  </si>
  <si>
    <t>24000143910</t>
  </si>
  <si>
    <t>2024/10/08 13:58</t>
  </si>
  <si>
    <t>11,254,000</t>
  </si>
  <si>
    <t>9,040,000</t>
  </si>
  <si>
    <t>2026/05/20 15:17:32</t>
  </si>
  <si>
    <t>古利根流域菖蒲第１幹線人孔浮上診断設計業務委託その１</t>
  </si>
  <si>
    <t>24200149553</t>
  </si>
  <si>
    <t>2024/10/08 13:35</t>
  </si>
  <si>
    <t>12,872,000</t>
  </si>
  <si>
    <t>10,339,000</t>
  </si>
  <si>
    <t>2026/05/20 15:17:34</t>
  </si>
  <si>
    <t>緊急浚渫推進（砂防）工事（龍ヶ谷川測量・設計業務委託）</t>
  </si>
  <si>
    <t>24000136174</t>
  </si>
  <si>
    <t>2024/10/08 13:32</t>
  </si>
  <si>
    <t>7,207,000</t>
  </si>
  <si>
    <t>5,723,000</t>
  </si>
  <si>
    <t>2026/05/20 15:17:37</t>
  </si>
  <si>
    <t>０２４水整第１５８号 用地整備実施設計業務委託</t>
  </si>
  <si>
    <t>24100149519</t>
  </si>
  <si>
    <t>2024/10/04 13:03</t>
  </si>
  <si>
    <t>5,105,000</t>
  </si>
  <si>
    <t>5,109,000</t>
  </si>
  <si>
    <t>2026/05/20 15:17:39</t>
  </si>
  <si>
    <t>中川流域三郷幹線ミサ３人孔外横ずれ防止対策実施設計業務委託</t>
  </si>
  <si>
    <t>24200149415</t>
  </si>
  <si>
    <t>2024/10/03 13:19</t>
  </si>
  <si>
    <t>9,851,000</t>
  </si>
  <si>
    <t>2026/05/20 15:17:41</t>
  </si>
  <si>
    <t>災害防除工事（寄居トンネル外定期点検業務委託）４６０</t>
  </si>
  <si>
    <t>24100149471</t>
  </si>
  <si>
    <t>2024/10/03 13:17</t>
  </si>
  <si>
    <t>11,186,000</t>
  </si>
  <si>
    <t>2026/05/20 15:17:43</t>
  </si>
  <si>
    <t>24000136334</t>
  </si>
  <si>
    <t>2024/10/03 13:11</t>
  </si>
  <si>
    <t>908,000</t>
  </si>
  <si>
    <t>2026/05/20 15:17:45</t>
  </si>
  <si>
    <t>０２４水整第１５７号 吉見浄水場拡張用地土壌処分計画作成等業務委託</t>
  </si>
  <si>
    <t>24100149440</t>
  </si>
  <si>
    <t>2024/10/03 13:01</t>
  </si>
  <si>
    <t>5,478,000</t>
  </si>
  <si>
    <t>4,399,000</t>
  </si>
  <si>
    <t>2026/05/20 15:17:47</t>
  </si>
  <si>
    <t>令和6年度流域下水道施設資産評価業務委託</t>
  </si>
  <si>
    <t>20240905</t>
  </si>
  <si>
    <t>2024/10/03 11:01</t>
  </si>
  <si>
    <t>19,000,000</t>
  </si>
  <si>
    <t>2026/05/20 15:17:53</t>
  </si>
  <si>
    <t>実施計画書（変更）・事業計画書（変更）作成業務委託</t>
  </si>
  <si>
    <t>24000139391</t>
  </si>
  <si>
    <t>2024/10/01 14:09</t>
  </si>
  <si>
    <t>7,176,000</t>
  </si>
  <si>
    <t>2026/05/20 15:17:55</t>
  </si>
  <si>
    <t>社資（砂防）工事（埼玉県土砂災害警戒情報システムクラウド移行業務委託）</t>
  </si>
  <si>
    <t>24100149535</t>
  </si>
  <si>
    <t>2024/10/01 13:33</t>
  </si>
  <si>
    <t>17,750,000</t>
  </si>
  <si>
    <t>2026/05/20 15:17:57</t>
  </si>
  <si>
    <t>橋架換（新琵琶橋道路詳細設計業務委託）</t>
  </si>
  <si>
    <t>24000130372</t>
  </si>
  <si>
    <t>2024/10/01 13:23</t>
  </si>
  <si>
    <t>11,588,000</t>
  </si>
  <si>
    <t>9,311,000</t>
  </si>
  <si>
    <t>株式会社ダイヤシティプランニング 本店</t>
  </si>
  <si>
    <t>10,200,000</t>
  </si>
  <si>
    <t>2026/05/20 15:18:00</t>
  </si>
  <si>
    <t>４２２６道路改築事業工事（JR武蔵野線高架下橋りょう詳細設計業務委託）</t>
  </si>
  <si>
    <t>24000141292</t>
  </si>
  <si>
    <t>2024/09/30 13:26</t>
  </si>
  <si>
    <t>8,388,000</t>
  </si>
  <si>
    <t>6,739,000</t>
  </si>
  <si>
    <t>2026/05/20 15:18:02</t>
  </si>
  <si>
    <t>４２２７道路改築事業工事（衝突防止柵工設計業務委託）</t>
  </si>
  <si>
    <t>24000141231</t>
  </si>
  <si>
    <t>2024/09/30 13:13</t>
  </si>
  <si>
    <t>9,333,000</t>
  </si>
  <si>
    <t>2026/05/20 15:18:04</t>
  </si>
  <si>
    <t>６荒中設第１号末端畑地かんがい整備手法検討業務委託</t>
  </si>
  <si>
    <t>24000140420</t>
  </si>
  <si>
    <t>2024/09/30 09:06</t>
  </si>
  <si>
    <t>6,060,000</t>
  </si>
  <si>
    <t>5,039,000</t>
  </si>
  <si>
    <t>5,750,000</t>
  </si>
  <si>
    <t>2026/05/20 15:18:06</t>
  </si>
  <si>
    <t>工事監督支援業務委託（Ｒ６ 後期）</t>
  </si>
  <si>
    <t>24000129786</t>
  </si>
  <si>
    <t>2024/09/27 13:40</t>
  </si>
  <si>
    <t>11,434,000</t>
  </si>
  <si>
    <t>2026/05/20 15:18:08</t>
  </si>
  <si>
    <t>道路環境整備工事（神根トンネル設備修繕設計業務委託）</t>
  </si>
  <si>
    <t>24000139466</t>
  </si>
  <si>
    <t>2024/09/27 13:10</t>
  </si>
  <si>
    <t>7,597,000</t>
  </si>
  <si>
    <t>6,104,000</t>
  </si>
  <si>
    <t>2026/05/20 15:18:11</t>
  </si>
  <si>
    <t>６浦島治山測量設計業務委託</t>
  </si>
  <si>
    <t>24000133089</t>
  </si>
  <si>
    <t>2024/09/27 10:16</t>
  </si>
  <si>
    <t>3,120,000</t>
  </si>
  <si>
    <t>2,492,000</t>
  </si>
  <si>
    <t>2,940,000</t>
  </si>
  <si>
    <t>2026/05/20 15:18:13</t>
  </si>
  <si>
    <t>災害防除工事（４災１０号斜面安定工詳細設計業務委託）</t>
  </si>
  <si>
    <t>24100149460</t>
  </si>
  <si>
    <t>2024/09/26 13:52</t>
  </si>
  <si>
    <t>4,565,000</t>
  </si>
  <si>
    <t>2026/05/20 15:18:19</t>
  </si>
  <si>
    <t>砂防施設工事（大棚川測量設計業務委託）</t>
  </si>
  <si>
    <t>24000140297</t>
  </si>
  <si>
    <t>2024/09/26 13:35</t>
  </si>
  <si>
    <t>8,358,000</t>
  </si>
  <si>
    <t>6,648,000</t>
  </si>
  <si>
    <t>7,780,000</t>
  </si>
  <si>
    <t>2026/05/20 15:18:21</t>
  </si>
  <si>
    <t>河川改修事業（水辺）工事（積算技術業務委託）６１９</t>
  </si>
  <si>
    <t>24000130980</t>
  </si>
  <si>
    <t>2024/09/26 13:30</t>
  </si>
  <si>
    <t>5,445,000</t>
  </si>
  <si>
    <t>4,372,000</t>
  </si>
  <si>
    <t>2026/05/20 15:18:23</t>
  </si>
  <si>
    <t>道路改築工事（千束工区詳細設計業務委託）</t>
  </si>
  <si>
    <t>24000134269</t>
  </si>
  <si>
    <t>2024/09/26 13:24</t>
  </si>
  <si>
    <t>9,841,000</t>
  </si>
  <si>
    <t>7,908,000</t>
  </si>
  <si>
    <t>2026/05/20 15:18:25</t>
  </si>
  <si>
    <t>社会資本整備総合交付金（改築）工事（排水路詳細設計業務委託）</t>
  </si>
  <si>
    <t>24000133574</t>
  </si>
  <si>
    <t>2024/09/26 10:40</t>
  </si>
  <si>
    <t>6,772,000</t>
  </si>
  <si>
    <t>5,443,000</t>
  </si>
  <si>
    <t>6,433,000</t>
  </si>
  <si>
    <t>2026/05/20 15:18:27</t>
  </si>
  <si>
    <t>６北河設第１号用水路整備基本計画策定業務委託</t>
  </si>
  <si>
    <t>24000139349</t>
  </si>
  <si>
    <t>2024/09/26 10:15</t>
  </si>
  <si>
    <t>5,260,000</t>
  </si>
  <si>
    <t>4,223,000</t>
  </si>
  <si>
    <t>2026/05/20 15:18:29</t>
  </si>
  <si>
    <t>令和６年度 換地関連現場技術業務委託その２</t>
  </si>
  <si>
    <t>24000125522</t>
  </si>
  <si>
    <t>2024/09/25 13:35</t>
  </si>
  <si>
    <t>7,292,000</t>
  </si>
  <si>
    <t>2026/05/20 15:18:32</t>
  </si>
  <si>
    <t>道路構造物維持工事（横断歩道橋点検業務委託その３）</t>
  </si>
  <si>
    <t>24100149375</t>
  </si>
  <si>
    <t>2024/09/25 13:22</t>
  </si>
  <si>
    <t>13,157,000</t>
  </si>
  <si>
    <t>2026/05/20 15:18:34</t>
  </si>
  <si>
    <t>道路構造物維持工事（横断歩道橋点検業務委託その２）</t>
  </si>
  <si>
    <t>24100149374</t>
  </si>
  <si>
    <t>2024/09/25 13:14</t>
  </si>
  <si>
    <t>14,250,000</t>
  </si>
  <si>
    <t>11,465,000</t>
  </si>
  <si>
    <t>2026/05/20 15:18:36</t>
  </si>
  <si>
    <t>道路構造物維持工事（横断歩道橋点検業務委託その１）</t>
  </si>
  <si>
    <t>24100149372</t>
  </si>
  <si>
    <t>2024/09/25 13:06</t>
  </si>
  <si>
    <t>14,555,000</t>
  </si>
  <si>
    <t>11,711,000</t>
  </si>
  <si>
    <t>2026/05/20 15:18:38</t>
  </si>
  <si>
    <t>総委重）社資（河川）工事（戸井橋詳細設計業務委託）</t>
  </si>
  <si>
    <t>24100149267</t>
  </si>
  <si>
    <t>2024/09/24 14:30</t>
  </si>
  <si>
    <t>73,217,000</t>
  </si>
  <si>
    <t>58,782,000</t>
  </si>
  <si>
    <t>58,850,000</t>
  </si>
  <si>
    <t>2026/05/20 15:18:44</t>
  </si>
  <si>
    <t>道路改築工事（調整池修正設計業務委託）</t>
  </si>
  <si>
    <t>24000111254</t>
  </si>
  <si>
    <t>2024/09/24 13:40</t>
  </si>
  <si>
    <t>10,354,000</t>
  </si>
  <si>
    <t>2026/05/20 15:18:46</t>
  </si>
  <si>
    <t>４５０５河川改修工事（新河岸川護岸修正設計業務委託）</t>
  </si>
  <si>
    <t>24100149411</t>
  </si>
  <si>
    <t>2024/09/20 14:17</t>
  </si>
  <si>
    <t>7,259,000</t>
  </si>
  <si>
    <t>5,834,000</t>
  </si>
  <si>
    <t>2026/05/20 15:18:48</t>
  </si>
  <si>
    <t>４５０４河川改修工事（白子川整備検討業務委託）</t>
  </si>
  <si>
    <t>24100149410</t>
  </si>
  <si>
    <t>2024/09/20 14:08</t>
  </si>
  <si>
    <t>7,255,000</t>
  </si>
  <si>
    <t>2026/05/20 15:18:50</t>
  </si>
  <si>
    <t>６久喜－２０号 工事監督支援その２業務委託</t>
  </si>
  <si>
    <t>24100149388</t>
  </si>
  <si>
    <t>2024/09/20 13:04</t>
  </si>
  <si>
    <t>11,803,000</t>
  </si>
  <si>
    <t>9,559,000</t>
  </si>
  <si>
    <t>9,583,000</t>
  </si>
  <si>
    <t>2026/05/20 15:18:52</t>
  </si>
  <si>
    <t>24000130304</t>
  </si>
  <si>
    <t>2024/09/20 09:02</t>
  </si>
  <si>
    <t>11,496,000</t>
  </si>
  <si>
    <t>9,306,000</t>
  </si>
  <si>
    <t>2026/05/20 15:18:55</t>
  </si>
  <si>
    <t>道路構造物維持工事（橋梁点検業務委託その４）３２４</t>
  </si>
  <si>
    <t>24000121453</t>
  </si>
  <si>
    <t>2024/09/19 13:35</t>
  </si>
  <si>
    <t>10,589,000</t>
  </si>
  <si>
    <t>8,519,000</t>
  </si>
  <si>
    <t>2026/05/20 15:18:57</t>
  </si>
  <si>
    <t>道路構造物維持工事（橋梁点検業務委託その３）３２３</t>
  </si>
  <si>
    <t>24000121430</t>
  </si>
  <si>
    <t>2024/09/19 13:29</t>
  </si>
  <si>
    <t>11,231,000</t>
  </si>
  <si>
    <t>2026/05/20 15:18:59</t>
  </si>
  <si>
    <t>道路構造物維持工事（橋梁点検業務委託その２）３２２</t>
  </si>
  <si>
    <t>24000121415</t>
  </si>
  <si>
    <t>2024/09/19 13:19</t>
  </si>
  <si>
    <t>9,121,000</t>
  </si>
  <si>
    <t>2026/05/20 15:19:01</t>
  </si>
  <si>
    <t>道路構造物維持工事（橋梁点検業務委託その１）３２１</t>
  </si>
  <si>
    <t>24000121379</t>
  </si>
  <si>
    <t>2024/09/19 13:04</t>
  </si>
  <si>
    <t>9,468,000</t>
  </si>
  <si>
    <t>2026/05/20 15:19:03</t>
  </si>
  <si>
    <t>公園等建設工事（災害関連園地改修設計業務委託）</t>
  </si>
  <si>
    <t>24000129805</t>
  </si>
  <si>
    <t>2024/09/19 09:40</t>
  </si>
  <si>
    <t>15,999,000</t>
  </si>
  <si>
    <t>12,849,000</t>
  </si>
  <si>
    <t>2026/05/20 15:19:09</t>
  </si>
  <si>
    <t>砂防施設事業工事（金崎工区地すべり防止施設点検業務委託その１）</t>
  </si>
  <si>
    <t>24100149333</t>
  </si>
  <si>
    <t>2024/09/18 14:04</t>
  </si>
  <si>
    <t>12,147,000</t>
  </si>
  <si>
    <t>9,774,000</t>
  </si>
  <si>
    <t>2026/05/20 15:19:11</t>
  </si>
  <si>
    <t>６八徳治山測量設計業務委託</t>
  </si>
  <si>
    <t>24000128701</t>
  </si>
  <si>
    <t>2024/09/18 14:00</t>
  </si>
  <si>
    <t>12,110,000</t>
  </si>
  <si>
    <t>9,673,000</t>
  </si>
  <si>
    <t>2026/05/20 15:19:13</t>
  </si>
  <si>
    <t>砂防施設事業工事（金崎工区地すべり防止施設点検業務委託その２）</t>
  </si>
  <si>
    <t>24100149332</t>
  </si>
  <si>
    <t>2024/09/18 13:56</t>
  </si>
  <si>
    <t>13,436,000</t>
  </si>
  <si>
    <t>10,813,000</t>
  </si>
  <si>
    <t>2026/05/20 15:19:16</t>
  </si>
  <si>
    <t>川の再生推進工事（大落古利根川春日部地区詳細設計業務委託）</t>
  </si>
  <si>
    <t>24000120608</t>
  </si>
  <si>
    <t>2024/09/18 13:48</t>
  </si>
  <si>
    <t>9,429,000</t>
  </si>
  <si>
    <t>7,577,000</t>
  </si>
  <si>
    <t>2026/05/20 15:19:18</t>
  </si>
  <si>
    <t>砂防施設事業工事（小室・塩沢工区地すべり防止施設点検業務委託）</t>
  </si>
  <si>
    <t>24100149331</t>
  </si>
  <si>
    <t>15,344,000</t>
  </si>
  <si>
    <t>12,340,000</t>
  </si>
  <si>
    <t>2026/05/20 15:19:20</t>
  </si>
  <si>
    <t>砂防施設事業工事（日向工区地すべり防止施設点検業務委託その２）</t>
  </si>
  <si>
    <t>24100149329</t>
  </si>
  <si>
    <t>2024/09/18 13:41</t>
  </si>
  <si>
    <t>15,936,000</t>
  </si>
  <si>
    <t>12,825,000</t>
  </si>
  <si>
    <t>2026/05/20 15:19:22</t>
  </si>
  <si>
    <t>砂防施設事業工事（日向工区地すべり防止施設点検業務委託その１）</t>
  </si>
  <si>
    <t>24100149328</t>
  </si>
  <si>
    <t>2024/09/18 13:31</t>
  </si>
  <si>
    <t>16,045,000</t>
  </si>
  <si>
    <t>12,912,000</t>
  </si>
  <si>
    <t>2026/05/20 15:19:24</t>
  </si>
  <si>
    <t>砂防施設事業工事（五十新田工区地すべり防止施設点検業務委託）</t>
  </si>
  <si>
    <t>24100149327</t>
  </si>
  <si>
    <t>2024/09/18 13:23</t>
  </si>
  <si>
    <t>16,151,000</t>
  </si>
  <si>
    <t>12,998,000</t>
  </si>
  <si>
    <t>2026/05/20 15:19:27</t>
  </si>
  <si>
    <t>社資（河川）工事（大落古利根川詳細設計業務委託）</t>
  </si>
  <si>
    <t>24000124304</t>
  </si>
  <si>
    <t>2024/09/18 13:22</t>
  </si>
  <si>
    <t>17,246,000</t>
  </si>
  <si>
    <t>2026/05/20 15:19:29</t>
  </si>
  <si>
    <t>６高柳設第２号ため池整備計画策定等業務委託</t>
  </si>
  <si>
    <t>24000128239</t>
  </si>
  <si>
    <t>2024/09/17 09:30</t>
  </si>
  <si>
    <t>10,830,000</t>
  </si>
  <si>
    <t>8,695,000</t>
  </si>
  <si>
    <t>8,697,000</t>
  </si>
  <si>
    <t>2026/05/20 15:19:34</t>
  </si>
  <si>
    <t>河川改修調査工事（大場川河川整備手法検討業務委託）</t>
  </si>
  <si>
    <t>24000118920</t>
  </si>
  <si>
    <t>2024/09/13 13:23</t>
  </si>
  <si>
    <t>17,500,000</t>
  </si>
  <si>
    <t>2026/05/20 15:19:37</t>
  </si>
  <si>
    <t>砂防維持修繕工事（高牛川外砂防施設調査設計業務委託）</t>
  </si>
  <si>
    <t>24000123329</t>
  </si>
  <si>
    <t>2024/09/12 13:30</t>
  </si>
  <si>
    <t>4,305,000</t>
  </si>
  <si>
    <t>3,407,000</t>
  </si>
  <si>
    <t>2026/05/20 15:19:39</t>
  </si>
  <si>
    <t>河川改修工事（毛長川護岸修正設計業務委託）</t>
  </si>
  <si>
    <t>24000119801</t>
  </si>
  <si>
    <t>2024/09/12 13:20</t>
  </si>
  <si>
    <t>11,147,000</t>
  </si>
  <si>
    <t>2026/05/20 15:19:41</t>
  </si>
  <si>
    <t>道路改築工事（道路詳細設計業務委託）円良田工区</t>
  </si>
  <si>
    <t>24000127872</t>
  </si>
  <si>
    <t>8,604,000</t>
  </si>
  <si>
    <t>6,914,000</t>
  </si>
  <si>
    <t>2026/05/20 15:19:43</t>
  </si>
  <si>
    <t>河川改修工事（取水堰改築検討業務委託）６８５</t>
  </si>
  <si>
    <t>24000120478</t>
  </si>
  <si>
    <t>2024/09/12 13:06</t>
  </si>
  <si>
    <t>9,685,000</t>
  </si>
  <si>
    <t>2026/05/20 15:19:45</t>
  </si>
  <si>
    <t>24200149263</t>
  </si>
  <si>
    <t>2024/09/12 11:33</t>
  </si>
  <si>
    <t>2026/05/20 15:19:47</t>
  </si>
  <si>
    <t>右岸流域新河岸川幹線人孔補修調査設計その２業務委託</t>
  </si>
  <si>
    <t>24200149262</t>
  </si>
  <si>
    <t>2024/09/12 11:00</t>
  </si>
  <si>
    <t>16,422,000</t>
  </si>
  <si>
    <t>13,106,000</t>
  </si>
  <si>
    <t>13,107,000</t>
  </si>
  <si>
    <t>2026/05/20 15:19:49</t>
  </si>
  <si>
    <t>道路改築工事（須影工区積算技術業務委託）</t>
  </si>
  <si>
    <t>24100149270</t>
  </si>
  <si>
    <t>4,729,000</t>
  </si>
  <si>
    <t>3,797,000</t>
  </si>
  <si>
    <t>2026/05/20 15:19:52</t>
  </si>
  <si>
    <t>道路改築工事（神戸工区積算技術業務委託）</t>
  </si>
  <si>
    <t>24100149269</t>
  </si>
  <si>
    <t>2024/09/12 10:50</t>
  </si>
  <si>
    <t>2026/05/20 15:19:54</t>
  </si>
  <si>
    <t>橋りょう修繕工事（栗橋跨線橋補修設計業務委託）</t>
  </si>
  <si>
    <t>24000112065</t>
  </si>
  <si>
    <t>2024/09/12 10:48</t>
  </si>
  <si>
    <t>10,750,000</t>
  </si>
  <si>
    <t>8,635,000</t>
  </si>
  <si>
    <t>2026/05/20 15:20:00</t>
  </si>
  <si>
    <t>交通安全施設整備工事（川田谷交差点調査設計業務委託）</t>
  </si>
  <si>
    <t>24000118559</t>
  </si>
  <si>
    <t>2024/09/12 10:40</t>
  </si>
  <si>
    <t>6,813,000</t>
  </si>
  <si>
    <t>5,388,000</t>
  </si>
  <si>
    <t>2026/05/20 15:20:02</t>
  </si>
  <si>
    <t>橋りょう架換工事（七釜戸橋積算技術業務委託）</t>
  </si>
  <si>
    <t>24100149265</t>
  </si>
  <si>
    <t>2024/09/12 10:37</t>
  </si>
  <si>
    <t>5,669,000</t>
  </si>
  <si>
    <t>4,551,000</t>
  </si>
  <si>
    <t>2026/05/20 15:20:04</t>
  </si>
  <si>
    <t>右岸流域新河岸川幹線ほか人孔補修調査設計業務委託</t>
  </si>
  <si>
    <t>24200149261</t>
  </si>
  <si>
    <t>2024/09/12 10:31</t>
  </si>
  <si>
    <t>18,130,000</t>
  </si>
  <si>
    <t>14,477,000</t>
  </si>
  <si>
    <t>2026/05/20 15:20:06</t>
  </si>
  <si>
    <t>橋りょう架換工事（川面橋積算技術業務委託）</t>
  </si>
  <si>
    <t>24100149264</t>
  </si>
  <si>
    <t>2024/09/12 10:30</t>
  </si>
  <si>
    <t>6,357,000</t>
  </si>
  <si>
    <t>5,104,000</t>
  </si>
  <si>
    <t>2026/05/20 15:20:08</t>
  </si>
  <si>
    <t>橋りょう修繕工事（高虫橋外補修設計業務委託）</t>
  </si>
  <si>
    <t>24000112482</t>
  </si>
  <si>
    <t>2024/09/12 10:26</t>
  </si>
  <si>
    <t>13,698,000</t>
  </si>
  <si>
    <t>11,002,000</t>
  </si>
  <si>
    <t>2026/05/20 15:20:10</t>
  </si>
  <si>
    <t>埼玉県流域下水道下水熱ポテンシャルマップ策定業務委託</t>
  </si>
  <si>
    <t>2024082701</t>
  </si>
  <si>
    <t>2024/09/12 10:03</t>
  </si>
  <si>
    <t>15,600,000</t>
  </si>
  <si>
    <t>12,533,000</t>
  </si>
  <si>
    <t>2026/05/20 15:20:13</t>
  </si>
  <si>
    <t>６幸権２設第１号機能保全計画更新等業務委託</t>
  </si>
  <si>
    <t>24000129245</t>
  </si>
  <si>
    <t>2024/09/12 09:32</t>
  </si>
  <si>
    <t>2026/05/20 15:20:15</t>
  </si>
  <si>
    <t>道路改築工事（境橋詳細設計業務委託）</t>
  </si>
  <si>
    <t>24000128174</t>
  </si>
  <si>
    <t>2024/09/11 14:31</t>
  </si>
  <si>
    <t>5,230,000</t>
  </si>
  <si>
    <t>4,204,000</t>
  </si>
  <si>
    <t>2026/05/20 15:20:17</t>
  </si>
  <si>
    <t>道路改築工事（ルート検討業務委託）</t>
  </si>
  <si>
    <t>24000127889</t>
  </si>
  <si>
    <t>2024/09/11 14:24</t>
  </si>
  <si>
    <t>2026/05/20 15:20:19</t>
  </si>
  <si>
    <t>道路構造物維持工事（歩道橋点検業務委託）</t>
  </si>
  <si>
    <t>24100149249</t>
  </si>
  <si>
    <t>2024/09/11 13:27</t>
  </si>
  <si>
    <t>9,712,000</t>
  </si>
  <si>
    <t>7,813,000</t>
  </si>
  <si>
    <t>2026/05/20 15:20:25</t>
  </si>
  <si>
    <t>河川改修工事（鳩川水理解析等業務委託）</t>
  </si>
  <si>
    <t>24100148760</t>
  </si>
  <si>
    <t>2024/09/11 13:00</t>
  </si>
  <si>
    <t>29,963,000</t>
  </si>
  <si>
    <t>2026/05/20 15:20:27</t>
  </si>
  <si>
    <t>北部外３流域下水道事業計画変更業務委託</t>
  </si>
  <si>
    <t>24200149296</t>
  </si>
  <si>
    <t>2024/09/11 11:00</t>
  </si>
  <si>
    <t>60,469,000</t>
  </si>
  <si>
    <t>48,539,000</t>
  </si>
  <si>
    <t>57,480,000</t>
  </si>
  <si>
    <t>2026/05/20 15:20:29</t>
  </si>
  <si>
    <t>６御岳山線森林管理道舗装調査測量設計業務委託</t>
  </si>
  <si>
    <t>24000121599</t>
  </si>
  <si>
    <t>2024/09/11 10:45</t>
  </si>
  <si>
    <t>2,750,000</t>
  </si>
  <si>
    <t>2,182,000</t>
  </si>
  <si>
    <t>2,550,000</t>
  </si>
  <si>
    <t>2026/05/20 15:20:31</t>
  </si>
  <si>
    <t>中川流域処理場場内返流水管改修設計業務委託</t>
  </si>
  <si>
    <t>24200149251</t>
  </si>
  <si>
    <t>2024/09/10 14:04</t>
  </si>
  <si>
    <t>9,586,000</t>
  </si>
  <si>
    <t>7,701,000</t>
  </si>
  <si>
    <t>2026/05/20 15:20:34</t>
  </si>
  <si>
    <t>橋りょう修繕工事（東松平橋補修修正設計業務委託）</t>
  </si>
  <si>
    <t>24000124045</t>
  </si>
  <si>
    <t>2024/09/10 13:55</t>
  </si>
  <si>
    <t>7,328,000</t>
  </si>
  <si>
    <t>5,888,000</t>
  </si>
  <si>
    <t>2026/05/20 15:20:36</t>
  </si>
  <si>
    <t>道路改築工事（西平小川線修正設計業務委託）</t>
  </si>
  <si>
    <t>24000125837</t>
  </si>
  <si>
    <t>2024/09/10 13:51</t>
  </si>
  <si>
    <t>7,397,000</t>
  </si>
  <si>
    <t>5,916,000</t>
  </si>
  <si>
    <t>2026/05/20 15:20:38</t>
  </si>
  <si>
    <t>社資（砂防）工事（地蔵入沢堰堤詳細設計業務委託）</t>
  </si>
  <si>
    <t>24100149144</t>
  </si>
  <si>
    <t>2024/09/10 13:08</t>
  </si>
  <si>
    <t>14,875,000</t>
  </si>
  <si>
    <t>11,948,000</t>
  </si>
  <si>
    <t>2026/05/20 15:20:40</t>
  </si>
  <si>
    <t>中川流域処理場２号水処理施設最初沈殿池耐震化実施設計業務委託</t>
  </si>
  <si>
    <t>24200149211</t>
  </si>
  <si>
    <t>2024/09/10 13:06</t>
  </si>
  <si>
    <t>15,670,000</t>
  </si>
  <si>
    <t>12,585,000</t>
  </si>
  <si>
    <t>2026/05/20 15:20:42</t>
  </si>
  <si>
    <t>総委方）４６１６川の再生推進工事（黒目川・遊歩道詳細設計業務委託）</t>
  </si>
  <si>
    <t>24000104969</t>
  </si>
  <si>
    <t>2024/09/10 13:05</t>
  </si>
  <si>
    <t>13,843,000</t>
  </si>
  <si>
    <t>11,122,000</t>
  </si>
  <si>
    <t>2026/05/20 15:20:45</t>
  </si>
  <si>
    <t>総委重）河川改修工事（矢颪堰水理解析業務委託）</t>
  </si>
  <si>
    <t>24000098801</t>
  </si>
  <si>
    <t>2024/09/09 13:11</t>
  </si>
  <si>
    <t>15,851,000</t>
  </si>
  <si>
    <t>12,725,000</t>
  </si>
  <si>
    <t>2026/05/20 15:20:50</t>
  </si>
  <si>
    <t>連続立体交差工事（公共）（区画街路７号線詳細設計業務委託）</t>
  </si>
  <si>
    <t>24000106824</t>
  </si>
  <si>
    <t>2024/09/06 13:40</t>
  </si>
  <si>
    <t>9,384,000</t>
  </si>
  <si>
    <t>7,532,000</t>
  </si>
  <si>
    <t>2026/05/20 15:20:52</t>
  </si>
  <si>
    <t>総委重）４２１３道路改築工事（横断歩道橋修正設計業務委託）</t>
  </si>
  <si>
    <t>24000108422</t>
  </si>
  <si>
    <t>2024/09/06 13:03</t>
  </si>
  <si>
    <t>18,179,000</t>
  </si>
  <si>
    <t>14,599,000</t>
  </si>
  <si>
    <t>2026/05/20 15:20:55</t>
  </si>
  <si>
    <t>古利根流域清久中継圧送管二条化詳細設計業務委託その２</t>
  </si>
  <si>
    <t>24200149158</t>
  </si>
  <si>
    <t>2024/09/05 15:14</t>
  </si>
  <si>
    <t>13,675,000</t>
  </si>
  <si>
    <t>10,983,000</t>
  </si>
  <si>
    <t>2026/05/20 15:20:57</t>
  </si>
  <si>
    <t>古利根流域清久中継圧送管二条化詳細設計業務委託その１</t>
  </si>
  <si>
    <t>24200149157</t>
  </si>
  <si>
    <t>2024/09/05 14:40</t>
  </si>
  <si>
    <t>16,042,000</t>
  </si>
  <si>
    <t>12,883,000</t>
  </si>
  <si>
    <t>2026/05/20 15:20:59</t>
  </si>
  <si>
    <t>古利根流域河原井中継圧送管二条化詳細設計業務委託その２</t>
  </si>
  <si>
    <t>24200149156</t>
  </si>
  <si>
    <t>2024/09/05 14:05</t>
  </si>
  <si>
    <t>16,411,000</t>
  </si>
  <si>
    <t>13,180,000</t>
  </si>
  <si>
    <t>2026/05/20 15:21:01</t>
  </si>
  <si>
    <t>社資（改築）工事（道路照明施設設計業務委託）北堀工区</t>
  </si>
  <si>
    <t>24000109495</t>
  </si>
  <si>
    <t>2024/09/05 13:42</t>
  </si>
  <si>
    <t>4,237,000</t>
  </si>
  <si>
    <t>3,406,000</t>
  </si>
  <si>
    <t>3,980,000</t>
  </si>
  <si>
    <t>2026/05/20 15:21:03</t>
  </si>
  <si>
    <t>古利根流域河原井中継圧送管二条化詳細設計業務委託その１</t>
  </si>
  <si>
    <t>24200149155</t>
  </si>
  <si>
    <t>2024/09/05 13:40</t>
  </si>
  <si>
    <t>17,467,000</t>
  </si>
  <si>
    <t>14,027,000</t>
  </si>
  <si>
    <t>2026/05/20 15:21:05</t>
  </si>
  <si>
    <t>災害防除工事（小規模測量設計業務委託）</t>
  </si>
  <si>
    <t>24000113670</t>
  </si>
  <si>
    <t>2024/09/05 13:37</t>
  </si>
  <si>
    <t>4,690,000</t>
  </si>
  <si>
    <t>2026/05/20 15:21:08</t>
  </si>
  <si>
    <t>社資（河川）工事（女堀川樋管詳細設計業務委託）</t>
  </si>
  <si>
    <t>24000106718</t>
  </si>
  <si>
    <t>2024/09/05 13:26</t>
  </si>
  <si>
    <t>16,371,000</t>
  </si>
  <si>
    <t>13,152,000</t>
  </si>
  <si>
    <t>2026/05/20 15:21:10</t>
  </si>
  <si>
    <t>県営公園太陽光発電設備導入事業公募要領作成等支援業務委託</t>
  </si>
  <si>
    <t>24500106923</t>
  </si>
  <si>
    <t>2024/09/05 13:02</t>
  </si>
  <si>
    <t>5,396,000</t>
  </si>
  <si>
    <t>4,333,000</t>
  </si>
  <si>
    <t>4,357,000</t>
  </si>
  <si>
    <t>2026/05/20 15:21:16</t>
  </si>
  <si>
    <t>川の再生推進工事（測量設計業務委託）６８９</t>
  </si>
  <si>
    <t>24000105277</t>
  </si>
  <si>
    <t>6,681,000</t>
  </si>
  <si>
    <t>7,800,000</t>
  </si>
  <si>
    <t>2026/05/20 15:21:18</t>
  </si>
  <si>
    <t>４２７６自転車歩行者道整備工事（歩道詳細設計業務委託）</t>
  </si>
  <si>
    <t>24000105011</t>
  </si>
  <si>
    <t>2024/09/05 10:19</t>
  </si>
  <si>
    <t>4,077,000</t>
  </si>
  <si>
    <t>3,278,000</t>
  </si>
  <si>
    <t>2026/05/20 15:21:20</t>
  </si>
  <si>
    <t>４２６０橋りょう架換工事（支障物移設設計業務委託）</t>
  </si>
  <si>
    <t>24000103159</t>
  </si>
  <si>
    <t>2024/09/05 10:12</t>
  </si>
  <si>
    <t>7,032,000</t>
  </si>
  <si>
    <t>5,650,000</t>
  </si>
  <si>
    <t>2026/05/20 15:21:22</t>
  </si>
  <si>
    <t>古利根流域栗橋中継圧送管二条化基本設計業務委託</t>
  </si>
  <si>
    <t>24200149154</t>
  </si>
  <si>
    <t>2024/09/05 10:11</t>
  </si>
  <si>
    <t>9,513,000</t>
  </si>
  <si>
    <t>7,642,000</t>
  </si>
  <si>
    <t>2026/05/20 15:21:24</t>
  </si>
  <si>
    <t>市野川流域小川中継圧送管二条化基本設計業務委託</t>
  </si>
  <si>
    <t>24200149153</t>
  </si>
  <si>
    <t>2024/09/05 09:42</t>
  </si>
  <si>
    <t>11,651,000</t>
  </si>
  <si>
    <t>9,359,000</t>
  </si>
  <si>
    <t>2026/05/20 15:21:26</t>
  </si>
  <si>
    <t>橋りょう修繕工事（工事監督支援業務委託）</t>
  </si>
  <si>
    <t>24100149150</t>
  </si>
  <si>
    <t>2024/09/05 09:33</t>
  </si>
  <si>
    <t>11,054,000</t>
  </si>
  <si>
    <t>8,948,000</t>
  </si>
  <si>
    <t>2026/05/20 15:21:29</t>
  </si>
  <si>
    <t>川の再生推進工事（横瀬川測量設計業務委託）</t>
  </si>
  <si>
    <t>24000119596</t>
  </si>
  <si>
    <t>2024/09/04 13:32</t>
  </si>
  <si>
    <t>5,291,000</t>
  </si>
  <si>
    <t>5,950,000</t>
  </si>
  <si>
    <t>2026/05/20 15:21:31</t>
  </si>
  <si>
    <t>24000117318</t>
  </si>
  <si>
    <t>2024/09/04 10:33</t>
  </si>
  <si>
    <t>8,022,000</t>
  </si>
  <si>
    <t>2026/05/20 15:21:33</t>
  </si>
  <si>
    <t>６下大胡桃治山測量設計業務委託</t>
  </si>
  <si>
    <t>24000112270</t>
  </si>
  <si>
    <t>2024/09/04 10:30</t>
  </si>
  <si>
    <t>5,570,000</t>
  </si>
  <si>
    <t>4,458,000</t>
  </si>
  <si>
    <t>5,194,000</t>
  </si>
  <si>
    <t>2026/05/20 15:21:35</t>
  </si>
  <si>
    <t>中川流域中央幹線チュウ４８～４９管渠・人孔改築基本設計業務委託</t>
  </si>
  <si>
    <t>24200149115</t>
  </si>
  <si>
    <t>2024/09/03 14:25</t>
  </si>
  <si>
    <t>11,036,000</t>
  </si>
  <si>
    <t>8,873,000</t>
  </si>
  <si>
    <t>2026/05/20 15:21:41</t>
  </si>
  <si>
    <t>自転車歩行者道整備工事（青山工区修正設計業務委託）</t>
  </si>
  <si>
    <t>24000117625</t>
  </si>
  <si>
    <t>2024/09/03 13:40</t>
  </si>
  <si>
    <t>2,132,000</t>
  </si>
  <si>
    <t>2,500,000</t>
  </si>
  <si>
    <t>2026/05/20 15:21:43</t>
  </si>
  <si>
    <t>Ｒ６首都圏自然歩道改修測量設計業務委託（伊豆ケ岳・正丸峠）</t>
  </si>
  <si>
    <t>24000121309</t>
  </si>
  <si>
    <t>2024/09/03 13:13</t>
  </si>
  <si>
    <t>7,399,000</t>
  </si>
  <si>
    <t>5,872,000</t>
  </si>
  <si>
    <t>2026/05/20 15:21:45</t>
  </si>
  <si>
    <t>中川流域中央幹線チュウ４～５管渠・人孔改築基本設計業務委託</t>
  </si>
  <si>
    <t>24200149146</t>
  </si>
  <si>
    <t>2024/09/03 13:05</t>
  </si>
  <si>
    <t>15,189,000</t>
  </si>
  <si>
    <t>2026/05/20 15:21:47</t>
  </si>
  <si>
    <t>右岸流域久保川幹線ほか人孔補修調査設計業務委託</t>
  </si>
  <si>
    <t>24200149133</t>
  </si>
  <si>
    <t>2024/09/03 10:31</t>
  </si>
  <si>
    <t>10,056,000</t>
  </si>
  <si>
    <t>7,986,000</t>
  </si>
  <si>
    <t>8,436,000</t>
  </si>
  <si>
    <t>2026/05/20 15:21:50</t>
  </si>
  <si>
    <t>右岸流域新河岸川幹線人孔補修調査設計業務委託</t>
  </si>
  <si>
    <t>24200149132</t>
  </si>
  <si>
    <t>2024/09/03 10:15</t>
  </si>
  <si>
    <t>15,225,000</t>
  </si>
  <si>
    <t>12,151,000</t>
  </si>
  <si>
    <t>2026/05/20 15:21:52</t>
  </si>
  <si>
    <t>砂防維持修繕費（埼玉県砂防関係施設長寿命化計画検討業務委託）</t>
  </si>
  <si>
    <t>24000109117</t>
  </si>
  <si>
    <t>2024/09/03 09:32</t>
  </si>
  <si>
    <t>2026/05/20 15:21:54</t>
  </si>
  <si>
    <t>砂防施設工事（砂防事業再評価業務委託）</t>
  </si>
  <si>
    <t>24000103243</t>
  </si>
  <si>
    <t>2024/09/03 09:05</t>
  </si>
  <si>
    <t>10,276,000</t>
  </si>
  <si>
    <t>2026/05/20 15:21:56</t>
  </si>
  <si>
    <t>道路構造物維持工事（横断歩道橋定期点検業務委託その３）</t>
  </si>
  <si>
    <t>24100149013</t>
  </si>
  <si>
    <t>2024/09/02 13:43</t>
  </si>
  <si>
    <t>2026/05/20 15:21:58</t>
  </si>
  <si>
    <t>道路構造物維持工事（横断歩道橋定期点検業務委託その２）</t>
  </si>
  <si>
    <t>24100149012</t>
  </si>
  <si>
    <t>2024/09/02 13:34</t>
  </si>
  <si>
    <t>9,331,000</t>
  </si>
  <si>
    <t>7,504,000</t>
  </si>
  <si>
    <t>2026/05/20 15:22:01</t>
  </si>
  <si>
    <t>道路構造物維持工事（横断歩道橋定期点検業務委託その１）</t>
  </si>
  <si>
    <t>24100149011</t>
  </si>
  <si>
    <t>2024/09/02 13:23</t>
  </si>
  <si>
    <t>2026/05/20 15:22:06</t>
  </si>
  <si>
    <t>４５１０河川改修工事（新河岸川汚染土対策検討業務委託）</t>
  </si>
  <si>
    <t>24100149190</t>
  </si>
  <si>
    <t>2024/09/02 10:31</t>
  </si>
  <si>
    <t>25,820,000</t>
  </si>
  <si>
    <t>2026/05/20 15:22:08</t>
  </si>
  <si>
    <t>右岸流域新河岸川幹線ほか管渠耐震診断業務委託</t>
  </si>
  <si>
    <t>24200149107</t>
  </si>
  <si>
    <t>2024/09/02 10:07</t>
  </si>
  <si>
    <t>13,302,000</t>
  </si>
  <si>
    <t>10,687,000</t>
  </si>
  <si>
    <t>2026/05/20 15:22:11</t>
  </si>
  <si>
    <t>埼玉県流域下水道事業官民連携における導入可能性調査業務委託</t>
  </si>
  <si>
    <t>2024080801</t>
  </si>
  <si>
    <t>2024/09/02 10:04</t>
  </si>
  <si>
    <t>32,100,000</t>
  </si>
  <si>
    <t>25,781,000</t>
  </si>
  <si>
    <t>2026/05/20 15:22:13</t>
  </si>
  <si>
    <t>川再生（東川張出歩道詳細設計）</t>
  </si>
  <si>
    <t>24000111430</t>
  </si>
  <si>
    <t>2024/08/30 14:08</t>
  </si>
  <si>
    <t>5,110,000</t>
  </si>
  <si>
    <t>2026/05/20 15:22:15</t>
  </si>
  <si>
    <t>河維修（柳瀬川護岸健全度調査）</t>
  </si>
  <si>
    <t>24000100797</t>
  </si>
  <si>
    <t>2024/08/30 13:42</t>
  </si>
  <si>
    <t>7,735,000</t>
  </si>
  <si>
    <t>6,161,000</t>
  </si>
  <si>
    <t>2026/05/20 15:22:17</t>
  </si>
  <si>
    <t>河川改修工事（女堀川排水詳細設計業務委託）</t>
  </si>
  <si>
    <t>24000104765</t>
  </si>
  <si>
    <t>2024/08/29 14:02</t>
  </si>
  <si>
    <t>4,292,000</t>
  </si>
  <si>
    <t>2026/05/20 15:22:19</t>
  </si>
  <si>
    <t>河川改修工事（金鑚橋耐震補強詳細設計業務委託）</t>
  </si>
  <si>
    <t>24000101086</t>
  </si>
  <si>
    <t>2024/08/29 13:31</t>
  </si>
  <si>
    <t>11,152,000</t>
  </si>
  <si>
    <t>8,958,000</t>
  </si>
  <si>
    <t>2026/05/20 15:22:22</t>
  </si>
  <si>
    <t>河川改修工事（水位予測システム更新業務委託）</t>
  </si>
  <si>
    <t>24000115455</t>
  </si>
  <si>
    <t>2024/08/29 13:24</t>
  </si>
  <si>
    <t>2026/05/20 15:22:24</t>
  </si>
  <si>
    <t>市野川流域滑川幹線ＭＰ圧送管二条化詳細設計業務委託</t>
  </si>
  <si>
    <t>24200149063</t>
  </si>
  <si>
    <t>2024/08/29 10:45</t>
  </si>
  <si>
    <t>9,374,000</t>
  </si>
  <si>
    <t>7,531,000</t>
  </si>
  <si>
    <t>2026/05/20 15:22:26</t>
  </si>
  <si>
    <t>荒上流域寄居中継圧送管二条化詳細設計業務委託その２</t>
  </si>
  <si>
    <t>24200149065</t>
  </si>
  <si>
    <t>2024/08/29 10:30</t>
  </si>
  <si>
    <t>12,017,000</t>
  </si>
  <si>
    <t>9,653,000</t>
  </si>
  <si>
    <t>2026/05/20 15:22:32</t>
  </si>
  <si>
    <t>24100148963</t>
  </si>
  <si>
    <t>2024/08/29 09:57</t>
  </si>
  <si>
    <t>15,407,000</t>
  </si>
  <si>
    <t>12,405,000</t>
  </si>
  <si>
    <t>2026/05/20 15:22:34</t>
  </si>
  <si>
    <t>荒上流域寄居中継圧送管二条化詳細設計業務委託その１</t>
  </si>
  <si>
    <t>24200149064</t>
  </si>
  <si>
    <t>2024/08/29 09:46</t>
  </si>
  <si>
    <t>15,990,000</t>
  </si>
  <si>
    <t>12,842,000</t>
  </si>
  <si>
    <t>2026/05/20 15:22:36</t>
  </si>
  <si>
    <t>総合交付金（改築）工事（行田蓮田線・軟弱地盤解析業務委託）</t>
  </si>
  <si>
    <t>24000101748</t>
  </si>
  <si>
    <t>2024/08/29 09:35</t>
  </si>
  <si>
    <t>12,560,000</t>
  </si>
  <si>
    <t>10,048,000</t>
  </si>
  <si>
    <t>2026/05/20 15:22:38</t>
  </si>
  <si>
    <t>中川流域中央幹線チュウ４０～吐出槽管渠改築実施設計業務委託</t>
  </si>
  <si>
    <t>24200148874</t>
  </si>
  <si>
    <t>2024/08/28 15:03</t>
  </si>
  <si>
    <t>10,862,000</t>
  </si>
  <si>
    <t>8,731,000</t>
  </si>
  <si>
    <t>2026/05/20 15:22:40</t>
  </si>
  <si>
    <t>南部流域鴨川幹線ほか人孔等修繕実施設計業務委託</t>
  </si>
  <si>
    <t>24200149070</t>
  </si>
  <si>
    <t>2024/08/28 13:46</t>
  </si>
  <si>
    <t>10,666,000</t>
  </si>
  <si>
    <t>8,568,000</t>
  </si>
  <si>
    <t>2026/05/20 15:22:43</t>
  </si>
  <si>
    <t>中川流域中央幹線チュウ３９～４０管渠改築実施設計業務委託</t>
  </si>
  <si>
    <t>24200149002</t>
  </si>
  <si>
    <t>2024/08/28 13:11</t>
  </si>
  <si>
    <t>13,509,000</t>
  </si>
  <si>
    <t>10,898,000</t>
  </si>
  <si>
    <t>2026/05/20 15:22:45</t>
  </si>
  <si>
    <t>令和６年度埼玉県都市計画見直し検討業務委託</t>
  </si>
  <si>
    <t>10B00R60805</t>
  </si>
  <si>
    <t>2024/08/28 09:05</t>
  </si>
  <si>
    <t>11,242,000</t>
  </si>
  <si>
    <t>9,024,000</t>
  </si>
  <si>
    <t>2026/05/20 15:22:47</t>
  </si>
  <si>
    <t>北部流域元荒川幹線流量計改築実施設計業務委託</t>
  </si>
  <si>
    <t>24200149006</t>
  </si>
  <si>
    <t>2024/08/27 14:33</t>
  </si>
  <si>
    <t>12,500,000</t>
  </si>
  <si>
    <t>10,041,000</t>
  </si>
  <si>
    <t>2026/05/20 15:22:49</t>
  </si>
  <si>
    <t>南部流域三崎中継ほか電気設備改築設計業務委託</t>
  </si>
  <si>
    <t>24200149026</t>
  </si>
  <si>
    <t>2024/08/27 14:06</t>
  </si>
  <si>
    <t>6,229,000</t>
  </si>
  <si>
    <t>5,006,000</t>
  </si>
  <si>
    <t>6,220,000</t>
  </si>
  <si>
    <t>2026/05/20 15:22:51</t>
  </si>
  <si>
    <t>浸出水下水道放流施設監視制御設備改築実施設計業務委託</t>
  </si>
  <si>
    <t>20240801</t>
  </si>
  <si>
    <t>2024/08/26 13:38</t>
  </si>
  <si>
    <t>13,800,000</t>
  </si>
  <si>
    <t>11,093,000</t>
  </si>
  <si>
    <t>13,524,000</t>
  </si>
  <si>
    <t>2026/05/20 15:22:57</t>
  </si>
  <si>
    <t>河改（工事監督支援）３</t>
  </si>
  <si>
    <t>24000096191</t>
  </si>
  <si>
    <t>2024/08/26 13:22</t>
  </si>
  <si>
    <t>11,988,000</t>
  </si>
  <si>
    <t>9,704,000</t>
  </si>
  <si>
    <t>2026/05/20 15:22:59</t>
  </si>
  <si>
    <t>河川改修（水辺）工事（九十九川・安藤川護岸測量設計業務委託）</t>
  </si>
  <si>
    <t>24000096309</t>
  </si>
  <si>
    <t>2024/08/23 13:06</t>
  </si>
  <si>
    <t>7,182,000</t>
  </si>
  <si>
    <t>2026/05/20 15:23:01</t>
  </si>
  <si>
    <t>橋りょう修繕工事（徒歩橋側道橋補修設計業務委託）</t>
  </si>
  <si>
    <t>24000098754</t>
  </si>
  <si>
    <t>2024/08/23 13:01</t>
  </si>
  <si>
    <t>6,373,000</t>
  </si>
  <si>
    <t>2026/05/20 15:23:03</t>
  </si>
  <si>
    <t>荒川右岸流域下水道事業計画変更業務委託</t>
  </si>
  <si>
    <t>24200148999</t>
  </si>
  <si>
    <t>2024/08/23 10:06</t>
  </si>
  <si>
    <t>16,380,000</t>
  </si>
  <si>
    <t>13,171,000</t>
  </si>
  <si>
    <t>2026/05/20 15:23:06</t>
  </si>
  <si>
    <t>24000099593</t>
  </si>
  <si>
    <t>2024/08/22 13:54</t>
  </si>
  <si>
    <t>2026/05/20 15:23:08</t>
  </si>
  <si>
    <t>自歩道整備工事（歩道詳細設計業務委託）二ノ宮工区</t>
  </si>
  <si>
    <t>24000099443</t>
  </si>
  <si>
    <t>2024/08/22 13:32</t>
  </si>
  <si>
    <t>6,827,000</t>
  </si>
  <si>
    <t>5,488,000</t>
  </si>
  <si>
    <t>2026/05/20 15:23:10</t>
  </si>
  <si>
    <t>４２６８河川改修工事（第二大場川橋梁架換概略設計業務委託その２）</t>
  </si>
  <si>
    <t>24100148988</t>
  </si>
  <si>
    <t>2024/08/22 11:07</t>
  </si>
  <si>
    <t>12,641,000</t>
  </si>
  <si>
    <t>10,156,000</t>
  </si>
  <si>
    <t>2026/05/20 15:23:12</t>
  </si>
  <si>
    <t>６大名栗線森林管理道改良測量設計業務委託</t>
  </si>
  <si>
    <t>24000096481</t>
  </si>
  <si>
    <t>2024/08/22 10:46</t>
  </si>
  <si>
    <t>1,662,000</t>
  </si>
  <si>
    <t>1,900,000</t>
  </si>
  <si>
    <t>2026/05/20 15:23:14</t>
  </si>
  <si>
    <t>４２６７河川改修工事（第二大場川橋梁架換概略設計業務委託その１）</t>
  </si>
  <si>
    <t>24100148987</t>
  </si>
  <si>
    <t>2024/08/22 10:37</t>
  </si>
  <si>
    <t>2026/05/20 15:23:17</t>
  </si>
  <si>
    <t>24000092251</t>
  </si>
  <si>
    <t>2024/08/22 10:22</t>
  </si>
  <si>
    <t>13,552,000</t>
  </si>
  <si>
    <t>2026/05/20 15:23:22</t>
  </si>
  <si>
    <t>４２６９河川改修工事（毛長川河道概略設計業務委託）</t>
  </si>
  <si>
    <t>24000096602</t>
  </si>
  <si>
    <t>2024/08/22 10:09</t>
  </si>
  <si>
    <t>9,522,000</t>
  </si>
  <si>
    <t>2026/05/20 15:23:24</t>
  </si>
  <si>
    <t>６芳延治山測量設計業務委託</t>
  </si>
  <si>
    <t>24000099655</t>
  </si>
  <si>
    <t>2024/08/22 10:06</t>
  </si>
  <si>
    <t>5,300,000</t>
  </si>
  <si>
    <t>4,242,000</t>
  </si>
  <si>
    <t>4,940,000</t>
  </si>
  <si>
    <t>2026/05/20 15:23:27</t>
  </si>
  <si>
    <t>24000092223</t>
  </si>
  <si>
    <t>2024/08/22 10:00</t>
  </si>
  <si>
    <t>14,665,000</t>
  </si>
  <si>
    <t>2026/05/20 15:23:29</t>
  </si>
  <si>
    <t>６荒右左設第１号用水計画検討業務委託</t>
  </si>
  <si>
    <t>24000102168</t>
  </si>
  <si>
    <t>2024/08/22 09:03</t>
  </si>
  <si>
    <t>6,740,000</t>
  </si>
  <si>
    <t>5,412,000</t>
  </si>
  <si>
    <t>2026/05/20 15:23:31</t>
  </si>
  <si>
    <t>６島設第１号ほ場整備実施設計業務委託</t>
  </si>
  <si>
    <t>24000098556</t>
  </si>
  <si>
    <t>2024/08/22 09:01</t>
  </si>
  <si>
    <t>16,530,000</t>
  </si>
  <si>
    <t>13,272,000</t>
  </si>
  <si>
    <t>14,400,000</t>
  </si>
  <si>
    <t>2026/05/20 15:23:33</t>
  </si>
  <si>
    <t>南部流域日進中継耐震補強設計業務委託</t>
  </si>
  <si>
    <t>24200148970</t>
  </si>
  <si>
    <t>2024/08/21 13:37</t>
  </si>
  <si>
    <t>16,032,000</t>
  </si>
  <si>
    <t>12,876,000</t>
  </si>
  <si>
    <t>2026/05/20 15:23:35</t>
  </si>
  <si>
    <t>砂防施設工事（金山沢測量設計業務委託）</t>
  </si>
  <si>
    <t>24000102379</t>
  </si>
  <si>
    <t>2024/08/21 13:22</t>
  </si>
  <si>
    <t>8,426,000</t>
  </si>
  <si>
    <t>6,708,000</t>
  </si>
  <si>
    <t>7,630,000</t>
  </si>
  <si>
    <t>2026/05/20 15:23:37</t>
  </si>
  <si>
    <t>６太田部峠２号線森林道改良測量設計業務委託</t>
  </si>
  <si>
    <t>24000098655</t>
  </si>
  <si>
    <t>2024/08/21 10:55</t>
  </si>
  <si>
    <t>1,750,000</t>
  </si>
  <si>
    <t>1,401,000</t>
  </si>
  <si>
    <t>1,630,000</t>
  </si>
  <si>
    <t>2026/05/20 15:23:40</t>
  </si>
  <si>
    <t>24000098523</t>
  </si>
  <si>
    <t>2024/08/21 10:13</t>
  </si>
  <si>
    <t>13,610,000</t>
  </si>
  <si>
    <t>10,927,000</t>
  </si>
  <si>
    <t>2026/05/20 15:23:42</t>
  </si>
  <si>
    <t>４２６３社資交付金（河川）工事（第二大場川樋管詳細設計業務委託その３）</t>
  </si>
  <si>
    <t>24100148944</t>
  </si>
  <si>
    <t>2024/08/20 11:22</t>
  </si>
  <si>
    <t>13,296,000</t>
  </si>
  <si>
    <t>10,683,000</t>
  </si>
  <si>
    <t>2026/05/20 15:23:47</t>
  </si>
  <si>
    <t>４２６２社資交付金（河川）工事（第二大場川樋管詳細設計業務委託その２）</t>
  </si>
  <si>
    <t>24100148943</t>
  </si>
  <si>
    <t>2024/08/20 10:49</t>
  </si>
  <si>
    <t>2026/05/20 15:23:50</t>
  </si>
  <si>
    <t>４２６１社資交付金（河川）工事（第二大場川樋管詳細設計業務委託その１）</t>
  </si>
  <si>
    <t>24100148942</t>
  </si>
  <si>
    <t>2024/08/20 10:22</t>
  </si>
  <si>
    <t>2026/05/20 15:23:52</t>
  </si>
  <si>
    <t>総委重）道路改築工事（道路予備設計業務委託）</t>
  </si>
  <si>
    <t>24000051587</t>
  </si>
  <si>
    <t>2024/08/19 13:30</t>
  </si>
  <si>
    <t>36,779,000</t>
  </si>
  <si>
    <t>29,538,000</t>
  </si>
  <si>
    <t>2026/05/20 15:23:54</t>
  </si>
  <si>
    <t>空家等対策の推進に関する特別措置法の改正に係る業務マニュアル整備業務委託</t>
  </si>
  <si>
    <t>6001</t>
  </si>
  <si>
    <t>2024/08/14 10:07</t>
  </si>
  <si>
    <t>5,993,000</t>
  </si>
  <si>
    <t>4,811,000</t>
  </si>
  <si>
    <t>埼玉県 都市整備部 建築安全課</t>
  </si>
  <si>
    <t>2026/05/20 15:23:56</t>
  </si>
  <si>
    <t>０２４大委第２０－１号 西部系ろ過池覆蓋化検討業務委託</t>
  </si>
  <si>
    <t>24100148814</t>
  </si>
  <si>
    <t>2024/08/09 14:05</t>
  </si>
  <si>
    <t>17,790,000</t>
  </si>
  <si>
    <t>14,282,000</t>
  </si>
  <si>
    <t>2026/05/20 15:23:58</t>
  </si>
  <si>
    <t>地盤沈下・地下水位観測所テレメーターシステム更新業務</t>
  </si>
  <si>
    <t>20240722</t>
  </si>
  <si>
    <t>2024/08/09 10:23</t>
  </si>
  <si>
    <t>5,493,000</t>
  </si>
  <si>
    <t>埼玉田中電気株式会社 本店</t>
  </si>
  <si>
    <t>2026/05/20 15:24:00</t>
  </si>
  <si>
    <t>社資（改築）工事（中央分離帯等設計業務委託）北堀工区</t>
  </si>
  <si>
    <t>24000092802</t>
  </si>
  <si>
    <t>2024/08/08 14:00</t>
  </si>
  <si>
    <t>8,650,000</t>
  </si>
  <si>
    <t>6,867,000</t>
  </si>
  <si>
    <t>2026/05/20 15:24:03</t>
  </si>
  <si>
    <t>橋りょう修繕工事（安房沢橋補修設計業務委託）</t>
  </si>
  <si>
    <t>24000093465</t>
  </si>
  <si>
    <t>2024/08/08 13:51</t>
  </si>
  <si>
    <t>6,124,000</t>
  </si>
  <si>
    <t>2026/05/20 15:24:05</t>
  </si>
  <si>
    <t>橋りょう修繕工事（登仙橋補修設計業務委託）</t>
  </si>
  <si>
    <t>24000093453</t>
  </si>
  <si>
    <t>2024/08/08 13:40</t>
  </si>
  <si>
    <t>6,971,000</t>
  </si>
  <si>
    <t>2026/05/20 15:24:07</t>
  </si>
  <si>
    <t>24100148914</t>
  </si>
  <si>
    <t>2024/08/08 13:21</t>
  </si>
  <si>
    <t>13,844,000</t>
  </si>
  <si>
    <t>2026/05/20 15:24:15</t>
  </si>
  <si>
    <t>４２７３道路構造物維持工事（橋梁点検業務委託）</t>
  </si>
  <si>
    <t>24000089496</t>
  </si>
  <si>
    <t>2024/08/08 13:07</t>
  </si>
  <si>
    <t>7,663,000</t>
  </si>
  <si>
    <t>2026/05/20 15:24:17</t>
  </si>
  <si>
    <t>４２７２道路構造物維持工事（橋梁点検業務委託）</t>
  </si>
  <si>
    <t>24000091060</t>
  </si>
  <si>
    <t>2024/08/08 11:33</t>
  </si>
  <si>
    <t>2026/05/20 15:24:19</t>
  </si>
  <si>
    <t>河川改修工事（小林調節池・Ⅰ池擁壁詳細設計業務委託）</t>
  </si>
  <si>
    <t>24000091184</t>
  </si>
  <si>
    <t>2024/08/08 10:33</t>
  </si>
  <si>
    <t>14,215,000</t>
  </si>
  <si>
    <t>11,420,000</t>
  </si>
  <si>
    <t>2026/05/20 15:24:22</t>
  </si>
  <si>
    <t>社資交付金（河川）工事（第Ⅱ期・護岸詳細設計業務委託その５）</t>
  </si>
  <si>
    <t>24000078303</t>
  </si>
  <si>
    <t>2024/08/08 09:59</t>
  </si>
  <si>
    <t>17,343,000</t>
  </si>
  <si>
    <t>13,932,000</t>
  </si>
  <si>
    <t>2026/05/20 15:24:24</t>
  </si>
  <si>
    <t>社資交付金（河川）工事（第Ⅱ期・護岸詳細設計業務委託その４）</t>
  </si>
  <si>
    <t>24000076299</t>
  </si>
  <si>
    <t>2024/08/08 09:38</t>
  </si>
  <si>
    <t>2026/05/20 15:24:26</t>
  </si>
  <si>
    <t>道路構造物維持工事（トンネル定期点検業務委託）</t>
  </si>
  <si>
    <t>24100148960</t>
  </si>
  <si>
    <t>2024/08/07 14:42</t>
  </si>
  <si>
    <t>8,296,000</t>
  </si>
  <si>
    <t>2026/05/20 15:24:28</t>
  </si>
  <si>
    <t>道路構造物維持工事（橋りょう詳細点検業務委託その２）</t>
  </si>
  <si>
    <t>24100148886</t>
  </si>
  <si>
    <t>2024/08/07 14:21</t>
  </si>
  <si>
    <t>2026/05/20 15:24:31</t>
  </si>
  <si>
    <t>道路構造物維持工事（橋りょう詳細点検業務委託その４）</t>
  </si>
  <si>
    <t>24100148885</t>
  </si>
  <si>
    <t>2024/08/07 14:07</t>
  </si>
  <si>
    <t>11,683,000</t>
  </si>
  <si>
    <t>9,415,000</t>
  </si>
  <si>
    <t>2026/05/20 15:24:33</t>
  </si>
  <si>
    <t>道路構造物維持工事（橋りょう詳細点検業務委託その３）</t>
  </si>
  <si>
    <t>24100148884</t>
  </si>
  <si>
    <t>2024/08/07 13:53</t>
  </si>
  <si>
    <t>12,250,000</t>
  </si>
  <si>
    <t>2026/05/20 15:24:35</t>
  </si>
  <si>
    <t>道路改築工事（大滝トンネル環境調査業務委託Ｒ６）</t>
  </si>
  <si>
    <t>24000092791</t>
  </si>
  <si>
    <t>2024/08/07 13:44</t>
  </si>
  <si>
    <t>2026/05/20 15:24:42</t>
  </si>
  <si>
    <t>道路構造物維持工事（橋りょう詳細点検業務委託その１）</t>
  </si>
  <si>
    <t>24100148879</t>
  </si>
  <si>
    <t>2024/08/07 13:38</t>
  </si>
  <si>
    <t>11,733,000</t>
  </si>
  <si>
    <t>2026/05/20 15:24:44</t>
  </si>
  <si>
    <t>道路改築工事（大滝トンネル施設修正設計業務委託Ｒ６）</t>
  </si>
  <si>
    <t>24000092842</t>
  </si>
  <si>
    <t>2024/08/07 13:33</t>
  </si>
  <si>
    <t>11,109,000</t>
  </si>
  <si>
    <t>8,924,000</t>
  </si>
  <si>
    <t>2026/05/20 15:24:46</t>
  </si>
  <si>
    <t>河川改修工事（新方川取付護岸詳細設計業務委託）</t>
  </si>
  <si>
    <t>24100148745</t>
  </si>
  <si>
    <t>2024/08/06 13:46</t>
  </si>
  <si>
    <t>18,128,000</t>
  </si>
  <si>
    <t>14,562,000</t>
  </si>
  <si>
    <t>2026/05/20 15:24:49</t>
  </si>
  <si>
    <t>４２７０街路整備工事（谷塚仲町工区道路予備設計業務委託）</t>
  </si>
  <si>
    <t>24000083922</t>
  </si>
  <si>
    <t>2024/08/06 10:05</t>
  </si>
  <si>
    <t>5,419,000</t>
  </si>
  <si>
    <t>2026/05/20 15:24:51</t>
  </si>
  <si>
    <t>公園等建設工事（なかよしコーナー再整備実施設計業務委託）</t>
  </si>
  <si>
    <t>24000085529</t>
  </si>
  <si>
    <t>2024/08/06 09:42</t>
  </si>
  <si>
    <t>16,487,000</t>
  </si>
  <si>
    <t>13,241,000</t>
  </si>
  <si>
    <t>2026/05/20 15:24:53</t>
  </si>
  <si>
    <t>６乳児岩治山測量設計業務</t>
  </si>
  <si>
    <t>24000096903</t>
  </si>
  <si>
    <t>2024/08/06 09:06</t>
  </si>
  <si>
    <t>2,686,000</t>
  </si>
  <si>
    <t>3,030,000</t>
  </si>
  <si>
    <t>2026/05/20 15:24:55</t>
  </si>
  <si>
    <t>荒川左岸南部流域下水道事業計画変更業務委託</t>
  </si>
  <si>
    <t>24200148878</t>
  </si>
  <si>
    <t>2024/08/05 14:30</t>
  </si>
  <si>
    <t>27,772,000</t>
  </si>
  <si>
    <t>22,311,000</t>
  </si>
  <si>
    <t>2026/05/20 15:24:57</t>
  </si>
  <si>
    <t>南部流域荒川北幹線ほか管渠耐震診断業務委託</t>
  </si>
  <si>
    <t>24200148794</t>
  </si>
  <si>
    <t>2024/08/05 14:06</t>
  </si>
  <si>
    <t>18,467,000</t>
  </si>
  <si>
    <t>14,830,000</t>
  </si>
  <si>
    <t>2026/05/20 15:25:00</t>
  </si>
  <si>
    <t>河川改修調査工事（荒川左岸ブロック（江川）河川整備計画変更検討業務委託）</t>
  </si>
  <si>
    <t>24000044632</t>
  </si>
  <si>
    <t>2024/08/05 13:40</t>
  </si>
  <si>
    <t>15,315,000</t>
  </si>
  <si>
    <t>2026/05/20 15:25:02</t>
  </si>
  <si>
    <t>南部流域処理場汚泥管廊耐震診断業務委託</t>
  </si>
  <si>
    <t>24200148837</t>
  </si>
  <si>
    <t>2024/08/05 13:30</t>
  </si>
  <si>
    <t>20,058,000</t>
  </si>
  <si>
    <t>16,107,000</t>
  </si>
  <si>
    <t>2026/05/20 15:25:07</t>
  </si>
  <si>
    <t>右岸流域砂川堀雨水幹線雨水出水浸水想定区域図作成業務委託</t>
  </si>
  <si>
    <t>24200148827</t>
  </si>
  <si>
    <t>2024/08/05 10:01</t>
  </si>
  <si>
    <t>16,121,000</t>
  </si>
  <si>
    <t>12,942,000</t>
  </si>
  <si>
    <t>2026/05/20 15:25:10</t>
  </si>
  <si>
    <t>河川改修工事（笹目川積算支援業務委託）</t>
  </si>
  <si>
    <t>24100148747</t>
  </si>
  <si>
    <t>2024/08/02 13:40</t>
  </si>
  <si>
    <t>10,003,000</t>
  </si>
  <si>
    <t>8,025,000</t>
  </si>
  <si>
    <t>2026/05/20 15:25:12</t>
  </si>
  <si>
    <t>河川改修工事（与野中央公園調節池底面利用詳細設計業務委託）</t>
  </si>
  <si>
    <t>24000081068</t>
  </si>
  <si>
    <t>2024/08/02 13:30</t>
  </si>
  <si>
    <t>17,961,000</t>
  </si>
  <si>
    <t>14,424,000</t>
  </si>
  <si>
    <t>2026/05/20 15:25:14</t>
  </si>
  <si>
    <t>４２２３道路改築事業工事（軟弱地盤技術解析業務委託）</t>
  </si>
  <si>
    <t>24000090726</t>
  </si>
  <si>
    <t>2024/08/02 13:20</t>
  </si>
  <si>
    <t>6,459,000</t>
  </si>
  <si>
    <t>2026/05/20 15:25:16</t>
  </si>
  <si>
    <t>４３０８道路構造物維持工事（橋梁点検業務委託）</t>
  </si>
  <si>
    <t>24000084164</t>
  </si>
  <si>
    <t>2024/08/02 13:04</t>
  </si>
  <si>
    <t>18,160,000</t>
  </si>
  <si>
    <t>14,632,000</t>
  </si>
  <si>
    <t>2026/05/20 15:25:18</t>
  </si>
  <si>
    <t>公園等建設工事（誰もが遊べる広場基本設計業務委託）</t>
  </si>
  <si>
    <t>24000000617</t>
  </si>
  <si>
    <t>2024/08/02 10:31</t>
  </si>
  <si>
    <t>10,868,000</t>
  </si>
  <si>
    <t>9,880,000</t>
  </si>
  <si>
    <t>2026/05/20 15:25:20</t>
  </si>
  <si>
    <t>市野川流域処理場汚泥処理設備等改築実施設計業務委託</t>
  </si>
  <si>
    <t>24200148733</t>
  </si>
  <si>
    <t>2024/08/01 13:44</t>
  </si>
  <si>
    <t>17,800,000</t>
  </si>
  <si>
    <t>14,309,000</t>
  </si>
  <si>
    <t>2026/05/20 15:25:23</t>
  </si>
  <si>
    <t>道路構造物詳細設計業務委託（その１）</t>
  </si>
  <si>
    <t>24000078107</t>
  </si>
  <si>
    <t>2024/08/01 13:34</t>
  </si>
  <si>
    <t>10,399,000</t>
  </si>
  <si>
    <t>8,355,000</t>
  </si>
  <si>
    <t>2026/05/20 15:25:25</t>
  </si>
  <si>
    <t>道路改築工事（交通量推計・交差点解析業務委託）</t>
  </si>
  <si>
    <t>24000085735</t>
  </si>
  <si>
    <t>2024/08/01 13:33</t>
  </si>
  <si>
    <t>6,419,000</t>
  </si>
  <si>
    <t>5,156,000</t>
  </si>
  <si>
    <t>2026/05/20 15:25:27</t>
  </si>
  <si>
    <t>24100148848</t>
  </si>
  <si>
    <t>2024/08/01 10:20</t>
  </si>
  <si>
    <t>6,474,000</t>
  </si>
  <si>
    <t>5,132,000</t>
  </si>
  <si>
    <t>2026/05/20 15:25:33</t>
  </si>
  <si>
    <t>社資交付金（河川）工事（下忍調節池・排水樋管等詳細設計業務委託）</t>
  </si>
  <si>
    <t>24000073785</t>
  </si>
  <si>
    <t>2024/08/01 10:17</t>
  </si>
  <si>
    <t>11,430,000</t>
  </si>
  <si>
    <t>2026/05/20 15:25:35</t>
  </si>
  <si>
    <t>河川改修工事（忍川・環境調査業務委託その２）</t>
  </si>
  <si>
    <t>24000078942</t>
  </si>
  <si>
    <t>2024/08/01 10:01</t>
  </si>
  <si>
    <t>13,248,000</t>
  </si>
  <si>
    <t>10,636,000</t>
  </si>
  <si>
    <t>2026/05/20 15:25:37</t>
  </si>
  <si>
    <t>河川改修工事（忍川・環境調査業務委託その１）</t>
  </si>
  <si>
    <t>24000078893</t>
  </si>
  <si>
    <t>2024/08/01 09:47</t>
  </si>
  <si>
    <t>14,911,000</t>
  </si>
  <si>
    <t>11,970,000</t>
  </si>
  <si>
    <t>2026/05/20 15:25:39</t>
  </si>
  <si>
    <t>道路網構想推進業務委託（Ｒ６道路設計の手引き改定ほか）</t>
  </si>
  <si>
    <t>24000079801</t>
  </si>
  <si>
    <t>2024/07/31 10:02</t>
  </si>
  <si>
    <t>12,177,000</t>
  </si>
  <si>
    <t>9,829,000</t>
  </si>
  <si>
    <t>2026/05/20 15:25:41</t>
  </si>
  <si>
    <t>24000071915</t>
  </si>
  <si>
    <t>2024/07/30 15:09</t>
  </si>
  <si>
    <t>3,210,000</t>
  </si>
  <si>
    <t>2,542,000</t>
  </si>
  <si>
    <t>2026/05/20 15:25:44</t>
  </si>
  <si>
    <t>24000071953</t>
  </si>
  <si>
    <t>2024/07/30 14:54</t>
  </si>
  <si>
    <t>2,945,000</t>
  </si>
  <si>
    <t>3,100,000</t>
  </si>
  <si>
    <t>2026/05/20 15:25:46</t>
  </si>
  <si>
    <t>24000071968</t>
  </si>
  <si>
    <t>2024/07/30 14:05</t>
  </si>
  <si>
    <t>4,065,000</t>
  </si>
  <si>
    <t>3,249,000</t>
  </si>
  <si>
    <t>2026/05/20 15:25:48</t>
  </si>
  <si>
    <t>24000071975</t>
  </si>
  <si>
    <t>2024/07/30 13:44</t>
  </si>
  <si>
    <t>4,494,000</t>
  </si>
  <si>
    <t>2026/05/20 15:25:50</t>
  </si>
  <si>
    <t>南部流域設備機器・土木資材価格調査１業務委託</t>
  </si>
  <si>
    <t>24200148718</t>
  </si>
  <si>
    <t>2024/07/30 13:32</t>
  </si>
  <si>
    <t>2,081,000</t>
  </si>
  <si>
    <t>1,674,000</t>
  </si>
  <si>
    <t>2026/05/20 15:25:52</t>
  </si>
  <si>
    <t>ダム等施設管理工事（直流電源装置盤更新実施設計業務委託）</t>
  </si>
  <si>
    <t>24000067551</t>
  </si>
  <si>
    <t>2024/07/29 13:15</t>
  </si>
  <si>
    <t>6,411,000</t>
  </si>
  <si>
    <t>5,152,000</t>
  </si>
  <si>
    <t>2026/05/20 15:25:58</t>
  </si>
  <si>
    <t>電地化（南古谷停電線地中化予備設計）</t>
  </si>
  <si>
    <t>24000083916</t>
  </si>
  <si>
    <t>2024/07/26 13:32</t>
  </si>
  <si>
    <t>7,565,000</t>
  </si>
  <si>
    <t>6,078,000</t>
  </si>
  <si>
    <t>2026/05/20 15:26:00</t>
  </si>
  <si>
    <t>河川改修工事（綾瀬川多自然河道設計検討業務委託）</t>
  </si>
  <si>
    <t>24000073586</t>
  </si>
  <si>
    <t>2024/07/26 13:21</t>
  </si>
  <si>
    <t>15,167,000</t>
  </si>
  <si>
    <t>2026/05/20 15:26:02</t>
  </si>
  <si>
    <t>０２４新委第１４－１６号 粒状活性炭調査業務委託</t>
  </si>
  <si>
    <t>24100148653</t>
  </si>
  <si>
    <t>2024/07/26 11:05</t>
  </si>
  <si>
    <t>8,742,000</t>
  </si>
  <si>
    <t>6,856,000</t>
  </si>
  <si>
    <t>株式会社イオ 埼玉事務所</t>
  </si>
  <si>
    <t>7,265,000</t>
  </si>
  <si>
    <t>2026/05/20 15:26:05</t>
  </si>
  <si>
    <t>６九尺設第１号機能保全計画更新業務委託</t>
  </si>
  <si>
    <t>24000085515</t>
  </si>
  <si>
    <t>2024/07/26 09:34</t>
  </si>
  <si>
    <t>1,030,000</t>
  </si>
  <si>
    <t>830,000</t>
  </si>
  <si>
    <t>1,000,000</t>
  </si>
  <si>
    <t>2026/05/20 15:26:07</t>
  </si>
  <si>
    <t>河川改修工事（志戸川護岸修繕測量設計業務委託）</t>
  </si>
  <si>
    <t>24000083422</t>
  </si>
  <si>
    <t>2024/07/25 13:19</t>
  </si>
  <si>
    <t>2,000,000</t>
  </si>
  <si>
    <t>2026/05/20 15:26:09</t>
  </si>
  <si>
    <t>道路改築工事（（仮称）利根川新橋アクセス道路福川新橋予備設計業務委託）０８３</t>
  </si>
  <si>
    <t>24000072220</t>
  </si>
  <si>
    <t>2024/07/25 13:08</t>
  </si>
  <si>
    <t>15,422,000</t>
  </si>
  <si>
    <t>12,389,000</t>
  </si>
  <si>
    <t>2026/05/20 15:26:11</t>
  </si>
  <si>
    <t>河川改修工事（上の池埋設物調査業務委託）</t>
  </si>
  <si>
    <t>24000069766</t>
  </si>
  <si>
    <t>2024/07/25 10:20</t>
  </si>
  <si>
    <t>2026/05/20 15:26:13</t>
  </si>
  <si>
    <t>道路改築工事（大滝トンネル工事監督支援業務委託その９）</t>
  </si>
  <si>
    <t>24000077841</t>
  </si>
  <si>
    <t>2024/07/24 13:33</t>
  </si>
  <si>
    <t>2026/05/20 15:26:16</t>
  </si>
  <si>
    <t>道路改築工事（測量設計業務委託（下日野沢工区））</t>
  </si>
  <si>
    <t>24000083191</t>
  </si>
  <si>
    <t>2024/07/24 13:11</t>
  </si>
  <si>
    <t>8,645,000</t>
  </si>
  <si>
    <t>7,980,000</t>
  </si>
  <si>
    <t>2026/05/20 15:26:18</t>
  </si>
  <si>
    <t>杉戸屏風深輪地区環境影響事後調査その３業務委託</t>
  </si>
  <si>
    <t>24100148699</t>
  </si>
  <si>
    <t>2024/07/24 13:10</t>
  </si>
  <si>
    <t>14,029,000</t>
  </si>
  <si>
    <t>11,264,000</t>
  </si>
  <si>
    <t>2026/05/20 15:26:23</t>
  </si>
  <si>
    <t>公園等建設工事（大宮スーパー・ボールパーク基本計画策定業務委託）</t>
  </si>
  <si>
    <t>24000003311</t>
  </si>
  <si>
    <t>2024/07/23 16:30</t>
  </si>
  <si>
    <t>15,507,000</t>
  </si>
  <si>
    <t>2026/05/20 15:26:26</t>
  </si>
  <si>
    <t>４２２２道路改築工事（交差点予備設計業務委託）</t>
  </si>
  <si>
    <t>24000075264</t>
  </si>
  <si>
    <t>2024/07/19 14:00</t>
  </si>
  <si>
    <t>5,801,000</t>
  </si>
  <si>
    <t>4,663,000</t>
  </si>
  <si>
    <t>2026/05/20 15:26:28</t>
  </si>
  <si>
    <t>河川改修工事（綾瀬川整備手法検討業務委託）</t>
  </si>
  <si>
    <t>24000065820</t>
  </si>
  <si>
    <t>2024/07/19 13:32</t>
  </si>
  <si>
    <t>14,770,000</t>
  </si>
  <si>
    <t>2026/05/20 15:26:30</t>
  </si>
  <si>
    <t>６上武秩父線森林管理道改良測量設計業務</t>
  </si>
  <si>
    <t>24000077929</t>
  </si>
  <si>
    <t>2024/07/19 10:40</t>
  </si>
  <si>
    <t>1,480,000</t>
  </si>
  <si>
    <t>1,185,000</t>
  </si>
  <si>
    <t>1,340,000</t>
  </si>
  <si>
    <t>2026/05/20 15:26:32</t>
  </si>
  <si>
    <t>24200148601</t>
  </si>
  <si>
    <t>2024/07/19 10:38</t>
  </si>
  <si>
    <t>4,310,000</t>
  </si>
  <si>
    <t>2026/05/20 15:26:34</t>
  </si>
  <si>
    <t>24000068758</t>
  </si>
  <si>
    <t>2024/07/19 10:14</t>
  </si>
  <si>
    <t>10,561,000</t>
  </si>
  <si>
    <t>2026/05/20 15:26:37</t>
  </si>
  <si>
    <t>北部流域元荒川中継ポンプ場耐震修正設計業務委託</t>
  </si>
  <si>
    <t>24200148632</t>
  </si>
  <si>
    <t>2024/07/19 10:10</t>
  </si>
  <si>
    <t>10,723,000</t>
  </si>
  <si>
    <t>2026/05/20 15:26:39</t>
  </si>
  <si>
    <t>右岸流域不老川放流幹線空気弁ほか改築設計業務委託</t>
  </si>
  <si>
    <t>24200148603</t>
  </si>
  <si>
    <t>2024/07/19 10:01</t>
  </si>
  <si>
    <t>10,189,000</t>
  </si>
  <si>
    <t>8,185,000</t>
  </si>
  <si>
    <t>2026/05/20 15:26:41</t>
  </si>
  <si>
    <t>24000068747</t>
  </si>
  <si>
    <t>2024/07/19 09:46</t>
  </si>
  <si>
    <t>14,233,000</t>
  </si>
  <si>
    <t>11,445,000</t>
  </si>
  <si>
    <t>2026/05/20 15:26:43</t>
  </si>
  <si>
    <t>24000068617</t>
  </si>
  <si>
    <t>2024/07/19 09:24</t>
  </si>
  <si>
    <t>12,027,000</t>
  </si>
  <si>
    <t>2026/05/20 15:26:49</t>
  </si>
  <si>
    <t>橋りょう修繕工事（久下橋大里高架橋補修設計業務委託）３５６</t>
  </si>
  <si>
    <t>24000063979</t>
  </si>
  <si>
    <t>2024/07/18 13:42</t>
  </si>
  <si>
    <t>8,914,000</t>
  </si>
  <si>
    <t>2026/05/20 15:26:51</t>
  </si>
  <si>
    <t>橋りょう修繕工事（共栄橋補修設計業務委託）４５２</t>
  </si>
  <si>
    <t>24000066361</t>
  </si>
  <si>
    <t>2024/07/18 13:17</t>
  </si>
  <si>
    <t>12,449,000</t>
  </si>
  <si>
    <t>10,007,000</t>
  </si>
  <si>
    <t>2026/05/20 15:26:54</t>
  </si>
  <si>
    <t>河川改修工事（施工計画策定業務委託）６５０</t>
  </si>
  <si>
    <t>24000069788</t>
  </si>
  <si>
    <t>2024/07/18 13:07</t>
  </si>
  <si>
    <t>6,934,000</t>
  </si>
  <si>
    <t>2026/05/20 15:26:56</t>
  </si>
  <si>
    <t>河川改修工事（３５７７－１号橋予備設計業務委託）</t>
  </si>
  <si>
    <t>24100148612</t>
  </si>
  <si>
    <t>2024/07/18 10:52</t>
  </si>
  <si>
    <t>10,941,000</t>
  </si>
  <si>
    <t>8,792,000</t>
  </si>
  <si>
    <t>2026/05/20 15:26:58</t>
  </si>
  <si>
    <t>河川改修工事（３０８１－１号橋予備設計業務委託）</t>
  </si>
  <si>
    <t>24100148611</t>
  </si>
  <si>
    <t>2024/07/18 10:10</t>
  </si>
  <si>
    <t>2026/05/20 15:27:00</t>
  </si>
  <si>
    <t>０２４新委第２０－１号 ろ過池覆蓋化検討業務委託</t>
  </si>
  <si>
    <t>24100148607</t>
  </si>
  <si>
    <t>2024/07/18 10:02</t>
  </si>
  <si>
    <t>14,285,000</t>
  </si>
  <si>
    <t>2026/05/20 15:27:02</t>
  </si>
  <si>
    <t>24200148593</t>
  </si>
  <si>
    <t>2024/07/17 14:04</t>
  </si>
  <si>
    <t>2026/05/20 15:27:04</t>
  </si>
  <si>
    <t>橋りょう修繕工事（滝ノ沢橋・黒草橋・大の入沢橋・野沢下橋補修設計業務委託）</t>
  </si>
  <si>
    <t>24000068716</t>
  </si>
  <si>
    <t>2024/07/17 14:00</t>
  </si>
  <si>
    <t>2026/05/20 15:27:07</t>
  </si>
  <si>
    <t>橋りょう修繕工事（水神橋補修設計業務委託）</t>
  </si>
  <si>
    <t>24000068711</t>
  </si>
  <si>
    <t>2024/07/17 13:41</t>
  </si>
  <si>
    <t>13,969,000</t>
  </si>
  <si>
    <t>11,276,000</t>
  </si>
  <si>
    <t>株式会社フルテック 埼玉営業所</t>
  </si>
  <si>
    <t>2026/05/20 15:27:09</t>
  </si>
  <si>
    <t>北部流域処理場送風機個別化検討基本設計業務委託</t>
  </si>
  <si>
    <t>24200148575</t>
  </si>
  <si>
    <t>2024/07/17 13:39</t>
  </si>
  <si>
    <t>14,000,000</t>
  </si>
  <si>
    <t>11,260,000</t>
  </si>
  <si>
    <t>2026/05/20 15:27:14</t>
  </si>
  <si>
    <t>中川流域下水道事業計画変更業務委託</t>
  </si>
  <si>
    <t>24200148490</t>
  </si>
  <si>
    <t>2024/07/17 13:14</t>
  </si>
  <si>
    <t>22,173,000</t>
  </si>
  <si>
    <t>17,868,000</t>
  </si>
  <si>
    <t>2026/05/20 15:27:17</t>
  </si>
  <si>
    <t>総委重）河川改修工事（大渕工区樋管予備設計業務委託）</t>
  </si>
  <si>
    <t>24000068305</t>
  </si>
  <si>
    <t>2024/07/17 13:12</t>
  </si>
  <si>
    <t>14,475,000</t>
  </si>
  <si>
    <t>11,629,000</t>
  </si>
  <si>
    <t>2026/05/20 15:27:19</t>
  </si>
  <si>
    <t>０２４水整第１５４号吉見ドッキング線基本設計業務委託</t>
  </si>
  <si>
    <t>24100148284</t>
  </si>
  <si>
    <t>2024/07/16 14:30</t>
  </si>
  <si>
    <t>38,290,000</t>
  </si>
  <si>
    <t>30,742,000</t>
  </si>
  <si>
    <t>2026/05/20 15:27:21</t>
  </si>
  <si>
    <t>24000062064</t>
  </si>
  <si>
    <t>2024/07/16 13:55</t>
  </si>
  <si>
    <t>4,290,000</t>
  </si>
  <si>
    <t>3,394,000</t>
  </si>
  <si>
    <t>2026/05/20 15:27:23</t>
  </si>
  <si>
    <t>24000061969</t>
  </si>
  <si>
    <t>2024/07/16 13:47</t>
  </si>
  <si>
    <t>4,643,000</t>
  </si>
  <si>
    <t>アールテックコンサルタント株式会社 本店</t>
  </si>
  <si>
    <t>2026/05/20 15:27:25</t>
  </si>
  <si>
    <t>０２４水整第１０３号川口幹線送水管更新基本設計業務委託</t>
  </si>
  <si>
    <t>24100148393</t>
  </si>
  <si>
    <t>2024/07/16 13:30</t>
  </si>
  <si>
    <t>47,230,000</t>
  </si>
  <si>
    <t>37,923,000</t>
  </si>
  <si>
    <t>2026/05/20 15:27:27</t>
  </si>
  <si>
    <t>交差点整備工事（交差点予備・詳細設計業務委託）</t>
  </si>
  <si>
    <t>24000062091</t>
  </si>
  <si>
    <t>2024/07/16 13:28</t>
  </si>
  <si>
    <t>6,207,000</t>
  </si>
  <si>
    <t>4,989,000</t>
  </si>
  <si>
    <t>2026/05/20 15:27:30</t>
  </si>
  <si>
    <t>中川流域中川幹線ナカ３４－１～３５点検歩廊実施設計業務委託</t>
  </si>
  <si>
    <t>24200148598</t>
  </si>
  <si>
    <t>2024/07/16 13:15</t>
  </si>
  <si>
    <t>5,776,000</t>
  </si>
  <si>
    <t>4,642,000</t>
  </si>
  <si>
    <t>2026/05/20 15:27:32</t>
  </si>
  <si>
    <t>６炭谷入治山設計業務委託</t>
  </si>
  <si>
    <t>24000067510</t>
  </si>
  <si>
    <t>2024/07/16 10:25</t>
  </si>
  <si>
    <t>4,660,000</t>
  </si>
  <si>
    <t>4,340,000</t>
  </si>
  <si>
    <t>2026/05/20 15:27:34</t>
  </si>
  <si>
    <t>４２１６道路改築工事（環境予測業務委託）</t>
  </si>
  <si>
    <t>24000068417</t>
  </si>
  <si>
    <t>2024/07/12 16:00</t>
  </si>
  <si>
    <t>7,759,000</t>
  </si>
  <si>
    <t>2026/05/20 15:27:40</t>
  </si>
  <si>
    <t>総委重）道路構造物維持工事（横断歩道橋詳細点検業務委託その３）</t>
  </si>
  <si>
    <t>24000062869</t>
  </si>
  <si>
    <t>2024/07/12 15:04</t>
  </si>
  <si>
    <t>11,286,000</t>
  </si>
  <si>
    <t>9,080,000</t>
  </si>
  <si>
    <t>2026/05/20 15:27:42</t>
  </si>
  <si>
    <t>総委重）道路構造物維持工事（横断歩道橋詳細点検業務委託その２）</t>
  </si>
  <si>
    <t>24000062839</t>
  </si>
  <si>
    <t>2024/07/12 14:48</t>
  </si>
  <si>
    <t>11,954,000</t>
  </si>
  <si>
    <t>9,618,000</t>
  </si>
  <si>
    <t>2026/05/20 15:27:44</t>
  </si>
  <si>
    <t>総委重）道路構造物維持工事（横断歩道橋詳細点検業務委託その１）</t>
  </si>
  <si>
    <t>24000062790</t>
  </si>
  <si>
    <t>2024/07/12 14:33</t>
  </si>
  <si>
    <t>12,295,000</t>
  </si>
  <si>
    <t>9,891,000</t>
  </si>
  <si>
    <t>2026/05/20 15:27:46</t>
  </si>
  <si>
    <t>総委重）道路構造物維持工事（橋りょう詳細点検業務委託その３）</t>
  </si>
  <si>
    <t>24000062773</t>
  </si>
  <si>
    <t>2024/07/12 14:10</t>
  </si>
  <si>
    <t>13,672,000</t>
  </si>
  <si>
    <t>10,993,000</t>
  </si>
  <si>
    <t>2026/05/20 15:27:49</t>
  </si>
  <si>
    <t>総委重）道路構造物維持工事（橋りょう詳細点検業務委託その２）</t>
  </si>
  <si>
    <t>24000062754</t>
  </si>
  <si>
    <t>2024/07/12 13:55</t>
  </si>
  <si>
    <t>15,947,000</t>
  </si>
  <si>
    <t>12,848,000</t>
  </si>
  <si>
    <t>2026/05/20 15:27:51</t>
  </si>
  <si>
    <t>24000063652</t>
  </si>
  <si>
    <t>2026/05/20 15:27:53</t>
  </si>
  <si>
    <t>総委重）道路構造物維持工事（橋りょう詳細点検業務委託その１）</t>
  </si>
  <si>
    <t>24000062651</t>
  </si>
  <si>
    <t>2024/07/12 13:34</t>
  </si>
  <si>
    <t>16,074,000</t>
  </si>
  <si>
    <t>12,933,000</t>
  </si>
  <si>
    <t>2026/05/20 15:27:55</t>
  </si>
  <si>
    <t>道路改築工事（大滝トンネル施設修正設計業務委託）</t>
  </si>
  <si>
    <t>24000063907</t>
  </si>
  <si>
    <t>2026/05/20 15:27:57</t>
  </si>
  <si>
    <t>総委重）橋りょう修繕工事（七世橋外２橋補修設計業務委託）</t>
  </si>
  <si>
    <t>24000060295</t>
  </si>
  <si>
    <t>2024/07/12 13:22</t>
  </si>
  <si>
    <t>10,735,000</t>
  </si>
  <si>
    <t>8,625,000</t>
  </si>
  <si>
    <t>2026/05/20 15:28:00</t>
  </si>
  <si>
    <t>総委重）地区－１）地域整備事業調整池検討業務委託</t>
  </si>
  <si>
    <t>24100148526</t>
  </si>
  <si>
    <t>2024/07/12 11:04</t>
  </si>
  <si>
    <t>8,267,000</t>
  </si>
  <si>
    <t>2026/05/20 15:28:05</t>
  </si>
  <si>
    <t>総委重）河川改修工事（柳瀬川護岸詳細設計業務委託（清柳橋工区））</t>
  </si>
  <si>
    <t>24000051506</t>
  </si>
  <si>
    <t>2024/07/12 10:14</t>
  </si>
  <si>
    <t>9,166,000</t>
  </si>
  <si>
    <t>7,365,000</t>
  </si>
  <si>
    <t>2026/05/20 15:28:08</t>
  </si>
  <si>
    <t>総委重）地区－１）地域整備事業候補地選定調査業務委託</t>
  </si>
  <si>
    <t>24100148525</t>
  </si>
  <si>
    <t>2024/07/12 10:09</t>
  </si>
  <si>
    <t>18,047,000</t>
  </si>
  <si>
    <t>14,498,000</t>
  </si>
  <si>
    <t>2026/05/20 15:28:10</t>
  </si>
  <si>
    <t>総委重）河川改修工事（不老川護岸詳細設計業務委託（西武新宿線上流工区））</t>
  </si>
  <si>
    <t>24000047631</t>
  </si>
  <si>
    <t>2024/07/12 10:02</t>
  </si>
  <si>
    <t>11,571,000</t>
  </si>
  <si>
    <t>9,297,000</t>
  </si>
  <si>
    <t>2026/05/20 15:28:12</t>
  </si>
  <si>
    <t>総委重）社資交付金（河川）工事（白倉橋詳細設計業務委託）</t>
  </si>
  <si>
    <t>24000028802</t>
  </si>
  <si>
    <t>2024/07/11 15:30</t>
  </si>
  <si>
    <t>47,221,000</t>
  </si>
  <si>
    <t>37,915,000</t>
  </si>
  <si>
    <t>38,000,000</t>
  </si>
  <si>
    <t>2026/05/20 15:28:14</t>
  </si>
  <si>
    <t>総委重）社資交付金（住宅）工事（板橋詳細設計業務委託）</t>
  </si>
  <si>
    <t>24100148400</t>
  </si>
  <si>
    <t>2024/07/11 14:30</t>
  </si>
  <si>
    <t>66,362,000</t>
  </si>
  <si>
    <t>53,283,000</t>
  </si>
  <si>
    <t>2026/05/20 15:28:16</t>
  </si>
  <si>
    <t>右岸流域新河岸川北幹線二条化（徒歩橋）修正設計業務委託</t>
  </si>
  <si>
    <t>24200148494</t>
  </si>
  <si>
    <t>2024/07/11 13:31</t>
  </si>
  <si>
    <t>15,706,000</t>
  </si>
  <si>
    <t>12,614,000</t>
  </si>
  <si>
    <t>2026/05/20 15:28:18</t>
  </si>
  <si>
    <t>総委重）道路改築工事（鴻巣立体予備設計業務委託）</t>
  </si>
  <si>
    <t>24000033899</t>
  </si>
  <si>
    <t>2024/07/11 13:30</t>
  </si>
  <si>
    <t>24,554,000</t>
  </si>
  <si>
    <t>19,721,000</t>
  </si>
  <si>
    <t>2026/05/20 15:28:21</t>
  </si>
  <si>
    <t>舗装道整備工事（ＦＷＤ調査業務委託）４２３</t>
  </si>
  <si>
    <t>24000059555</t>
  </si>
  <si>
    <t>2024/07/11 13:13</t>
  </si>
  <si>
    <t>7,906,000</t>
  </si>
  <si>
    <t>6,254,000</t>
  </si>
  <si>
    <t>2026/05/20 15:28:23</t>
  </si>
  <si>
    <t>道路改築工事（道路詳細修正設計業務委託）０４３</t>
  </si>
  <si>
    <t>24000059330</t>
  </si>
  <si>
    <t>2024/07/11 13:06</t>
  </si>
  <si>
    <t>8,159,000</t>
  </si>
  <si>
    <t>東洋測地調査株式会社 本店</t>
  </si>
  <si>
    <t>2026/05/20 15:28:25</t>
  </si>
  <si>
    <t>総委重）橋りょう整備工事（和戸立体詳細設計業務委託）</t>
  </si>
  <si>
    <t>24000032773</t>
  </si>
  <si>
    <t>2024/07/11 11:30</t>
  </si>
  <si>
    <t>72,642,000</t>
  </si>
  <si>
    <t>58,325,000</t>
  </si>
  <si>
    <t>58,481,000</t>
  </si>
  <si>
    <t>2026/05/20 15:28:31</t>
  </si>
  <si>
    <t>４２３１橋りょう架換工事（調整池施工計画検討業務委託）</t>
  </si>
  <si>
    <t>24000065771</t>
  </si>
  <si>
    <t>2024/07/11 10:39</t>
  </si>
  <si>
    <t>3,738,000</t>
  </si>
  <si>
    <t>3,002,000</t>
  </si>
  <si>
    <t>3,360,000</t>
  </si>
  <si>
    <t>2026/05/20 15:28:33</t>
  </si>
  <si>
    <t>４２５５街路整備工事（柳之宮橋外監督支援業務委託）</t>
  </si>
  <si>
    <t>24300535840</t>
  </si>
  <si>
    <t>2024/07/11 10:04</t>
  </si>
  <si>
    <t>13,129,000</t>
  </si>
  <si>
    <t>2026/05/20 15:28:35</t>
  </si>
  <si>
    <t>６埼６設第３号保全計画策定業務委託（道閑堀排水機場）</t>
  </si>
  <si>
    <t>24000069021</t>
  </si>
  <si>
    <t>2024/07/11 09:50</t>
  </si>
  <si>
    <t>5,539,000</t>
  </si>
  <si>
    <t>2026/05/20 15:28:37</t>
  </si>
  <si>
    <t>６埼６設第２号機能診断設計業務委託（東第二排水機場）</t>
  </si>
  <si>
    <t>24000068546</t>
  </si>
  <si>
    <t>2024/07/11 09:32</t>
  </si>
  <si>
    <t>8,480,000</t>
  </si>
  <si>
    <t>8,180,000</t>
  </si>
  <si>
    <t>2026/05/20 15:28:40</t>
  </si>
  <si>
    <t>自歩道整備工事（用地測量設計業務委託（野上下郷））</t>
  </si>
  <si>
    <t>24000068190</t>
  </si>
  <si>
    <t>2024/07/10 14:38</t>
  </si>
  <si>
    <t>3,783,000</t>
  </si>
  <si>
    <t>2,967,000</t>
  </si>
  <si>
    <t>2026/05/20 15:28:42</t>
  </si>
  <si>
    <t>砂防施設工事（堤沢測量設計業務委託）</t>
  </si>
  <si>
    <t>24000068101</t>
  </si>
  <si>
    <t>2024/07/10 14:32</t>
  </si>
  <si>
    <t>6,258,000</t>
  </si>
  <si>
    <t>2026/05/20 15:28:44</t>
  </si>
  <si>
    <t>北部流域処理場リン除去設備基本設計業務委託</t>
  </si>
  <si>
    <t>24200148446</t>
  </si>
  <si>
    <t>2024/07/09 14:36</t>
  </si>
  <si>
    <t>14,200,000</t>
  </si>
  <si>
    <t>2026/05/20 15:28:46</t>
  </si>
  <si>
    <t>０２４企委第２号 浄水場施設配置最適化検討業務委託</t>
  </si>
  <si>
    <t>20240620</t>
  </si>
  <si>
    <t>2024/07/09 10:02</t>
  </si>
  <si>
    <t>21,450,000</t>
  </si>
  <si>
    <t>17,211,000</t>
  </si>
  <si>
    <t>埼玉県 企業局 水道企画課</t>
  </si>
  <si>
    <t>2026/05/20 15:28:48</t>
  </si>
  <si>
    <t>道路改築工事（地下水位水質調査・対策検討業務委託）</t>
  </si>
  <si>
    <t>24000055420</t>
  </si>
  <si>
    <t>2024/07/08 13:00</t>
  </si>
  <si>
    <t>14,208,000</t>
  </si>
  <si>
    <t>2026/05/20 15:28:50</t>
  </si>
  <si>
    <t>４２０６道路改築工事（道路詳細修正設計業務委託）</t>
  </si>
  <si>
    <t>24100148344</t>
  </si>
  <si>
    <t>2024/07/05 14:11</t>
  </si>
  <si>
    <t>11,212,000</t>
  </si>
  <si>
    <t>8,928,000</t>
  </si>
  <si>
    <t>2026/05/20 15:28:56</t>
  </si>
  <si>
    <t>利根川流域別下水道整備総合計画策定調査業務委託（令和６年度）</t>
  </si>
  <si>
    <t>24200148443</t>
  </si>
  <si>
    <t>2024/07/05 13:45</t>
  </si>
  <si>
    <t>19,624,000</t>
  </si>
  <si>
    <t>15,613,000</t>
  </si>
  <si>
    <t>2026/05/20 15:28:58</t>
  </si>
  <si>
    <t>河川改修工事（菖蒲川護岸修正設計業務委託）</t>
  </si>
  <si>
    <t>24000057942</t>
  </si>
  <si>
    <t>2024/07/04 13:50</t>
  </si>
  <si>
    <t>8,897,000</t>
  </si>
  <si>
    <t>7,148,000</t>
  </si>
  <si>
    <t>2026/05/20 15:29:00</t>
  </si>
  <si>
    <t>道路改築工事（長尾根バイパス道路予備設計業務委託）</t>
  </si>
  <si>
    <t>24000055492</t>
  </si>
  <si>
    <t>2024/07/04 13:46</t>
  </si>
  <si>
    <t>6,629,000</t>
  </si>
  <si>
    <t>5,282,000</t>
  </si>
  <si>
    <t>2026/05/20 15:29:02</t>
  </si>
  <si>
    <t>南部流域南部幹線ほか人孔浮上診断業務委託</t>
  </si>
  <si>
    <t>24200148410</t>
  </si>
  <si>
    <t>2024/07/04 13:35</t>
  </si>
  <si>
    <t>13,512,000</t>
  </si>
  <si>
    <t>10,758,000</t>
  </si>
  <si>
    <t>2026/05/20 15:29:05</t>
  </si>
  <si>
    <t>24100148340</t>
  </si>
  <si>
    <t>2024/07/04 13:24</t>
  </si>
  <si>
    <t>11,205,000</t>
  </si>
  <si>
    <t>8,927,000</t>
  </si>
  <si>
    <t>2026/05/20 15:29:07</t>
  </si>
  <si>
    <t>24100148339</t>
  </si>
  <si>
    <t>2024/07/04 13:11</t>
  </si>
  <si>
    <t>15,121,000</t>
  </si>
  <si>
    <t>12,083,000</t>
  </si>
  <si>
    <t>2026/05/20 15:29:09</t>
  </si>
  <si>
    <t>橋りょう修繕工事（久下橋熊谷高架橋補修設計業務委託）３５７</t>
  </si>
  <si>
    <t>24000046591</t>
  </si>
  <si>
    <t>2024/07/04 13:05</t>
  </si>
  <si>
    <t>16,965,000</t>
  </si>
  <si>
    <t>2026/05/20 15:29:12</t>
  </si>
  <si>
    <t>北部流域桶川中継圧送管二条化詳細設計業務委託その２</t>
  </si>
  <si>
    <t>24200148418</t>
  </si>
  <si>
    <t>2024/07/04 10:41</t>
  </si>
  <si>
    <t>10,402,000</t>
  </si>
  <si>
    <t>2026/05/20 15:29:14</t>
  </si>
  <si>
    <t>社資交付金（河川）工事（騎西鴻巣線・道路詳細設計業務委託その２）</t>
  </si>
  <si>
    <t>24000049777</t>
  </si>
  <si>
    <t>2024/07/04 09:43</t>
  </si>
  <si>
    <t>7,829,000</t>
  </si>
  <si>
    <t>6,237,000</t>
  </si>
  <si>
    <t>2026/05/20 15:29:17</t>
  </si>
  <si>
    <t>社資交付金（河川）工事（忍川・工事監督支援業務委託）</t>
  </si>
  <si>
    <t>24100148329</t>
  </si>
  <si>
    <t>2024/07/04 09:34</t>
  </si>
  <si>
    <t>15,205,000</t>
  </si>
  <si>
    <t>12,202,000</t>
  </si>
  <si>
    <t>2026/05/20 15:29:22</t>
  </si>
  <si>
    <t>北部流域桶川中継圧送管二条化詳細設計業務委託その１</t>
  </si>
  <si>
    <t>24200148416</t>
  </si>
  <si>
    <t>2024/07/04 09:33</t>
  </si>
  <si>
    <t>16,866,000</t>
  </si>
  <si>
    <t>13,427,000</t>
  </si>
  <si>
    <t>2026/05/20 15:29:25</t>
  </si>
  <si>
    <t>橋りょう補修工事（城下橋外補修設計業務委託）</t>
  </si>
  <si>
    <t>24000047256</t>
  </si>
  <si>
    <t>2024/07/04 09:01</t>
  </si>
  <si>
    <t>16,233,000</t>
  </si>
  <si>
    <t>12,923,000</t>
  </si>
  <si>
    <t>55</t>
  </si>
  <si>
    <t>2026/05/20 15:29:27</t>
  </si>
  <si>
    <t>河川改修工事（新河岸川ブロック事業再評価業務委託）</t>
  </si>
  <si>
    <t>24000013816</t>
  </si>
  <si>
    <t>2024/07/03 13:31</t>
  </si>
  <si>
    <t>15,844,000</t>
  </si>
  <si>
    <t>2026/05/20 15:29:29</t>
  </si>
  <si>
    <t>茶どころ橋補修実施設計業務委託</t>
  </si>
  <si>
    <t>24001</t>
  </si>
  <si>
    <t>2024/07/03 11:03</t>
  </si>
  <si>
    <t>5,168,000</t>
  </si>
  <si>
    <t>4,113,000</t>
  </si>
  <si>
    <t>埼玉県 農林部 茶業研究所</t>
  </si>
  <si>
    <t>4,900,000</t>
  </si>
  <si>
    <t>2026/05/20 15:29:31</t>
  </si>
  <si>
    <t>０２４大委第７－１号 大久保浄水場排水処理施設次期事業検討業務委託</t>
  </si>
  <si>
    <t>24100148044</t>
  </si>
  <si>
    <t>2024/07/02 10:02</t>
  </si>
  <si>
    <t>36,510,000</t>
  </si>
  <si>
    <t>29,045,000</t>
  </si>
  <si>
    <t>35,700,000</t>
  </si>
  <si>
    <t>2026/05/20 15:29:33</t>
  </si>
  <si>
    <t>24100148376</t>
  </si>
  <si>
    <t>2024/07/02 09:56</t>
  </si>
  <si>
    <t>4,295,000</t>
  </si>
  <si>
    <t>2026/05/20 15:29:36</t>
  </si>
  <si>
    <t>６土井設第１号ため池実施設計業務委託</t>
  </si>
  <si>
    <t>24000054316</t>
  </si>
  <si>
    <t>2024/07/02 09:01</t>
  </si>
  <si>
    <t>2,652,000</t>
  </si>
  <si>
    <t>2026/05/20 15:29:38</t>
  </si>
  <si>
    <t>24000053811</t>
  </si>
  <si>
    <t>2024/07/01 13:47</t>
  </si>
  <si>
    <t>6,437,000</t>
  </si>
  <si>
    <t>5,072,000</t>
  </si>
  <si>
    <t>2026/05/20 15:29:40</t>
  </si>
  <si>
    <t>橋りょう修繕工事（大木前橋補修設計業務委託）</t>
  </si>
  <si>
    <t>24000046729</t>
  </si>
  <si>
    <t>2024/07/01 13:38</t>
  </si>
  <si>
    <t>9,660,000</t>
  </si>
  <si>
    <t>7,693,000</t>
  </si>
  <si>
    <t>2026/05/20 15:29:42</t>
  </si>
  <si>
    <t>橋りょう修繕工事（中山一号函渠橋外２橋補修設計業務委託）</t>
  </si>
  <si>
    <t>24100148316</t>
  </si>
  <si>
    <t>2024/07/01 13:26</t>
  </si>
  <si>
    <t>10,025,000</t>
  </si>
  <si>
    <t>7,983,000</t>
  </si>
  <si>
    <t>2026/05/20 15:29:48</t>
  </si>
  <si>
    <t>砂防施設工事（下赤工川設計業務委託）</t>
  </si>
  <si>
    <t>24000041296</t>
  </si>
  <si>
    <t>2024/07/01 13:17</t>
  </si>
  <si>
    <t>7,584,000</t>
  </si>
  <si>
    <t>6,042,000</t>
  </si>
  <si>
    <t>2026/05/20 15:29:50</t>
  </si>
  <si>
    <t>橋りょう修繕工事（上野本陸橋（下り）補修設計業務委託）</t>
  </si>
  <si>
    <t>24100148306</t>
  </si>
  <si>
    <t>14,536,000</t>
  </si>
  <si>
    <t>11,573,000</t>
  </si>
  <si>
    <t>2026/05/20 15:29:52</t>
  </si>
  <si>
    <t>砂防施設工事（R6積算技術業務委託その５）</t>
  </si>
  <si>
    <t>2430000467230000</t>
  </si>
  <si>
    <t>2024/07/01 09:15</t>
  </si>
  <si>
    <t>7,641,000</t>
  </si>
  <si>
    <t>2026/05/20 15:29:54</t>
  </si>
  <si>
    <t>４２０７道路改築事業工事（横断水路対策検討業務委託）</t>
  </si>
  <si>
    <t>24000053190</t>
  </si>
  <si>
    <t>2024/06/28 15:11</t>
  </si>
  <si>
    <t>2026/05/20 15:29:57</t>
  </si>
  <si>
    <t>橋りょう修繕工事（横断歩道橋耐震設計業務委託その１）</t>
  </si>
  <si>
    <t>24000046330</t>
  </si>
  <si>
    <t>2024/06/28 14:03</t>
  </si>
  <si>
    <t>17,528,000</t>
  </si>
  <si>
    <t>2026/05/20 15:29:59</t>
  </si>
  <si>
    <t>24000046223</t>
  </si>
  <si>
    <t>2024/06/28 13:39</t>
  </si>
  <si>
    <t>13,917,000</t>
  </si>
  <si>
    <t>11,073,000</t>
  </si>
  <si>
    <t>2026/05/20 15:30:01</t>
  </si>
  <si>
    <t>資源循環農場・公園設計業務委託（基本計画、基本設計）</t>
  </si>
  <si>
    <t>24000049541</t>
  </si>
  <si>
    <t>2024/06/28 10:02</t>
  </si>
  <si>
    <t>15,464,000</t>
  </si>
  <si>
    <t>12,311,000</t>
  </si>
  <si>
    <t>2026/05/20 15:30:03</t>
  </si>
  <si>
    <t>総委重）社会資本整備総合交付金（河川）工事（３１０７－１号橋詳細設計業務委託）</t>
  </si>
  <si>
    <t>24100148023</t>
  </si>
  <si>
    <t>2024/06/27 14:30</t>
  </si>
  <si>
    <t>28,477,000</t>
  </si>
  <si>
    <t>22,668,000</t>
  </si>
  <si>
    <t>22,680,000</t>
  </si>
  <si>
    <t>2026/05/20 15:30:05</t>
  </si>
  <si>
    <t>総委重）河川改修（国庫補助）工事（沼橋詳細設計業務委託）</t>
  </si>
  <si>
    <t>24100148089</t>
  </si>
  <si>
    <t>2024/06/27 13:30</t>
  </si>
  <si>
    <t>44,579,000</t>
  </si>
  <si>
    <t>35,480,000</t>
  </si>
  <si>
    <t>35,482,000</t>
  </si>
  <si>
    <t>2026/05/20 15:30:08</t>
  </si>
  <si>
    <t>総合交付金（河川）工事（川面調節池環境調査業務委託）</t>
  </si>
  <si>
    <t>24100148200</t>
  </si>
  <si>
    <t>2024/06/27 10:00</t>
  </si>
  <si>
    <t>12,485,000</t>
  </si>
  <si>
    <t>9,936,000</t>
  </si>
  <si>
    <t>2026/05/20 15:30:13</t>
  </si>
  <si>
    <t>社資交付金（河川）工事（忍川・施工計画検討業務委託）</t>
  </si>
  <si>
    <t>24000040041</t>
  </si>
  <si>
    <t>2024/06/27 09:31</t>
  </si>
  <si>
    <t>18,107,000</t>
  </si>
  <si>
    <t>2026/05/20 15:30:15</t>
  </si>
  <si>
    <t>令和６年度埼玉県３Ｄ都市モデル整備業務委託</t>
  </si>
  <si>
    <t>2024002</t>
  </si>
  <si>
    <t>2024/06/26 10:10</t>
  </si>
  <si>
    <t>119,532,600</t>
  </si>
  <si>
    <t>107,000,000</t>
  </si>
  <si>
    <t>2026/05/20 15:30:18</t>
  </si>
  <si>
    <t>６大血川線森林管理道改良測量設計業務委託</t>
  </si>
  <si>
    <t>24000045428</t>
  </si>
  <si>
    <t>2024/06/25 10:16</t>
  </si>
  <si>
    <t>2026/05/20 15:30:20</t>
  </si>
  <si>
    <t>６埼６設第４号保全計画策定業務委託（北川辺排水機場）</t>
  </si>
  <si>
    <t>24000046195</t>
  </si>
  <si>
    <t>2024/06/25 09:31</t>
  </si>
  <si>
    <t>7,527,000</t>
  </si>
  <si>
    <t>2026/05/20 15:30:22</t>
  </si>
  <si>
    <t>交付金（河川）工事（飯盛川排水機場機電設備工事積算支援業務委託）</t>
  </si>
  <si>
    <t>24100148174</t>
  </si>
  <si>
    <t>2024/06/24 13:24</t>
  </si>
  <si>
    <t>7,757,000</t>
  </si>
  <si>
    <t>6,173,000</t>
  </si>
  <si>
    <t>2026/05/20 15:30:24</t>
  </si>
  <si>
    <t>河川改修工事（雀川測量設計業務委託）</t>
  </si>
  <si>
    <t>24000048545</t>
  </si>
  <si>
    <t>2024/06/24 13:21</t>
  </si>
  <si>
    <t>6,908,000</t>
  </si>
  <si>
    <t>光和測量株式会社 本店</t>
  </si>
  <si>
    <t>2026/05/20 15:30:26</t>
  </si>
  <si>
    <t>６諏訪設第１号ため池整備計画策定業務委託</t>
  </si>
  <si>
    <t>24000042321</t>
  </si>
  <si>
    <t>2024/06/21 14:03</t>
  </si>
  <si>
    <t>10,990,000</t>
  </si>
  <si>
    <t>8,746,000</t>
  </si>
  <si>
    <t>2026/05/20 15:30:29</t>
  </si>
  <si>
    <t>災害防除工事（緊急輸送道路ネットワーク計画改定業務委託）</t>
  </si>
  <si>
    <t>24000046344</t>
  </si>
  <si>
    <t>2024/06/21 13:41</t>
  </si>
  <si>
    <t>8,649,000</t>
  </si>
  <si>
    <t>2026/05/20 15:30:31</t>
  </si>
  <si>
    <t>道路改築工事（道路予備設計業務委託）西富田工区</t>
  </si>
  <si>
    <t>24000042728</t>
  </si>
  <si>
    <t>2024/06/21 13:40</t>
  </si>
  <si>
    <t>8,818,000</t>
  </si>
  <si>
    <t>2026/05/20 15:30:33</t>
  </si>
  <si>
    <t>６二上設第１号ため池整備計画策定業務委託</t>
  </si>
  <si>
    <t>24000042203</t>
  </si>
  <si>
    <t>2024/06/21 13:35</t>
  </si>
  <si>
    <t>16,190,000</t>
  </si>
  <si>
    <t>12,880,000</t>
  </si>
  <si>
    <t>2026/05/20 15:30:39</t>
  </si>
  <si>
    <t>０２４大委第１４－１５－１号 中央系・工水水管橋点検業務委託</t>
  </si>
  <si>
    <t>24100148019</t>
  </si>
  <si>
    <t>2024/06/21 13:11</t>
  </si>
  <si>
    <t>9,409,000</t>
  </si>
  <si>
    <t>7,386,000</t>
  </si>
  <si>
    <t>2026/05/20 15:30:41</t>
  </si>
  <si>
    <t>2024/06/21 13:03</t>
  </si>
  <si>
    <t>2026/05/20 15:30:43</t>
  </si>
  <si>
    <t>４１０４街路整備工事（野火止上交差点測量設計業務委託）</t>
  </si>
  <si>
    <t>24100148273</t>
  </si>
  <si>
    <t>2024/06/21 13:02</t>
  </si>
  <si>
    <t>7,745,000</t>
  </si>
  <si>
    <t>2026/05/20 15:30:45</t>
  </si>
  <si>
    <t>道路改築工事（行田蓮田線・交通量推計業務委託）</t>
  </si>
  <si>
    <t>24000044924</t>
  </si>
  <si>
    <t>2024/06/21 09:40</t>
  </si>
  <si>
    <t>8,899,000</t>
  </si>
  <si>
    <t>7,084,000</t>
  </si>
  <si>
    <t>2026/05/20 15:30:47</t>
  </si>
  <si>
    <t>河川改修（水辺）工事（霞川護岸修繕測量設計業務委託）</t>
  </si>
  <si>
    <t>24000038294</t>
  </si>
  <si>
    <t>2024/06/20 14:17</t>
  </si>
  <si>
    <t>6,785,000</t>
  </si>
  <si>
    <t>2026/05/20 15:30:49</t>
  </si>
  <si>
    <t>橋りょう修繕工事（赤浜陸橋補修設計業務委託）４２２</t>
  </si>
  <si>
    <t>24000037895</t>
  </si>
  <si>
    <t>2024/06/20 13:48</t>
  </si>
  <si>
    <t>6,637,000</t>
  </si>
  <si>
    <t>5,290,000</t>
  </si>
  <si>
    <t>2026/05/20 15:30:52</t>
  </si>
  <si>
    <t>河川改修（水辺）工事（元荒川護岸設計業務委託）６８４</t>
  </si>
  <si>
    <t>24000036326</t>
  </si>
  <si>
    <t>2024/06/20 13:43</t>
  </si>
  <si>
    <t>6,846,000</t>
  </si>
  <si>
    <t>5,455,000</t>
  </si>
  <si>
    <t>2026/05/20 15:30:54</t>
  </si>
  <si>
    <t>街路整備工事（県単）（袋陣屋線電線共同溝予備設計業務委託）</t>
  </si>
  <si>
    <t>24000036706</t>
  </si>
  <si>
    <t>2024/06/20 13:36</t>
  </si>
  <si>
    <t>2026/05/20 15:30:56</t>
  </si>
  <si>
    <t>交差点整備工事（交通状況分析業務委託）</t>
  </si>
  <si>
    <t>24100148203</t>
  </si>
  <si>
    <t>2024/06/20 13:30</t>
  </si>
  <si>
    <t>4,402,000</t>
  </si>
  <si>
    <t>2026/05/20 15:30:58</t>
  </si>
  <si>
    <t>６埼６設第１号保全計画策定業務委託（鳥羽井排水機場）</t>
  </si>
  <si>
    <t>24000045548</t>
  </si>
  <si>
    <t>2024/06/20 11:06</t>
  </si>
  <si>
    <t>5,580,000</t>
  </si>
  <si>
    <t>4,443,000</t>
  </si>
  <si>
    <t>2026/05/20 15:31:04</t>
  </si>
  <si>
    <t>４２３５歩道整備工事（幸房張出歩道測量設計業務委託）</t>
  </si>
  <si>
    <t>24000030449</t>
  </si>
  <si>
    <t>2024/06/20 11:04</t>
  </si>
  <si>
    <t>7,830,000</t>
  </si>
  <si>
    <t>6,177,000</t>
  </si>
  <si>
    <t>6,179,000</t>
  </si>
  <si>
    <t>2026/05/20 15:31:06</t>
  </si>
  <si>
    <t>橋りょう架換工事（田中橋修正設計業務委託）</t>
  </si>
  <si>
    <t>24000046381</t>
  </si>
  <si>
    <t>2024/06/19 14:58</t>
  </si>
  <si>
    <t>4,168,000</t>
  </si>
  <si>
    <t>3,321,000</t>
  </si>
  <si>
    <t>2026/05/20 15:31:08</t>
  </si>
  <si>
    <t>砂防維持修繕工事（長寿命化計画調査設計業務委託その２）</t>
  </si>
  <si>
    <t>24000046327</t>
  </si>
  <si>
    <t>2024/06/19 14:52</t>
  </si>
  <si>
    <t>4,837,000</t>
  </si>
  <si>
    <t>5,464,000</t>
  </si>
  <si>
    <t>2026/05/20 15:31:10</t>
  </si>
  <si>
    <t>砂防維持修繕工事（長寿命化計画調査設計業務委託その１）</t>
  </si>
  <si>
    <t>24000046226</t>
  </si>
  <si>
    <t>2024/06/19 14:42</t>
  </si>
  <si>
    <t>5,296,000</t>
  </si>
  <si>
    <t>5,980,000</t>
  </si>
  <si>
    <t>2026/05/20 15:31:13</t>
  </si>
  <si>
    <t>災害防除工事（三次元設計業務委託その９）</t>
  </si>
  <si>
    <t>24100148231</t>
  </si>
  <si>
    <t>2024/06/19 14:10</t>
  </si>
  <si>
    <t>8,601,000</t>
  </si>
  <si>
    <t>7,764,000</t>
  </si>
  <si>
    <t>2026/05/20 15:31:15</t>
  </si>
  <si>
    <t>災害防除工事（三次元設計業務委託その１１）</t>
  </si>
  <si>
    <t>24100148230</t>
  </si>
  <si>
    <t>2024/06/19 14:03</t>
  </si>
  <si>
    <t>8,762,000</t>
  </si>
  <si>
    <t>6,923,000</t>
  </si>
  <si>
    <t>2026/05/20 15:31:17</t>
  </si>
  <si>
    <t>災害防除工事（三次元設計業務委託その１０）</t>
  </si>
  <si>
    <t>24100148229</t>
  </si>
  <si>
    <t>2024/06/19 13:56</t>
  </si>
  <si>
    <t>7,884,000</t>
  </si>
  <si>
    <t>2026/05/20 15:31:19</t>
  </si>
  <si>
    <t>災害防除工事（三次元設計業務委託その１２）</t>
  </si>
  <si>
    <t>24100148228</t>
  </si>
  <si>
    <t>2024/06/19 13:50</t>
  </si>
  <si>
    <t>8,922,000</t>
  </si>
  <si>
    <t>7,051,000</t>
  </si>
  <si>
    <t>2026/05/20 15:31:21</t>
  </si>
  <si>
    <t>災害防除工事（三次元設計業務委託その８）</t>
  </si>
  <si>
    <t>24100148226</t>
  </si>
  <si>
    <t>2024/06/19 13:43</t>
  </si>
  <si>
    <t>2026/05/20 15:31:24</t>
  </si>
  <si>
    <t>災害防除工事（三次元設計業務委託その７）</t>
  </si>
  <si>
    <t>24100148225</t>
  </si>
  <si>
    <t>2024/06/19 13:36</t>
  </si>
  <si>
    <t>2026/05/20 15:31:29</t>
  </si>
  <si>
    <t>４２４７社資交付金（改築）工事（道路排水設備詳細設計業務委託）</t>
  </si>
  <si>
    <t>24000035414</t>
  </si>
  <si>
    <t>2024/06/18 10:05</t>
  </si>
  <si>
    <t>12,416,000</t>
  </si>
  <si>
    <t>9,887,000</t>
  </si>
  <si>
    <t>2026/05/20 15:31:31</t>
  </si>
  <si>
    <t>６小用設第１号ため池整備計画策定業務委託</t>
  </si>
  <si>
    <t>24000042218</t>
  </si>
  <si>
    <t>2024/06/18 09:07</t>
  </si>
  <si>
    <t>6,289,000</t>
  </si>
  <si>
    <t>2026/05/20 15:31:34</t>
  </si>
  <si>
    <t>河川改修（水辺）工事（積算技術業務委託）</t>
  </si>
  <si>
    <t>24100148027</t>
  </si>
  <si>
    <t>2024/06/17 13:35</t>
  </si>
  <si>
    <t>5,652,000</t>
  </si>
  <si>
    <t>4,498,000</t>
  </si>
  <si>
    <t>2026/05/20 15:31:36</t>
  </si>
  <si>
    <t>橋りょう架換工事（建武橋３Ｄモデル作成業務委託）</t>
  </si>
  <si>
    <t>24000029757</t>
  </si>
  <si>
    <t>2024/06/17 13:16</t>
  </si>
  <si>
    <t>12,937,000</t>
  </si>
  <si>
    <t>10,304,000</t>
  </si>
  <si>
    <t>2026/05/20 15:31:38</t>
  </si>
  <si>
    <t>河川改修工事（工事監督支援業務委託Ｒ６―３）</t>
  </si>
  <si>
    <t>24000036022</t>
  </si>
  <si>
    <t>2024/06/17 13:11</t>
  </si>
  <si>
    <t>17,085,000</t>
  </si>
  <si>
    <t>13,711,000</t>
  </si>
  <si>
    <t>2026/05/20 15:31:40</t>
  </si>
  <si>
    <t>河川改修工事（工事監督支援業務委託Ｒ６―２）</t>
  </si>
  <si>
    <t>24000036016</t>
  </si>
  <si>
    <t>2024/06/17 13:05</t>
  </si>
  <si>
    <t>2026/05/20 15:31:42</t>
  </si>
  <si>
    <t>６仙女設第１号ため池整備事業計画策定業務委託</t>
  </si>
  <si>
    <t>24000043130</t>
  </si>
  <si>
    <t>2024/06/17 11:06</t>
  </si>
  <si>
    <t>4,130,000</t>
  </si>
  <si>
    <t>3,289,000</t>
  </si>
  <si>
    <t>3,920,000</t>
  </si>
  <si>
    <t>2026/05/20 15:31:44</t>
  </si>
  <si>
    <t>６北吉設第１号管水路事業計画策定業務委託</t>
  </si>
  <si>
    <t>24000042922</t>
  </si>
  <si>
    <t>2024/06/17 10:30</t>
  </si>
  <si>
    <t>6,010,000</t>
  </si>
  <si>
    <t>4,786,000</t>
  </si>
  <si>
    <t>2026/05/20 15:31:47</t>
  </si>
  <si>
    <t>６釜兎設第１号中山間総合整備事業計画策定業務委託</t>
  </si>
  <si>
    <t>24000043446</t>
  </si>
  <si>
    <t>2024/06/17 10:02</t>
  </si>
  <si>
    <t>2026/05/20 15:31:49</t>
  </si>
  <si>
    <t>６実千設第１号ほ場整備事業計画策定業務委託</t>
  </si>
  <si>
    <t>24000043167</t>
  </si>
  <si>
    <t>2024/06/17 09:32</t>
  </si>
  <si>
    <t>3,575,000</t>
  </si>
  <si>
    <t>2026/05/20 15:31:55</t>
  </si>
  <si>
    <t>０２４大改第６６９号 共同・さいたま北部バイパス線実施設計業務委託</t>
  </si>
  <si>
    <t>24100147561</t>
  </si>
  <si>
    <t>2024/06/14 14:00</t>
  </si>
  <si>
    <t>16,480,000</t>
  </si>
  <si>
    <t>13,122,000</t>
  </si>
  <si>
    <t>2026/05/20 15:31:57</t>
  </si>
  <si>
    <t>河川改修工事（芝川工事監督支援業務委託）</t>
  </si>
  <si>
    <t>24100147859</t>
  </si>
  <si>
    <t>2024/06/13 13:50</t>
  </si>
  <si>
    <t>2026/05/20 15:31:59</t>
  </si>
  <si>
    <t>道路改築工事（長尾根バイパスダイヤモンド型ＩＣ設計業務委託）</t>
  </si>
  <si>
    <t>24000035493</t>
  </si>
  <si>
    <t>2024/06/13 13:31</t>
  </si>
  <si>
    <t>8,887,000</t>
  </si>
  <si>
    <t>2026/05/20 15:32:01</t>
  </si>
  <si>
    <t>橋りょう修繕工事（関宿橋高架橋耐震補強施工計画検討業務委託）</t>
  </si>
  <si>
    <t>24000033908</t>
  </si>
  <si>
    <t>2024/06/13 10:23</t>
  </si>
  <si>
    <t>4,412,000</t>
  </si>
  <si>
    <t>2026/05/20 15:32:03</t>
  </si>
  <si>
    <t>電線地中化（道路）整備工事（電線共同溝予備設計業務委託・北工区）</t>
  </si>
  <si>
    <t>24000033460</t>
  </si>
  <si>
    <t>2024/06/13 10:20</t>
  </si>
  <si>
    <t>9,950,000</t>
  </si>
  <si>
    <t>7,923,000</t>
  </si>
  <si>
    <t>2026/05/20 15:32:05</t>
  </si>
  <si>
    <t>電線地中化（道路）整備工事（電線共同溝予備設計業務委託・上工区）</t>
  </si>
  <si>
    <t>24000033486</t>
  </si>
  <si>
    <t>2024/06/13 10:00</t>
  </si>
  <si>
    <t>10,701,000</t>
  </si>
  <si>
    <t>8,521,000</t>
  </si>
  <si>
    <t>2026/05/20 15:32:08</t>
  </si>
  <si>
    <t>６宮中設第１号ほ場整備実施設計業務委託</t>
  </si>
  <si>
    <t>24000036137</t>
  </si>
  <si>
    <t>2024/06/13 09:35</t>
  </si>
  <si>
    <t>18,080,000</t>
  </si>
  <si>
    <t>14,386,000</t>
  </si>
  <si>
    <t>株式会社日研コンサル 埼玉支店</t>
  </si>
  <si>
    <t>2026/05/20 15:32:10</t>
  </si>
  <si>
    <t>自転車歩行者道整備工事（佐間工区測量設計業務委託）</t>
  </si>
  <si>
    <t>24000027553</t>
  </si>
  <si>
    <t>2024/06/13 09:31</t>
  </si>
  <si>
    <t>4,081,000</t>
  </si>
  <si>
    <t>2026/05/20 15:32:12</t>
  </si>
  <si>
    <t>道路環境整備工事（測量設計業務委託）小鹿野工区</t>
  </si>
  <si>
    <t>24000040389</t>
  </si>
  <si>
    <t>2024/06/12 15:33</t>
  </si>
  <si>
    <t>4,803,000</t>
  </si>
  <si>
    <t>3,786,000</t>
  </si>
  <si>
    <t>2026/05/20 15:32:14</t>
  </si>
  <si>
    <t>舗装指定修繕工事（ＦＷＤ調査業務委託その３）</t>
  </si>
  <si>
    <t>24100148053</t>
  </si>
  <si>
    <t>2024/06/12 15:27</t>
  </si>
  <si>
    <t>4,836,000</t>
  </si>
  <si>
    <t>3,781,000</t>
  </si>
  <si>
    <t>2026/05/20 15:32:20</t>
  </si>
  <si>
    <t>河川改修工事（滝の上工区測量設計業務委託）</t>
  </si>
  <si>
    <t>24000039987</t>
  </si>
  <si>
    <t>2024/06/12 15:21</t>
  </si>
  <si>
    <t>4,855,000</t>
  </si>
  <si>
    <t>2026/05/20 15:32:22</t>
  </si>
  <si>
    <t>自転車歩行者道整備工事（下小鹿野工区測量設計業務委託）</t>
  </si>
  <si>
    <t>24000040593</t>
  </si>
  <si>
    <t>2024/06/12 14:37</t>
  </si>
  <si>
    <t>6,973,000</t>
  </si>
  <si>
    <t>2026/05/20 15:32:24</t>
  </si>
  <si>
    <t>総委重）社資（改築）工事（薬師橋詳細設計業務委託）</t>
  </si>
  <si>
    <t>24000033915</t>
  </si>
  <si>
    <t>2024/06/12 14:07</t>
  </si>
  <si>
    <t>17,514,000</t>
  </si>
  <si>
    <t>13,944,000</t>
  </si>
  <si>
    <t>2026/05/20 15:32:26</t>
  </si>
  <si>
    <t>６下八設第１号排水路実施設計等業務委託</t>
  </si>
  <si>
    <t>24000039801</t>
  </si>
  <si>
    <t>2024/06/12 10:57</t>
  </si>
  <si>
    <t>7,117,000</t>
  </si>
  <si>
    <t>8,680,000</t>
  </si>
  <si>
    <t>2026/05/20 15:32:28</t>
  </si>
  <si>
    <t>４２４５排水機場等維持修繕工事（排水機場耐震対策工積算支援業務委託）</t>
  </si>
  <si>
    <t>24100147878</t>
  </si>
  <si>
    <t>2024/06/11 10:04</t>
  </si>
  <si>
    <t>9,592,000</t>
  </si>
  <si>
    <t>2026/05/20 15:32:31</t>
  </si>
  <si>
    <t>川の再生推進工事（飯能河原設計業務委託）</t>
  </si>
  <si>
    <t>24000016137</t>
  </si>
  <si>
    <t>2024/06/10 13:31</t>
  </si>
  <si>
    <t>15,954,000</t>
  </si>
  <si>
    <t>12,702,000</t>
  </si>
  <si>
    <t>2026/05/20 15:32:33</t>
  </si>
  <si>
    <t>河川改修工事（春日部高校学校貯留測量設計業務委託）</t>
  </si>
  <si>
    <t>24000016802</t>
  </si>
  <si>
    <t>2024/06/07 13:27</t>
  </si>
  <si>
    <t>13,246,000</t>
  </si>
  <si>
    <t>10,416,000</t>
  </si>
  <si>
    <t>2026/05/20 15:32:35</t>
  </si>
  <si>
    <t>道路改築工事（道路詳細設計業務委託）本町工区</t>
  </si>
  <si>
    <t>24000030533</t>
  </si>
  <si>
    <t>2024/06/06 13:40</t>
  </si>
  <si>
    <t>6,705,000</t>
  </si>
  <si>
    <t>5,342,000</t>
  </si>
  <si>
    <t>2026/05/20 15:32:37</t>
  </si>
  <si>
    <t>街路改良工事（道路詳細設計業務委託）</t>
  </si>
  <si>
    <t>24000022841</t>
  </si>
  <si>
    <t>2024/06/06 13:20</t>
  </si>
  <si>
    <t>12,169,000</t>
  </si>
  <si>
    <t>9,692,000</t>
  </si>
  <si>
    <t>2026/05/20 15:32:39</t>
  </si>
  <si>
    <t>４２３２交付金（橋りょう維持）工事（白鷺橋耐震補強設計業務委託）</t>
  </si>
  <si>
    <t>24000021945</t>
  </si>
  <si>
    <t>2024/06/06 13:12</t>
  </si>
  <si>
    <t>13,453,000</t>
  </si>
  <si>
    <t>10,711,000</t>
  </si>
  <si>
    <t>2026/05/20 15:32:45</t>
  </si>
  <si>
    <t>社資交（改築）工事（大関橋詳細設計業務委託）１６１</t>
  </si>
  <si>
    <t>24000023916</t>
  </si>
  <si>
    <t>2024/06/06 13:03</t>
  </si>
  <si>
    <t>11,028,000</t>
  </si>
  <si>
    <t>8,784,000</t>
  </si>
  <si>
    <t>2026/05/20 15:32:47</t>
  </si>
  <si>
    <t>橋りょう補修工事（糠田橋補修設計業務委託）</t>
  </si>
  <si>
    <t>24100147682</t>
  </si>
  <si>
    <t>2024/06/06 11:23</t>
  </si>
  <si>
    <t>13,595,000</t>
  </si>
  <si>
    <t>10,824,000</t>
  </si>
  <si>
    <t>2026/05/20 15:32:49</t>
  </si>
  <si>
    <t>０２４吉改第１０１号滑川支線送水管更新（高坂中継ポンプ所周辺）実施設計業務委託</t>
  </si>
  <si>
    <t>24100147464</t>
  </si>
  <si>
    <t>2024/06/06 11:01</t>
  </si>
  <si>
    <t>16,650,000</t>
  </si>
  <si>
    <t>埼玉県 企業局 吉見浄水場</t>
  </si>
  <si>
    <t>株式会社日本水道設計社 さいたま営業所</t>
  </si>
  <si>
    <t>2026/05/20 15:32:52</t>
  </si>
  <si>
    <t>４２２９橋りょう修繕工事（共和橋階段部補修設計業務委託）</t>
  </si>
  <si>
    <t>24000022747</t>
  </si>
  <si>
    <t>2024/06/06 10:35</t>
  </si>
  <si>
    <t>7,602,000</t>
  </si>
  <si>
    <t>6,055,000</t>
  </si>
  <si>
    <t>2026/05/20 15:32:54</t>
  </si>
  <si>
    <t>河川改修工事（下沼橋予備設計業務委託）</t>
  </si>
  <si>
    <t>24000022853</t>
  </si>
  <si>
    <t>2024/06/05 15:02</t>
  </si>
  <si>
    <t>2026/05/20 15:32:56</t>
  </si>
  <si>
    <t>河川改修工事（沼橋予備設計業務委託）</t>
  </si>
  <si>
    <t>24000022843</t>
  </si>
  <si>
    <t>2024/06/05 14:38</t>
  </si>
  <si>
    <t>11,971,000</t>
  </si>
  <si>
    <t>9,535,000</t>
  </si>
  <si>
    <t>2026/05/20 15:32:58</t>
  </si>
  <si>
    <t>自歩道整備工事（擁壁詳細設計業務委託（戦場工区））</t>
  </si>
  <si>
    <t>24000033028</t>
  </si>
  <si>
    <t>2024/06/05 14:24</t>
  </si>
  <si>
    <t>4,083,000</t>
  </si>
  <si>
    <t>2026/05/20 15:33:00</t>
  </si>
  <si>
    <t>河川改修工事（横根上橋予備設計業務委託）</t>
  </si>
  <si>
    <t>24000022832</t>
  </si>
  <si>
    <t>2024/06/05 13:59</t>
  </si>
  <si>
    <t>11,993,000</t>
  </si>
  <si>
    <t>9,552,000</t>
  </si>
  <si>
    <t>2026/05/20 15:33:03</t>
  </si>
  <si>
    <t>砂防施設工事（室久保工区調査観測業務委託その２）</t>
  </si>
  <si>
    <t>24000033250</t>
  </si>
  <si>
    <t>2024/06/05 13:35</t>
  </si>
  <si>
    <t>2026/05/20 15:33:05</t>
  </si>
  <si>
    <t>令和６年度 総合都市交通体系調査（物資流動調査の補完調査）業務委託</t>
  </si>
  <si>
    <t>2024003</t>
  </si>
  <si>
    <t>2024/06/05 13:30</t>
  </si>
  <si>
    <t>20,879,000</t>
  </si>
  <si>
    <t>16,694,000</t>
  </si>
  <si>
    <t>一般財団法人計量計画研究所 本店</t>
  </si>
  <si>
    <t>2026/05/20 15:33:11</t>
  </si>
  <si>
    <t>24100147751</t>
  </si>
  <si>
    <t>2024/06/04 16:02</t>
  </si>
  <si>
    <t>13,401,000</t>
  </si>
  <si>
    <t>10,660,000</t>
  </si>
  <si>
    <t>2026/05/20 15:33:13</t>
  </si>
  <si>
    <t>24100147750</t>
  </si>
  <si>
    <t>2024/06/04 15:31</t>
  </si>
  <si>
    <t>14,188,000</t>
  </si>
  <si>
    <t>2026/05/20 15:33:15</t>
  </si>
  <si>
    <t>24100147748</t>
  </si>
  <si>
    <t>2024/06/04 15:15</t>
  </si>
  <si>
    <t>14,248,000</t>
  </si>
  <si>
    <t>11,333,000</t>
  </si>
  <si>
    <t>2026/05/20 15:33:17</t>
  </si>
  <si>
    <t>24100147746</t>
  </si>
  <si>
    <t>2024/06/04 14:40</t>
  </si>
  <si>
    <t>14,442,000</t>
  </si>
  <si>
    <t>11,487,000</t>
  </si>
  <si>
    <t>2026/05/20 15:33:19</t>
  </si>
  <si>
    <t>24000019300</t>
  </si>
  <si>
    <t>2024/06/04 14:12</t>
  </si>
  <si>
    <t>13,996,000</t>
  </si>
  <si>
    <t>11,139,000</t>
  </si>
  <si>
    <t>2026/05/20 15:33:21</t>
  </si>
  <si>
    <t>４２３６河川改修事業（水辺）工事（辰井川排水機場電源設備更新工設計業務）</t>
  </si>
  <si>
    <t>24100147697</t>
  </si>
  <si>
    <t>2024/06/04 10:30</t>
  </si>
  <si>
    <t>9,035,000</t>
  </si>
  <si>
    <t>2026/05/20 15:33:24</t>
  </si>
  <si>
    <t>24000013994</t>
  </si>
  <si>
    <t>2024/06/03 13:45</t>
  </si>
  <si>
    <t>5,912,000</t>
  </si>
  <si>
    <t>2026/05/20 15:33:26</t>
  </si>
  <si>
    <t>河川改修工事（工事監督支援業務委託Ｒ６－１）</t>
  </si>
  <si>
    <t>24000017033</t>
  </si>
  <si>
    <t>2024/06/03 13:00</t>
  </si>
  <si>
    <t>17,134,000</t>
  </si>
  <si>
    <t>13,750,000</t>
  </si>
  <si>
    <t>2026/05/20 15:33:28</t>
  </si>
  <si>
    <t>河川改修工事（備前渠川事業再評価業務委託）</t>
  </si>
  <si>
    <t>24000014014</t>
  </si>
  <si>
    <t>2024/05/30 15:22</t>
  </si>
  <si>
    <t>9,043,000</t>
  </si>
  <si>
    <t>7,197,000</t>
  </si>
  <si>
    <t>2026/05/20 15:33:30</t>
  </si>
  <si>
    <t>河川改修工事（白子川事業評価業務委託）</t>
  </si>
  <si>
    <t>24000013836</t>
  </si>
  <si>
    <t>2024/05/30 15:13</t>
  </si>
  <si>
    <t>9,856,000</t>
  </si>
  <si>
    <t>7,845,000</t>
  </si>
  <si>
    <t>2026/05/20 15:33:36</t>
  </si>
  <si>
    <t>河川改修工事（和田吉野川事業再評価業務委託）</t>
  </si>
  <si>
    <t>24000011979</t>
  </si>
  <si>
    <t>2024/05/30 15:03</t>
  </si>
  <si>
    <t>10,466,000</t>
  </si>
  <si>
    <t>8,330,000</t>
  </si>
  <si>
    <t>2026/05/20 15:33:38</t>
  </si>
  <si>
    <t>河川改修工事（笹目川事業評価業務委託）</t>
  </si>
  <si>
    <t>24000013829</t>
  </si>
  <si>
    <t>2024/05/30 14:51</t>
  </si>
  <si>
    <t>10,482,000</t>
  </si>
  <si>
    <t>8,342,000</t>
  </si>
  <si>
    <t>2026/05/20 15:33:40</t>
  </si>
  <si>
    <t>河川改修工事（女堀川事業再評価業務委託）</t>
  </si>
  <si>
    <t>24000014048</t>
  </si>
  <si>
    <t>2024/05/30 14:40</t>
  </si>
  <si>
    <t>10,552,000</t>
  </si>
  <si>
    <t>2026/05/20 15:33:42</t>
  </si>
  <si>
    <t>河川改修工事（市野川事業再評価業務委託）</t>
  </si>
  <si>
    <t>24000011939</t>
  </si>
  <si>
    <t>2024/05/30 14:30</t>
  </si>
  <si>
    <t>10,359,000</t>
  </si>
  <si>
    <t>2026/05/20 15:33:44</t>
  </si>
  <si>
    <t>河川改修（水辺）工事（入間川護岸修繕設計業務委託）</t>
  </si>
  <si>
    <t>24000023331</t>
  </si>
  <si>
    <t>2024/05/30 14:13</t>
  </si>
  <si>
    <t>2026/05/20 15:33:47</t>
  </si>
  <si>
    <t>右岸流域処理場水処理検討業務委託（令和６年度）</t>
  </si>
  <si>
    <t>24200147585</t>
  </si>
  <si>
    <t>2024/05/30 13:35</t>
  </si>
  <si>
    <t>10,615,000</t>
  </si>
  <si>
    <t>8,446,000</t>
  </si>
  <si>
    <t>2026/05/20 15:33:49</t>
  </si>
  <si>
    <t>電線地中化（道路）整備工事（積算技術業務委託）</t>
  </si>
  <si>
    <t>24000021417</t>
  </si>
  <si>
    <t>2024/05/30 13:30</t>
  </si>
  <si>
    <t>5,959,000</t>
  </si>
  <si>
    <t>4,739,000</t>
  </si>
  <si>
    <t>2026/05/20 15:33:51</t>
  </si>
  <si>
    <t>河川改修工事（荒川左岸ブロック事業再評価業務委託）</t>
  </si>
  <si>
    <t>24000013466</t>
  </si>
  <si>
    <t>2024/05/30 13:25</t>
  </si>
  <si>
    <t>10,901,000</t>
  </si>
  <si>
    <t>2026/05/20 15:33:53</t>
  </si>
  <si>
    <t>河川改修工事（鴨川積算支援業務委託）</t>
  </si>
  <si>
    <t>24000016818</t>
  </si>
  <si>
    <t>2024/05/30 13:10</t>
  </si>
  <si>
    <t>16,892,000</t>
  </si>
  <si>
    <t>13,434,000</t>
  </si>
  <si>
    <t>2026/05/20 15:33:55</t>
  </si>
  <si>
    <t>道路改築工事（（仮称）利根川新橋アクセス道路予備設計業務委託）０８１</t>
  </si>
  <si>
    <t>24000015320</t>
  </si>
  <si>
    <t>17,637,000</t>
  </si>
  <si>
    <t>14,045,000</t>
  </si>
  <si>
    <t>2026/05/20 15:34:01</t>
  </si>
  <si>
    <t>６秩用設第１号第３サイホン機能診断業務委託</t>
  </si>
  <si>
    <t>24000025722</t>
  </si>
  <si>
    <t>2024/05/30 10:34</t>
  </si>
  <si>
    <t>8,930,000</t>
  </si>
  <si>
    <t>2026/05/20 15:34:03</t>
  </si>
  <si>
    <t>６桜奈設第１号奈倉橋橋梁点検診断業務委託</t>
  </si>
  <si>
    <t>24000025528</t>
  </si>
  <si>
    <t>2024/05/30 10:11</t>
  </si>
  <si>
    <t>8,630,000</t>
  </si>
  <si>
    <t>6,893,000</t>
  </si>
  <si>
    <t>2026/05/20 15:34:05</t>
  </si>
  <si>
    <t>６芳設第１号取水堰整備実施設計業務委託</t>
  </si>
  <si>
    <t>24000028282</t>
  </si>
  <si>
    <t>2024/05/30 10:01</t>
  </si>
  <si>
    <t>4,521,000</t>
  </si>
  <si>
    <t>2026/05/20 15:34:08</t>
  </si>
  <si>
    <t>特別史跡埼玉古墳群鉄砲山古墳整備事業実施設計業務委託</t>
  </si>
  <si>
    <t>24000020021</t>
  </si>
  <si>
    <t>2024/05/29 09:00</t>
  </si>
  <si>
    <t>5,113,000</t>
  </si>
  <si>
    <t>埼玉県 教育機関 さきたま史跡の博物館</t>
  </si>
  <si>
    <t>2026/05/20 15:34:10</t>
  </si>
  <si>
    <t>道路構造物維持工事（鶴馬電線共同溝詳細設計業務委託）</t>
  </si>
  <si>
    <t>24100147371</t>
  </si>
  <si>
    <t>2024/05/28 13:38</t>
  </si>
  <si>
    <t>2026/05/20 15:34:12</t>
  </si>
  <si>
    <t>古利根流域工事監督支援業務委託その１</t>
  </si>
  <si>
    <t>24200147516</t>
  </si>
  <si>
    <t>2024/05/28 13:31</t>
  </si>
  <si>
    <t>7,635,000</t>
  </si>
  <si>
    <t>6,127,000</t>
  </si>
  <si>
    <t>2026/05/20 15:34:14</t>
  </si>
  <si>
    <t>ダム等施設管理工事（選択取水設備ゲート等修繕設計業務委託）</t>
  </si>
  <si>
    <t>24000006655</t>
  </si>
  <si>
    <t>2024/05/27 13:10</t>
  </si>
  <si>
    <t>11,015,000</t>
  </si>
  <si>
    <t>2026/05/20 15:34:16</t>
  </si>
  <si>
    <t>次期埼玉県生活排水処理施設整備構想に係る県マニュアル改定等業務委託</t>
  </si>
  <si>
    <t>20240510seihai</t>
  </si>
  <si>
    <t>2024/05/27 11:02</t>
  </si>
  <si>
    <t>8,040,000</t>
  </si>
  <si>
    <t>9,800,000</t>
  </si>
  <si>
    <t>2026/05/20 15:34:18</t>
  </si>
  <si>
    <t>令和６年度堅果類豊凶調査業務</t>
  </si>
  <si>
    <t>20240509</t>
  </si>
  <si>
    <t>2024/05/27 10:03</t>
  </si>
  <si>
    <t>1,613,000</t>
  </si>
  <si>
    <t>1,209,750</t>
  </si>
  <si>
    <t>株式会社緑生研究所 埼玉事務所</t>
  </si>
  <si>
    <t>1,220,000</t>
  </si>
  <si>
    <t>2026/05/20 15:34:21</t>
  </si>
  <si>
    <t>橋りょう補修工事（下古河橋外補修設計業務委託）</t>
  </si>
  <si>
    <t>24100147159</t>
  </si>
  <si>
    <t>2024/05/24 10:21</t>
  </si>
  <si>
    <t>7,040,000</t>
  </si>
  <si>
    <t>5,608,000</t>
  </si>
  <si>
    <t>66</t>
  </si>
  <si>
    <t>2026/05/20 15:34:26</t>
  </si>
  <si>
    <t>橋りょう修繕工事（安藤橋外修繕設計業務委託）</t>
  </si>
  <si>
    <t>24000010845</t>
  </si>
  <si>
    <t>2024/05/24 09:36</t>
  </si>
  <si>
    <t>9,451,000</t>
  </si>
  <si>
    <t>68</t>
  </si>
  <si>
    <t>2026/05/20 15:34:29</t>
  </si>
  <si>
    <t>舗装道整備工事（ＦＷＤ調査業務委託）</t>
  </si>
  <si>
    <t>24000016623</t>
  </si>
  <si>
    <t>2024/05/23 14:54</t>
  </si>
  <si>
    <t>5,933,000</t>
  </si>
  <si>
    <t>2026/05/20 15:34:31</t>
  </si>
  <si>
    <t>24000016519</t>
  </si>
  <si>
    <t>2024/05/23 13:17</t>
  </si>
  <si>
    <t>4,515,000</t>
  </si>
  <si>
    <t>3,536,000</t>
  </si>
  <si>
    <t>2026/05/20 15:34:33</t>
  </si>
  <si>
    <t>社資交（改築）工事（擁壁詳細設計業務委託その２）１２２</t>
  </si>
  <si>
    <t>24000011714</t>
  </si>
  <si>
    <t>2024/05/23 13:11</t>
  </si>
  <si>
    <t>17,988,000</t>
  </si>
  <si>
    <t>2026/05/20 15:34:35</t>
  </si>
  <si>
    <t>自転車歩行者道整備工事・河川改修工事（工事監督支援業務委託）</t>
  </si>
  <si>
    <t>24000011050</t>
  </si>
  <si>
    <t>2024/05/23 10:36</t>
  </si>
  <si>
    <t>16,716,000</t>
  </si>
  <si>
    <t>13,415,000</t>
  </si>
  <si>
    <t>2026/05/20 15:34:37</t>
  </si>
  <si>
    <t>自転車通行環境整備工事（路面標示詳細設計業務委託）</t>
  </si>
  <si>
    <t>24100147256</t>
  </si>
  <si>
    <t>2024/05/23 10:16</t>
  </si>
  <si>
    <t>9,820,000</t>
  </si>
  <si>
    <t>7,820,000</t>
  </si>
  <si>
    <t>2026/05/20 15:34:40</t>
  </si>
  <si>
    <t>４２３３交差点整備工事（大広戸測量設計業務委託）</t>
  </si>
  <si>
    <t>24000009263</t>
  </si>
  <si>
    <t>2024/05/23 10:10</t>
  </si>
  <si>
    <t>8,692,000</t>
  </si>
  <si>
    <t>2026/05/20 15:34:42</t>
  </si>
  <si>
    <t>令和６年度まちづくり埼玉プラン策定基礎検討業務委託</t>
  </si>
  <si>
    <t>2024001</t>
  </si>
  <si>
    <t>2024/05/23 10:03</t>
  </si>
  <si>
    <t>9,383,000</t>
  </si>
  <si>
    <t>2026/05/20 15:34:44</t>
  </si>
  <si>
    <t>６嵐山－２４号 開発変更申請その２業務委託</t>
  </si>
  <si>
    <t>24100147228</t>
  </si>
  <si>
    <t>2024/05/23 10:00</t>
  </si>
  <si>
    <t>3,889,000</t>
  </si>
  <si>
    <t>3,096,000</t>
  </si>
  <si>
    <t>3,500,000</t>
  </si>
  <si>
    <t>2026/05/20 15:34:46</t>
  </si>
  <si>
    <t>橋りょう架換工事（光ケーブル移設検討業務委託）</t>
  </si>
  <si>
    <t>24000007388</t>
  </si>
  <si>
    <t>2024/05/23 09:32</t>
  </si>
  <si>
    <t>5,473,000</t>
  </si>
  <si>
    <t>2026/05/20 15:34:52</t>
  </si>
  <si>
    <t>河川改修（水辺）工事（小規模災害復旧調査設計業務委託）</t>
  </si>
  <si>
    <t>24000018816</t>
  </si>
  <si>
    <t>2024/05/22 14:15</t>
  </si>
  <si>
    <t>2,406,000</t>
  </si>
  <si>
    <t>1,918,000</t>
  </si>
  <si>
    <t>2,180,000</t>
  </si>
  <si>
    <t>2026/05/20 15:34:54</t>
  </si>
  <si>
    <t>砂防維持修繕工事（定峰川伸縮計観測業務委託）</t>
  </si>
  <si>
    <t>24000013024</t>
  </si>
  <si>
    <t>2024/05/22 13:55</t>
  </si>
  <si>
    <t>1,836,000</t>
  </si>
  <si>
    <t>2026/05/20 15:34:56</t>
  </si>
  <si>
    <t>砂防施設（補助）工事（空堀川地すべり観測業務委託）</t>
  </si>
  <si>
    <t>24100147056</t>
  </si>
  <si>
    <t>2024/05/22 13:16</t>
  </si>
  <si>
    <t>8,537,000</t>
  </si>
  <si>
    <t>6,686,000</t>
  </si>
  <si>
    <t>2026/05/20 15:34:59</t>
  </si>
  <si>
    <t>砂防施設（補助）工事（下モ地すべり観測業務委託）</t>
  </si>
  <si>
    <t>24100147054</t>
  </si>
  <si>
    <t>2024/05/22 13:09</t>
  </si>
  <si>
    <t>15,061,000</t>
  </si>
  <si>
    <t>11,882,000</t>
  </si>
  <si>
    <t>2026/05/20 15:35:01</t>
  </si>
  <si>
    <t>砂防施設（補助）工事（上の山地すべり観測業務委託）</t>
  </si>
  <si>
    <t>24100147053</t>
  </si>
  <si>
    <t>2024/05/22 13:00</t>
  </si>
  <si>
    <t>14,348,000</t>
  </si>
  <si>
    <t>2026/05/20 15:35:03</t>
  </si>
  <si>
    <t>６荻殿線外１路線森林管理道改良測量設計業務</t>
  </si>
  <si>
    <t>24000016060</t>
  </si>
  <si>
    <t>2024/05/22 09:26</t>
  </si>
  <si>
    <t>2,020,000</t>
  </si>
  <si>
    <t>1,597,000</t>
  </si>
  <si>
    <t>1,890,000</t>
  </si>
  <si>
    <t>2026/05/20 15:35:05</t>
  </si>
  <si>
    <t>４３０５舗装道整備工事（ＦＷＤ調査業務委託）</t>
  </si>
  <si>
    <t>24000013598</t>
  </si>
  <si>
    <t>2024/05/20 13:47</t>
  </si>
  <si>
    <t>3,219,000</t>
  </si>
  <si>
    <t>2,519,000</t>
  </si>
  <si>
    <t>2026/05/20 15:35:07</t>
  </si>
  <si>
    <t>４２０２道路改築事業工事（道路設計業務委託）</t>
  </si>
  <si>
    <t>24000009711</t>
  </si>
  <si>
    <t>2024/05/20 13:15</t>
  </si>
  <si>
    <t>17,008,000</t>
  </si>
  <si>
    <t>13,544,000</t>
  </si>
  <si>
    <t>2026/05/20 15:35:10</t>
  </si>
  <si>
    <t>橋りょう修繕工事（皿沼橋外・工事監督支援業務委託）</t>
  </si>
  <si>
    <t>24100147263</t>
  </si>
  <si>
    <t>2024/05/17 10:21</t>
  </si>
  <si>
    <t>7,541,000</t>
  </si>
  <si>
    <t>6,052,000</t>
  </si>
  <si>
    <t>2026/05/20 15:35:12</t>
  </si>
  <si>
    <t>橋りょう修繕工事（新根金橋耐震補強修正設計業務委託）</t>
  </si>
  <si>
    <t>24000010773</t>
  </si>
  <si>
    <t>2024/05/17 10:01</t>
  </si>
  <si>
    <t>6,301,000</t>
  </si>
  <si>
    <t>5,019,000</t>
  </si>
  <si>
    <t>5,900,000</t>
  </si>
  <si>
    <t>2026/05/20 15:35:17</t>
  </si>
  <si>
    <t>右岸流域処理場２号汚泥焼却炉建築工事施工監理業務委託</t>
  </si>
  <si>
    <t>24200147040</t>
  </si>
  <si>
    <t>2024/05/17 10:00</t>
  </si>
  <si>
    <t>3,508,000</t>
  </si>
  <si>
    <t>2026/05/20 15:35:19</t>
  </si>
  <si>
    <t>24000013481</t>
  </si>
  <si>
    <t>2024/05/16 13:30</t>
  </si>
  <si>
    <t>3,627,000</t>
  </si>
  <si>
    <t>2,816,000</t>
  </si>
  <si>
    <t>2026/05/20 15:35:22</t>
  </si>
  <si>
    <t>６さい中設第２号事業変更計画書作成業務委託</t>
  </si>
  <si>
    <t>24000014685</t>
  </si>
  <si>
    <t>2024/05/16 10:03</t>
  </si>
  <si>
    <t>7,099,000</t>
  </si>
  <si>
    <t>2026/05/20 15:35:24</t>
  </si>
  <si>
    <t>砂防維持修繕工事（中の沢工区地すべり調査業務委託）</t>
  </si>
  <si>
    <t>24100146853</t>
  </si>
  <si>
    <t>2024/05/15 14:42</t>
  </si>
  <si>
    <t>4,143,000</t>
  </si>
  <si>
    <t>2026/05/20 15:35:26</t>
  </si>
  <si>
    <t>24100146852</t>
  </si>
  <si>
    <t>2024/05/15 14:28</t>
  </si>
  <si>
    <t>7,335,000</t>
  </si>
  <si>
    <t>2026/05/20 15:35:28</t>
  </si>
  <si>
    <t>砂防施設事業工事（桜ヶ谷工区地すべり調査業務委託）</t>
  </si>
  <si>
    <t>24100146851</t>
  </si>
  <si>
    <t>2024/05/15 13:29</t>
  </si>
  <si>
    <t>9,228,000</t>
  </si>
  <si>
    <t>2026/05/20 15:35:30</t>
  </si>
  <si>
    <t>24100146849</t>
  </si>
  <si>
    <t>2024/05/15 13:13</t>
  </si>
  <si>
    <t>13,189,000</t>
  </si>
  <si>
    <t>10,381,000</t>
  </si>
  <si>
    <t>2026/05/20 15:35:33</t>
  </si>
  <si>
    <t>公園等建設工事（スケートボード施設設置調査業務委託）</t>
  </si>
  <si>
    <t>24000006198</t>
  </si>
  <si>
    <t>2024/05/14 13:33</t>
  </si>
  <si>
    <t>2026/05/20 15:35:35</t>
  </si>
  <si>
    <t>埼玉県県営住宅長寿命化計画等見直し業務</t>
  </si>
  <si>
    <t>10H00020240422001</t>
  </si>
  <si>
    <t>2024/05/14 10:27</t>
  </si>
  <si>
    <t>18,073,000</t>
  </si>
  <si>
    <t>14,381,000</t>
  </si>
  <si>
    <t>埼玉県 都市整備部 住宅課</t>
  </si>
  <si>
    <t>2026/05/20 15:35:37</t>
  </si>
  <si>
    <t>４２２６街路整備工事（騒音対策検討業務委託）</t>
  </si>
  <si>
    <t>24000006340</t>
  </si>
  <si>
    <t>2024/05/14 10:11</t>
  </si>
  <si>
    <t>2026/05/20 15:35:44</t>
  </si>
  <si>
    <t>交差点整備工事（設計業務委託）</t>
  </si>
  <si>
    <t>24000009332</t>
  </si>
  <si>
    <t>2024/05/13 13:38</t>
  </si>
  <si>
    <t>4,408,000</t>
  </si>
  <si>
    <t>3,513,000</t>
  </si>
  <si>
    <t>2026/05/20 15:35:46</t>
  </si>
  <si>
    <t>街路整備工事（道路予備設計業務委託）</t>
  </si>
  <si>
    <t>24000008123</t>
  </si>
  <si>
    <t>2024/05/13 13:30</t>
  </si>
  <si>
    <t>8,524,000</t>
  </si>
  <si>
    <t>6,790,000</t>
  </si>
  <si>
    <t>2026/05/20 15:35:49</t>
  </si>
  <si>
    <t>街路整備工事（費用便益分析業務委託）</t>
  </si>
  <si>
    <t>24000009295</t>
  </si>
  <si>
    <t>2024/05/13 13:29</t>
  </si>
  <si>
    <t>8,416,000</t>
  </si>
  <si>
    <t>2026/05/20 15:35:51</t>
  </si>
  <si>
    <t>自転車歩行者道整備工事（積算技術業務委託）</t>
  </si>
  <si>
    <t>24000006327</t>
  </si>
  <si>
    <t>2024/05/13 13:21</t>
  </si>
  <si>
    <t>6,625,000</t>
  </si>
  <si>
    <t>2026/05/20 15:35:53</t>
  </si>
  <si>
    <t>０２４水整第６０１号大久保浄水場高度浄水処理施設基礎杭工事監督支援業務委託</t>
  </si>
  <si>
    <t>24100146992</t>
  </si>
  <si>
    <t>2024/05/10 10:02</t>
  </si>
  <si>
    <t>15,512,000</t>
  </si>
  <si>
    <t>12,456,000</t>
  </si>
  <si>
    <t>2026/05/20 15:35:55</t>
  </si>
  <si>
    <t>６村君設第１号積算参考資料作成業務委託</t>
  </si>
  <si>
    <t>24000008284</t>
  </si>
  <si>
    <t>2024/05/10 10:00</t>
  </si>
  <si>
    <t>1,450,000</t>
  </si>
  <si>
    <t>1,156,000</t>
  </si>
  <si>
    <t>1,380,000</t>
  </si>
  <si>
    <t>2026/05/20 15:35:57</t>
  </si>
  <si>
    <t>街路整備工事（付替水路・道路詳細設計業務委託）</t>
  </si>
  <si>
    <t>24000004196</t>
  </si>
  <si>
    <t>2024/05/09 09:33</t>
  </si>
  <si>
    <t>5,315,000</t>
  </si>
  <si>
    <t>6,280,000</t>
  </si>
  <si>
    <t>2026/05/20 15:35:59</t>
  </si>
  <si>
    <t>６鴻巣－２０号工事監督支援その２業務委託</t>
  </si>
  <si>
    <t>24100146789</t>
  </si>
  <si>
    <t>2024/05/08 10:01</t>
  </si>
  <si>
    <t>11,724,000</t>
  </si>
  <si>
    <t>9,397,000</t>
  </si>
  <si>
    <t>9,467,000</t>
  </si>
  <si>
    <t>2026/05/20 15:36:02</t>
  </si>
  <si>
    <t>河川改修工事（合流点処理施設概略検討業務委託）</t>
  </si>
  <si>
    <t>23100145615</t>
  </si>
  <si>
    <t>2024/04/26 14:05</t>
  </si>
  <si>
    <t>24,212,000</t>
  </si>
  <si>
    <t>2026/05/20 15:36:04</t>
  </si>
  <si>
    <t>河川改修工事（新方川洪水調節施設検討業務委託）</t>
  </si>
  <si>
    <t>23100145614</t>
  </si>
  <si>
    <t>2024/04/26 13:31</t>
  </si>
  <si>
    <t>31,051,000</t>
  </si>
  <si>
    <t>2026/05/20 15:36:10</t>
  </si>
  <si>
    <t>３２８８街路整備工事（西袋工区費用便益分析業務委託）</t>
  </si>
  <si>
    <t>1357790</t>
  </si>
  <si>
    <t>2024/04/25 14:06</t>
  </si>
  <si>
    <t>9,859,000</t>
  </si>
  <si>
    <t>7,849,000</t>
  </si>
  <si>
    <t>2026/05/20 15:36:12</t>
  </si>
  <si>
    <t>橋りょう架換工事（船原橋詳細設計業務委託）</t>
  </si>
  <si>
    <t>23100146583</t>
  </si>
  <si>
    <t>2024/04/25 13:30</t>
  </si>
  <si>
    <t>41,537,000</t>
  </si>
  <si>
    <t>33,063,000</t>
  </si>
  <si>
    <t>2026/05/20 15:36:14</t>
  </si>
  <si>
    <t>６権３設第１号事業再評価資料作成業務委託</t>
  </si>
  <si>
    <t>24000005608</t>
  </si>
  <si>
    <t>2024/04/25 13:10</t>
  </si>
  <si>
    <t>2,640,000</t>
  </si>
  <si>
    <t>2,105,000</t>
  </si>
  <si>
    <t>2026/05/20 15:36:16</t>
  </si>
  <si>
    <t>６美里－１号 環境調査業務委託</t>
  </si>
  <si>
    <t>24100146691</t>
  </si>
  <si>
    <t>2024/04/25 10:00</t>
  </si>
  <si>
    <t>43,688,000</t>
  </si>
  <si>
    <t>34,813,000</t>
  </si>
  <si>
    <t>2026/05/20 15:36:18</t>
  </si>
  <si>
    <t>０２４大改第６５９号 中央系電気設備更新実施設計業務委託</t>
  </si>
  <si>
    <t>23100146180</t>
  </si>
  <si>
    <t>2024/04/23 14:31</t>
  </si>
  <si>
    <t>17,140,000</t>
  </si>
  <si>
    <t>13,645,000</t>
  </si>
  <si>
    <t>2026/05/20 15:36:20</t>
  </si>
  <si>
    <t>０２４大改第６５８号 北系取水ポンプ設備増設実施設計業務委託</t>
  </si>
  <si>
    <t>23100146179</t>
  </si>
  <si>
    <t>2024/04/23 14:21</t>
  </si>
  <si>
    <t>16,580,000</t>
  </si>
  <si>
    <t>13,200,000</t>
  </si>
  <si>
    <t>2026/05/20 15:36:23</t>
  </si>
  <si>
    <t>2024040801</t>
  </si>
  <si>
    <t>2024/04/23 10:09</t>
  </si>
  <si>
    <t>2026/05/20 15:36:25</t>
  </si>
  <si>
    <t>総委重）地域整備事業調整池検討その２業務委託</t>
  </si>
  <si>
    <t>24100146724</t>
  </si>
  <si>
    <t>2024/04/23 10:05</t>
  </si>
  <si>
    <t>8,216,000</t>
  </si>
  <si>
    <t>2026/05/20 15:36:27</t>
  </si>
  <si>
    <t>総委重）地域整備事業調整池検討その１業務委託</t>
  </si>
  <si>
    <t>24100146723</t>
  </si>
  <si>
    <t>2024/04/23 09:11</t>
  </si>
  <si>
    <t>2026/05/20 15:36:29</t>
  </si>
  <si>
    <t>令和６年度 保留地販売等支援業務委託</t>
  </si>
  <si>
    <t>24100146690</t>
  </si>
  <si>
    <t>2024/04/22 14:34</t>
  </si>
  <si>
    <t>4,516,000</t>
  </si>
  <si>
    <t>3,643,000</t>
  </si>
  <si>
    <t>2026/05/20 15:36:35</t>
  </si>
  <si>
    <t>公園等施設補修工事（権現堂４号公園桜保全方策検討業務委託）</t>
  </si>
  <si>
    <t>23100146514</t>
  </si>
  <si>
    <t>2024/04/22 13:08</t>
  </si>
  <si>
    <t>16,267,000</t>
  </si>
  <si>
    <t>13,197,000</t>
  </si>
  <si>
    <t>2026/05/20 15:36:37</t>
  </si>
  <si>
    <t>橋りょう修繕工事（環境対策検討業務委託）３７４</t>
  </si>
  <si>
    <t>24100146702</t>
  </si>
  <si>
    <t>2024/04/19 14:16</t>
  </si>
  <si>
    <t>18,180,000</t>
  </si>
  <si>
    <t>2026/05/20 15:36:39</t>
  </si>
  <si>
    <t>０２４水整第１５２号吉見浄水場拡張用地土壌調査その２業務委託</t>
  </si>
  <si>
    <t>23100146590</t>
  </si>
  <si>
    <t>2024/04/19 14:01</t>
  </si>
  <si>
    <t>11,685,000</t>
  </si>
  <si>
    <t>2026/05/20 15:36:41</t>
  </si>
  <si>
    <t>23100146507</t>
  </si>
  <si>
    <t>2024/04/19 13:51</t>
  </si>
  <si>
    <t>14,421,000</t>
  </si>
  <si>
    <t>10,879,000</t>
  </si>
  <si>
    <t>2026/05/20 15:36:44</t>
  </si>
  <si>
    <t>０２４水整第１５３号吉見浄水場拡張用地土壌調査その３業務委託</t>
  </si>
  <si>
    <t>23100146591</t>
  </si>
  <si>
    <t>2024/04/19 13:04</t>
  </si>
  <si>
    <t>11,706,000</t>
  </si>
  <si>
    <t>9,607,000</t>
  </si>
  <si>
    <t>2026/05/20 15:36:46</t>
  </si>
  <si>
    <t>20240405</t>
  </si>
  <si>
    <t>2024/04/19 11:14</t>
  </si>
  <si>
    <t>12,235,000</t>
  </si>
  <si>
    <t>9,790,000</t>
  </si>
  <si>
    <t>2026/05/20 15:36:48</t>
  </si>
  <si>
    <t>令和６年度 換地設計業務委託</t>
  </si>
  <si>
    <t>23100146667</t>
  </si>
  <si>
    <t>2024/04/18 13:32</t>
  </si>
  <si>
    <t>2026/05/20 15:36:50</t>
  </si>
  <si>
    <t>橋りょう補修工事（庚申橋外補修設計業務委託）</t>
  </si>
  <si>
    <t>23000326992</t>
  </si>
  <si>
    <t>2024/04/17 15:16</t>
  </si>
  <si>
    <t>9,281,000</t>
  </si>
  <si>
    <t>7,395,000</t>
  </si>
  <si>
    <t>2026/05/20 15:36:52</t>
  </si>
  <si>
    <t>橋りょう補修工事（美女ヶ平橋補修設計業務委託）</t>
  </si>
  <si>
    <t>23000327581</t>
  </si>
  <si>
    <t>2024/04/17 14:53</t>
  </si>
  <si>
    <t>14,563,000</t>
  </si>
  <si>
    <t>11,624,000</t>
  </si>
  <si>
    <t>株式会社明友技建 東京事務所</t>
  </si>
  <si>
    <t>2026/05/20 15:36:55</t>
  </si>
  <si>
    <t>道路構造物維持工事（電線共同溝詳細設計業務委託）</t>
  </si>
  <si>
    <t>23000327689</t>
  </si>
  <si>
    <t>2024/04/17 14:34</t>
  </si>
  <si>
    <t>15,152,000</t>
  </si>
  <si>
    <t>12,067,000</t>
  </si>
  <si>
    <t>2026/05/20 15:37:00</t>
  </si>
  <si>
    <t>23100146404</t>
  </si>
  <si>
    <t>2024/04/16 09:03</t>
  </si>
  <si>
    <t>4,322,000</t>
  </si>
  <si>
    <t>2026/05/20 15:37:03</t>
  </si>
  <si>
    <t>砂防施設工事（上殿川護岸測量設計業務委託）</t>
  </si>
  <si>
    <t>23000322076</t>
  </si>
  <si>
    <t>2024/04/15 13:23</t>
  </si>
  <si>
    <t>6,140,000</t>
  </si>
  <si>
    <t>4,834,000</t>
  </si>
  <si>
    <t>5,740,000</t>
  </si>
  <si>
    <t>2026/05/20 15:37:05</t>
  </si>
  <si>
    <t>河川改修工事（仮称月見台調節池水理模型実験業務委託）</t>
  </si>
  <si>
    <t>23100145812</t>
  </si>
  <si>
    <t>2024/04/15 11:02</t>
  </si>
  <si>
    <t>54,372,000</t>
  </si>
  <si>
    <t>2026/05/20 15:37:07</t>
  </si>
  <si>
    <t>砂防維持修繕工事（Ｒ６積算技術業務委託その４）</t>
  </si>
  <si>
    <t>23000332341</t>
  </si>
  <si>
    <t>2024/04/12 14:33</t>
  </si>
  <si>
    <t>2026/05/20 15:37:09</t>
  </si>
  <si>
    <t>河川改修工事（Ｒ６積算技術業務委託その３）</t>
  </si>
  <si>
    <t>23100146529</t>
  </si>
  <si>
    <t>2024/04/12 14:07</t>
  </si>
  <si>
    <t>13,797,000</t>
  </si>
  <si>
    <t>2026/05/20 15:37:11</t>
  </si>
  <si>
    <t>23100146513</t>
  </si>
  <si>
    <t>2024/04/12 13:29</t>
  </si>
  <si>
    <t>2026/05/20 15:37:14</t>
  </si>
  <si>
    <t>23100146254</t>
  </si>
  <si>
    <t>2024/04/12 13:22</t>
  </si>
  <si>
    <t>4,330,000</t>
  </si>
  <si>
    <t>2026/05/20 15:37:16</t>
  </si>
  <si>
    <t>河川改修工事（大落古利根川小渕工区測量設計業務委託）</t>
  </si>
  <si>
    <t>23000322783</t>
  </si>
  <si>
    <t>2024/04/10 14:16</t>
  </si>
  <si>
    <t>11,013,000</t>
  </si>
  <si>
    <t>8,688,000</t>
  </si>
  <si>
    <t>2026/05/20 15:37:18</t>
  </si>
  <si>
    <t>社資（河川）工事（古隅田川詳細設計業務委託）</t>
  </si>
  <si>
    <t>23000324398</t>
  </si>
  <si>
    <t>2024/04/10 13:37</t>
  </si>
  <si>
    <t>15,559,000</t>
  </si>
  <si>
    <t>12,391,000</t>
  </si>
  <si>
    <t>2026/05/20 15:37:20</t>
  </si>
  <si>
    <t>中川流域三郷幹線外管渠耐震診断業務委託</t>
  </si>
  <si>
    <t>23240000111</t>
  </si>
  <si>
    <t>2024/04/09 13:31</t>
  </si>
  <si>
    <t>33,442,000</t>
  </si>
  <si>
    <t>26,615,000</t>
  </si>
  <si>
    <t>2026/05/20 15:37:26</t>
  </si>
  <si>
    <t>河川改修工事（Ｒ６積算技術業務委託その２）</t>
  </si>
  <si>
    <t>23000331227</t>
  </si>
  <si>
    <t>2024/04/08 14:39</t>
  </si>
  <si>
    <t>7,298,000</t>
  </si>
  <si>
    <t>2026/05/20 15:37:28</t>
  </si>
  <si>
    <t>河川改修工事（Ｒ６積算技術業務委託その１）</t>
  </si>
  <si>
    <t>23000330729</t>
  </si>
  <si>
    <t>2024/04/08 14:09</t>
  </si>
  <si>
    <t>8,499,000</t>
  </si>
  <si>
    <t>さいたま市</t>
  </si>
  <si>
    <t>東浦和地区説明会資料作成等業務</t>
  </si>
  <si>
    <t>2026/05/19 13:31</t>
  </si>
  <si>
    <t>さいたま市 都市局まちづくり推進部 （都市局まちづくり推進部）</t>
  </si>
  <si>
    <t>ＪＣＨＯさいたま北部医療センター跡地周辺道路詳細設計等業務</t>
  </si>
  <si>
    <t>2026/05/14 15:26</t>
  </si>
  <si>
    <t>さいたま市 財政局契約管理部 契約課</t>
  </si>
  <si>
    <t>浦和東部第一特定土地区画整理事業 道路詳細設計等業務（Ｒ８）</t>
  </si>
  <si>
    <t>2026/05/14 15:05</t>
  </si>
  <si>
    <t>大門下野田特定土地区画整理事業 道路詳細設計等業務（Ｒ８）</t>
  </si>
  <si>
    <t>2026/05/14 14:56</t>
  </si>
  <si>
    <t>岩槻駅西口土地区画整理事業 境堀排水路詳細設計業務（Ｒ８）</t>
  </si>
  <si>
    <t>2026/05/14 14:50</t>
  </si>
  <si>
    <t>配水支管布設工事（その３）の実施設計</t>
  </si>
  <si>
    <t>2026/05/14 09:28</t>
  </si>
  <si>
    <t>さいたま市 水道局業務部 管財課</t>
  </si>
  <si>
    <t>老朽管布設替工事（その１）の実施設計</t>
  </si>
  <si>
    <t>2026/05/14 09:23</t>
  </si>
  <si>
    <t>配水支管布設工事（その２）の実施設計</t>
  </si>
  <si>
    <t>2026/05/14 09:17</t>
  </si>
  <si>
    <t>共進調査設計株式会社 本店</t>
  </si>
  <si>
    <t>配水支管布設工事（その１）の実施設計</t>
  </si>
  <si>
    <t>2026/05/14 09:08</t>
  </si>
  <si>
    <t>カツミテクノ株式会社 本店</t>
  </si>
  <si>
    <t>河川管理施設等構造照査業務（南河単契R8）</t>
  </si>
  <si>
    <t>2026/05/12 14:15</t>
  </si>
  <si>
    <t>さいたま市 建設局南部建設事務所 河川整備課</t>
  </si>
  <si>
    <t>東京コンサルタンツ株式会社 さいたま事務所</t>
  </si>
  <si>
    <t>東浦和第二土地区画整理事業 仮換地指定変更及び杭打測量業務［単価契約R8］</t>
  </si>
  <si>
    <t>2026/05/12 13:49</t>
  </si>
  <si>
    <t>株式会社日測 埼玉支店</t>
  </si>
  <si>
    <t>浦和東部第一特定土地区画整理事業 駅前街区保留地公募支援等業務</t>
  </si>
  <si>
    <t>2026/05/12 13:41</t>
  </si>
  <si>
    <t>南与野駅西口土地区画整理事業 換地設計修正外業務（Ｒ８単契）</t>
  </si>
  <si>
    <t>2026/05/12 10:41</t>
  </si>
  <si>
    <t>与野駅西口土地区画整理事業 換地設計修正外業務（Ｒ８単契）</t>
  </si>
  <si>
    <t>2026/05/12 10:34</t>
  </si>
  <si>
    <t>下水道事業詳細設計業務（南建－Ｒ８－８０１）</t>
  </si>
  <si>
    <t>2026/05/11 13:33</t>
  </si>
  <si>
    <t>令和８年度さいたま市バリアフリー基本構想推進分析業務</t>
  </si>
  <si>
    <t>2026/05/08 09:04</t>
  </si>
  <si>
    <t>さいたま市 都市局交通政策部 （都市局交通政策部）</t>
  </si>
  <si>
    <t>下水道管路施設データベース更新業務（下維-R8-S101）</t>
  </si>
  <si>
    <t>2026/05/07 10:07</t>
  </si>
  <si>
    <t>さいたま市 建設局下水道河川部 （建設局下水道河川部）</t>
  </si>
  <si>
    <t>さいたま市道路整備計画推進業務（R8）</t>
  </si>
  <si>
    <t>2026/05/01 10:23</t>
  </si>
  <si>
    <t>さいたま市 建設局道路部 （建設局道路部）</t>
  </si>
  <si>
    <t>道路政策検討支援業務（R8）</t>
  </si>
  <si>
    <t>2026/05/01 10:00</t>
  </si>
  <si>
    <t>大門下野田特定土地区画整理事業 換地修正・画地確定測量外業務（R8単契）</t>
  </si>
  <si>
    <t>2026/04/30 14:42</t>
  </si>
  <si>
    <t>浦和東部第一特定土地区画整理事業 換地修正・画地確定測量外業務（R8単契）</t>
  </si>
  <si>
    <t>2026/04/30 14:25</t>
  </si>
  <si>
    <t>令和８年度バス路線再編計画検討業務</t>
  </si>
  <si>
    <t>2026/04/30 09:21</t>
  </si>
  <si>
    <t>令和８年度コミュニティバス等導入支援業務</t>
  </si>
  <si>
    <t>2026/04/30 09:05</t>
  </si>
  <si>
    <t>令和８年度 駅前賑わい拠点まちづくり検討業務</t>
  </si>
  <si>
    <t>2026/04/24 09:59</t>
  </si>
  <si>
    <t>さいたま市 都市局都心整備部 （都市局都心整備部）</t>
  </si>
  <si>
    <t>株式会社国際開発コンサルタンツ 北関東事務所</t>
  </si>
  <si>
    <t>令和８年度大宮駅グランドセントラルステーション化構想推進業務</t>
  </si>
  <si>
    <t>2026/04/24 09:50</t>
  </si>
  <si>
    <t>下水道事業概略設計業務（北建-R8-902）</t>
  </si>
  <si>
    <t>2026/04/22 09:55</t>
  </si>
  <si>
    <t>さいたま市 建設局北部建設事務所 下水道建設課</t>
  </si>
  <si>
    <t>株式会社ＧＩＳ関東 本店</t>
  </si>
  <si>
    <t>下水道事業概略設計業務（北建-R8-951）</t>
  </si>
  <si>
    <t>2026/04/22 09:50</t>
  </si>
  <si>
    <t>下水道事業施工監理業務（北建-R8-901）</t>
  </si>
  <si>
    <t>2026/04/22 09:45</t>
  </si>
  <si>
    <t>指扇土地区画整理事業 換地修正・画地確定測量外業務（R8-1単契）</t>
  </si>
  <si>
    <t>2026/04/21 13:35</t>
  </si>
  <si>
    <t>下水道事業施工監理業務（南建-R8-901）</t>
  </si>
  <si>
    <t>2026/04/21 09:30</t>
  </si>
  <si>
    <t>さいたま市 建設局南部建設事務所 下水道建設課</t>
  </si>
  <si>
    <t>令和８年度冠水センサ情報配信機能改修業務</t>
  </si>
  <si>
    <t>2026/04/20 10:02</t>
  </si>
  <si>
    <t>さいたま市未利用公有財産利活用可能性調査等業務</t>
  </si>
  <si>
    <t>2026/04/16 10:04</t>
  </si>
  <si>
    <t>さいたま市 財政局財政部 （財政局財政部）</t>
  </si>
  <si>
    <t>発注者支援業務（R8北建道建）</t>
  </si>
  <si>
    <t>2026/04/15 09:36</t>
  </si>
  <si>
    <t>さいたま市 建設局北部建設事務所 道路建設課</t>
  </si>
  <si>
    <t>発注者支援業務（Ｒ８南建道建）</t>
  </si>
  <si>
    <t>2026/04/14 09:30</t>
  </si>
  <si>
    <t>さいたま市 建設局南部建設事務所 道路建設課</t>
  </si>
  <si>
    <t>貯留施設監視システム保守運用業務（下計-R8-2）</t>
  </si>
  <si>
    <t>2026/03/24 09:01</t>
  </si>
  <si>
    <t>さいたま市 建設局下水道部 （建設局下水道部）</t>
  </si>
  <si>
    <t>（仮称）指扇１号街区公園実施設計業務（補）</t>
  </si>
  <si>
    <t>2026/03/19 14:50</t>
  </si>
  <si>
    <t>株式会社中央測地 本店</t>
  </si>
  <si>
    <t>（予定事後）大門第二跨線橋補修・耐震補強詳細設計業務（Ｒ８）（ゼロ債）</t>
  </si>
  <si>
    <t>2026/03/19 14:30</t>
  </si>
  <si>
    <t>別所沼落橋外３橋補修設計業務（補）</t>
  </si>
  <si>
    <t>2026/03/19 14:20</t>
  </si>
  <si>
    <t>下水道事業詳細設計業務（北建-R7-804）</t>
  </si>
  <si>
    <t>2026/03/17 16:01</t>
  </si>
  <si>
    <t>水位情報システム保守運用業務（河R8）</t>
  </si>
  <si>
    <t>2026/03/16 11:01</t>
  </si>
  <si>
    <t>さいたま市 建設局土木部 （建設局土木部）</t>
  </si>
  <si>
    <t>橋戸橋耐震補強設計業務（ゼロ債）</t>
  </si>
  <si>
    <t>2026/03/13 13:35</t>
  </si>
  <si>
    <t>（仮称）田島大牧線（太田窪工区）残地公園実施設計業務（補）</t>
  </si>
  <si>
    <t>2026/03/13 13:30</t>
  </si>
  <si>
    <t>株式会社彩都コンサルタント 本店</t>
  </si>
  <si>
    <t>大進橋外３橋補修設計業務（補）</t>
  </si>
  <si>
    <t>2026/03/12 15:01</t>
  </si>
  <si>
    <t>新切橋補修設計業務（補）</t>
  </si>
  <si>
    <t>2026/03/12 14:51</t>
  </si>
  <si>
    <t>（予定事後）下水道事業詳細設計業務（北建－Ｒ７－８５３）</t>
  </si>
  <si>
    <t>2026/03/12 14:41</t>
  </si>
  <si>
    <t>（予定事後）（仮称）大宮西部近隣公園実施設計業務（補）</t>
  </si>
  <si>
    <t>八王子公園遊具更新実施設計業務（補）</t>
  </si>
  <si>
    <t>2026/03/10 13:46</t>
  </si>
  <si>
    <t>老朽管布設替工事（その８－５１）の実施設計</t>
  </si>
  <si>
    <t>2026/03/06 09:12</t>
  </si>
  <si>
    <t>老朽管布設替工事（その８－４９）の実施設計</t>
  </si>
  <si>
    <t>2026/03/06 09:08</t>
  </si>
  <si>
    <t>老朽管布設替工事（その８－５０）の実施設計</t>
  </si>
  <si>
    <t>2026/03/06 09:01</t>
  </si>
  <si>
    <t>新都市設計株式会社 さいたま営業所</t>
  </si>
  <si>
    <t>下水道事業基本設計工法検討業務（北建-R7-953）</t>
  </si>
  <si>
    <t>2026/03/03 09:58</t>
  </si>
  <si>
    <t>下水道事業概略設計業務（北建-R7-904）</t>
  </si>
  <si>
    <t>2026/03/03 09:54</t>
  </si>
  <si>
    <t>産業道路天沼工区道路詳細設計業務（R7）</t>
  </si>
  <si>
    <t>2026/03/03 09:14</t>
  </si>
  <si>
    <t>（予定事後）準用河川上院川詳細修正設計業務（北河Ｒ７）（２債）</t>
  </si>
  <si>
    <t>2026/02/26 14:50</t>
  </si>
  <si>
    <t>（予定事後）耐震性防火水槽設置工事に伴う詳細設計業務（Ｒ８）（ゼロ債）</t>
  </si>
  <si>
    <t>2026/02/26 14:40</t>
  </si>
  <si>
    <t>（予定事後）産業道路駒場工区道路詳細設計業務（Ｒ７）（２債）</t>
  </si>
  <si>
    <t>大宮西部３号緑地外実施設計業務（補）</t>
  </si>
  <si>
    <t>2026/02/20 13:42</t>
  </si>
  <si>
    <t>（仮称）土呂農住特定１号公園実施設計業務（補）</t>
  </si>
  <si>
    <t>2026/02/20 13:37</t>
  </si>
  <si>
    <t>株式会社宮原設計測量 本店</t>
  </si>
  <si>
    <t>下水道事業改築実施設計業務（北再－Ｒ７－５０４）</t>
  </si>
  <si>
    <t>2026/02/19 14:52</t>
  </si>
  <si>
    <t>下水道事業耐震実施設計業務（南再－Ｒ７－５５６）</t>
  </si>
  <si>
    <t>2026/02/19 14:43</t>
  </si>
  <si>
    <t>株式会社山本設計 本店</t>
  </si>
  <si>
    <t>柏崎排水路詳細設計業務（北河Ｒ８）（ゼロ債）</t>
  </si>
  <si>
    <t>2026/02/13 15:40</t>
  </si>
  <si>
    <t>準用河川新川詳細設計業務（北河Ｒ８）（ゼロ債）</t>
  </si>
  <si>
    <t>2026/02/13 15:35</t>
  </si>
  <si>
    <t>準用河川黒谷川詳細設計業務（北河Ｒ８）（ゼロ債）</t>
  </si>
  <si>
    <t>2026/02/13 15:30</t>
  </si>
  <si>
    <t>東岩槻第2排水区既設水路等水理解析業務（北建-R7-952）</t>
  </si>
  <si>
    <t>2026/02/12 09:59</t>
  </si>
  <si>
    <t>岩槻第1-2処理分区外整備方針検討業務（北建-R7-902）</t>
  </si>
  <si>
    <t>2026/02/12 09:55</t>
  </si>
  <si>
    <t>浸水対策概略設計業務（北建-R7-951）</t>
  </si>
  <si>
    <t>2026/02/12 09:50</t>
  </si>
  <si>
    <t>下水道事業基本設計工法検討業務（北建-R7-903）</t>
  </si>
  <si>
    <t>2026/02/12 09:45</t>
  </si>
  <si>
    <t>宮前川工法検討業務（北河R8）（ゼロ債）</t>
  </si>
  <si>
    <t>2026/02/12 09:12</t>
  </si>
  <si>
    <t>さいたま市 建設局北部建設事務所 河川整備課</t>
  </si>
  <si>
    <t>自転車通行環境詳細設計業務（主要地方道さいたま春日部線外７路線）（ゼロ債）</t>
  </si>
  <si>
    <t>2026/02/10 11:00</t>
  </si>
  <si>
    <t>自転車通行環境詳細設計業務（主要地方道さいたま鴻巣線外１２路線）（ゼロ債）</t>
  </si>
  <si>
    <t>2026/02/10 10:50</t>
  </si>
  <si>
    <t>道路等詳細修正設計業務（主要地方道さいたま幸手線・Ｒ８）（ゼロ債）</t>
  </si>
  <si>
    <t>2026/02/10 10:40</t>
  </si>
  <si>
    <t>（予定事後）準用河川新川橋梁詳細設計業務（北河Ｒ７）（２債）</t>
  </si>
  <si>
    <t>2026/02/10 10:30</t>
  </si>
  <si>
    <t>ゾーン３０プラス整備設計業務（南部Ｒ８）（ゼロ債）</t>
  </si>
  <si>
    <t>2026/02/06 11:25</t>
  </si>
  <si>
    <t>ゾーン３０プラス整備設計業務（北部Ｒ８）（ゼロ債）</t>
  </si>
  <si>
    <t>2026/01/30 10:52</t>
  </si>
  <si>
    <t>下水道事業詳細設計業務（北建－Ｒ７－８５２）</t>
  </si>
  <si>
    <t>2026/01/30 10:30</t>
  </si>
  <si>
    <t>大宮岩槻線1工区電線共同溝管路橋検討業務（R7）</t>
  </si>
  <si>
    <t>2026/01/28 09:20</t>
  </si>
  <si>
    <t>大栄橋耐震補強施工検討業務（ゼロ債）</t>
  </si>
  <si>
    <t>2026/01/28 09:15</t>
  </si>
  <si>
    <t>さいたま市 建設局北部建設事務所 道路安全対策課</t>
  </si>
  <si>
    <t>中野橋外２橋耐震補強検討業務（ゼロ債）</t>
  </si>
  <si>
    <t>2026/01/28 09:11</t>
  </si>
  <si>
    <t>河川管理資料整理業務（河R7）</t>
  </si>
  <si>
    <t>2026/01/14 10:02</t>
  </si>
  <si>
    <t>（予定事後）下水道事業実施設計業務（南建－Ｒ７－１０５）</t>
  </si>
  <si>
    <t>2026/01/13 14:01</t>
  </si>
  <si>
    <t>下水道事業設計積算検討業務（南再-R7-801）</t>
  </si>
  <si>
    <t>2026/01/13 11:56</t>
  </si>
  <si>
    <t>さいたま市 建設局南部建設事務所 下水道再整備課</t>
  </si>
  <si>
    <t>下水道事業実施設計業務（南建－Ｒ７－１０４）</t>
  </si>
  <si>
    <t>2026/01/09 13:52</t>
  </si>
  <si>
    <t>東部幹線２系ルート（東部配水場南側工区）の実施設計</t>
  </si>
  <si>
    <t>2026/01/08 09:01</t>
  </si>
  <si>
    <t>令和７年度大宮駅周辺開発促進方策等検討業務</t>
  </si>
  <si>
    <t>2025/12/25 09:30</t>
  </si>
  <si>
    <t>株式会社上野計画事務所 本店</t>
  </si>
  <si>
    <t>元町三室線三室工区道路予備修正設計外業務（Ｒ７）</t>
  </si>
  <si>
    <t>2025/12/23 13:45</t>
  </si>
  <si>
    <t>令和7年度 交通結節点基礎調査業務</t>
  </si>
  <si>
    <t>2025/12/17 10:04</t>
  </si>
  <si>
    <t>令和7年度氷川参道歩行者・自転車運用ルール策定支援業務</t>
  </si>
  <si>
    <t>2025/12/17 09:31</t>
  </si>
  <si>
    <t>（予定事後）道場三室線本太工区道路詳細設計業務（Ｒ７）（２債）</t>
  </si>
  <si>
    <t>2025/12/16 14:51</t>
  </si>
  <si>
    <t>指扇土地区画整理事業 換地修正・画地確定測量外業務（R7-3単契）</t>
  </si>
  <si>
    <t>2025/12/16 13:42</t>
  </si>
  <si>
    <t>道路照明施設詳細修正設計業務（市道Ｅ９６号線）</t>
  </si>
  <si>
    <t>2025/12/09 13:43</t>
  </si>
  <si>
    <t>産業道路原山２工区外道路詳細設計業務（Ｒ７）（２債）</t>
  </si>
  <si>
    <t>2025/12/02 14:20</t>
  </si>
  <si>
    <t>道路修繕工事施工監理業務（南部Ｒ７）</t>
  </si>
  <si>
    <t>2025/11/25 11:00</t>
  </si>
  <si>
    <t>さいたま市 建設局南部建設事務所 道路維持課</t>
  </si>
  <si>
    <t>令和７年度さいたま市景観計画改定業務</t>
  </si>
  <si>
    <t>2025/11/20 09:06</t>
  </si>
  <si>
    <t>さいたま市 都市局都市計画部 （都市局都市計画部）</t>
  </si>
  <si>
    <t>岩槻駅西口駅前通り線道路詳細修正設計業務（Ｒ７）</t>
  </si>
  <si>
    <t>2025/11/18 13:40</t>
  </si>
  <si>
    <t>（予定事後）産業道路上木崎工区道路詳細設計業務（Ｒ７）（２債）</t>
  </si>
  <si>
    <t>2025/11/13 15:10</t>
  </si>
  <si>
    <t>高低差処理調査検討業務（市道Ｎ－３６８号線）</t>
  </si>
  <si>
    <t>2025/11/11 11:00</t>
  </si>
  <si>
    <t>下水道管路施設におけるウォーターPPP導入に係るアドバイザリー業務（下維-R7-S102）</t>
  </si>
  <si>
    <t>2025/11/11 10:04</t>
  </si>
  <si>
    <t>下水道特別重点調査業務（下維-R7-S312）</t>
  </si>
  <si>
    <t>2025/11/10 10:32</t>
  </si>
  <si>
    <t>下水道特別重点調査業務（下維-R7-S311）</t>
  </si>
  <si>
    <t>2025/11/10 10:21</t>
  </si>
  <si>
    <t>下水道特別重点調査業務（下維-R7-S310）</t>
  </si>
  <si>
    <t>2025/11/10 10:12</t>
  </si>
  <si>
    <t>下水道特別重点調査業務（下維-R7-S309）</t>
  </si>
  <si>
    <t>2025/11/10 10:02</t>
  </si>
  <si>
    <t>オリジナル設計株式会社 埼玉営業所</t>
  </si>
  <si>
    <t>排水ポンプ更新工事（東部・西部・南部・深作・南下新井配水場）の実施設計</t>
  </si>
  <si>
    <t>2025/11/06 16:04</t>
  </si>
  <si>
    <t>高沼用水路東縁護岸更新詳細設計業務（南河Ｒ７）</t>
  </si>
  <si>
    <t>2025/11/06 10:54</t>
  </si>
  <si>
    <t>株式会社道路建設コンサルタント 埼玉営業所</t>
  </si>
  <si>
    <t>（予定事後）排水路詳細設計業務（北河Ｒ７）</t>
  </si>
  <si>
    <t>2025/11/06 10:40</t>
  </si>
  <si>
    <t>（予定事後）道場三室線栄和工区道路詳細設計業務（Ｒ７）（２債）</t>
  </si>
  <si>
    <t>2025/11/06 10:30</t>
  </si>
  <si>
    <t>大宮岩槻線芝川工区取付道路道路予備修正設計業務（R7）</t>
  </si>
  <si>
    <t>2025/11/05 09:56</t>
  </si>
  <si>
    <t>大宮岩槻線大和田工区交差点詳細設計業務（R7）</t>
  </si>
  <si>
    <t>2025/11/05 09:50</t>
  </si>
  <si>
    <t>東徳力調節池詳細修正設計業務（北河Ｒ７）（２債）</t>
  </si>
  <si>
    <t>2025/10/30 14:40</t>
  </si>
  <si>
    <t>（予定事後）大宮岩槻線芝川工区道路詳細修正設計業務（Ｒ７）（２債）</t>
  </si>
  <si>
    <t>2025/10/30 14:30</t>
  </si>
  <si>
    <t>下水道緊急実施設計業務（単契南管－Ｒ７－Ｓ１１１）</t>
  </si>
  <si>
    <t>2025/10/28 13:58</t>
  </si>
  <si>
    <t>下水道事業詳細設計業務（北建－Ｒ７－８０３）</t>
  </si>
  <si>
    <t>老朽管布設替工事（その８－４７）の実施設計</t>
  </si>
  <si>
    <t>2025/10/23 09:01</t>
  </si>
  <si>
    <t>株式会社英設計事務所 埼玉支店</t>
  </si>
  <si>
    <t>下水道特別重点調査業務（下維-R7-S302）</t>
  </si>
  <si>
    <t>2025/10/21 13:33</t>
  </si>
  <si>
    <t>道路照明施設改修設計業務（南Ｒ７）</t>
  </si>
  <si>
    <t>下水道特別重点調査業務（下維-R7-S307）</t>
  </si>
  <si>
    <t>2025/10/21 11:07</t>
  </si>
  <si>
    <t>下水道特別重点調査業務（下維-R7-S305）</t>
  </si>
  <si>
    <t>2025/10/21 10:35</t>
  </si>
  <si>
    <t>鴨川第45処理分区下水道誤接続調査業務（南管-R7-S713）</t>
  </si>
  <si>
    <t>2025/10/14 10:00</t>
  </si>
  <si>
    <t>さいたま市 建設局南部建設事務所 下水道管理課</t>
  </si>
  <si>
    <t>南部第７処理分区下水道誤接続調査業務（南管-R7-S712）</t>
  </si>
  <si>
    <t>2025/10/14 09:45</t>
  </si>
  <si>
    <t>南部第７処理分区下水道誤接続調査業務（南管-R7-S711）</t>
  </si>
  <si>
    <t>2025/10/14 09:30</t>
  </si>
  <si>
    <t>道路詳細設計業務（大宮岩槻線・七里駅入口交差点）（Ｒ７）（２債）</t>
  </si>
  <si>
    <t>2025/10/09 15:50</t>
  </si>
  <si>
    <t>電線共同溝検討業務（市道20280号線）</t>
  </si>
  <si>
    <t>2025/10/01 09:22</t>
  </si>
  <si>
    <t>さいたま市地域未来投資促進法に係る基礎調査業務</t>
  </si>
  <si>
    <t>2025/10/01 09:01</t>
  </si>
  <si>
    <t>さいたま市 経済局商工観光部 （経済局商工観光部）</t>
  </si>
  <si>
    <t>浦和東部第一特定土地区画整理事業 道路詳細設計等業務（Ｒ７）</t>
  </si>
  <si>
    <t>2025/09/30 14:35</t>
  </si>
  <si>
    <t>道路バリアフリー詳細設計業務（一般県道岩槻停車場線外１路線）（２債）</t>
  </si>
  <si>
    <t>2025/09/30 14:30</t>
  </si>
  <si>
    <t>芝川第10-3処理分区外雨水整備基本計画策定業務（下計-R7-12）</t>
  </si>
  <si>
    <t>2025/09/30 10:12</t>
  </si>
  <si>
    <t>公共下水道事業計画変更図書作成業務（下計-R7-8）</t>
  </si>
  <si>
    <t>2025/09/30 10:04</t>
  </si>
  <si>
    <t>主要排水路健全度調査業務（河R7）</t>
  </si>
  <si>
    <t>2025/09/29 10:35</t>
  </si>
  <si>
    <t>日進浄水場更新事業に伴う民間活力導入可能性調査業務</t>
  </si>
  <si>
    <t>2025/09/25 10:01</t>
  </si>
  <si>
    <t>下水道事業改築実施設計業務（南再－Ｒ７－５０７）</t>
  </si>
  <si>
    <t>2025/09/18 15:54</t>
  </si>
  <si>
    <t>（予定事後）準用河川油面川更新詳細設計業務（南河Ｒ７）</t>
  </si>
  <si>
    <t>2025/09/18 15:48</t>
  </si>
  <si>
    <t>公園利用ルール検討支援業務</t>
  </si>
  <si>
    <t>2025/09/18 13:19</t>
  </si>
  <si>
    <t>さいたま市 都市局みどり公園推進部 （都市局みどり公園推進部）</t>
  </si>
  <si>
    <t>さいたま市公民館案内表示板点検業務</t>
  </si>
  <si>
    <t>2025/09/18 10:30</t>
  </si>
  <si>
    <t>さいたま市 教育委員会事務局生涯学習部 （教育委員会事務局生涯学習部）</t>
  </si>
  <si>
    <t>老朽管布設替工事（その８－４６）の実施設計</t>
  </si>
  <si>
    <t>2025/09/18 09:57</t>
  </si>
  <si>
    <t>老朽管布設替工事（その８－４８）の実施設計</t>
  </si>
  <si>
    <t>2025/09/18 09:53</t>
  </si>
  <si>
    <t>株式会社西川設計 本店</t>
  </si>
  <si>
    <t>老朽管布設替工事（その８－３８）の実施設計</t>
  </si>
  <si>
    <t>2025/09/18 09:48</t>
  </si>
  <si>
    <t>老朽管布設替工事（その８－４２）の実施設計</t>
  </si>
  <si>
    <t>2025/09/18 09:44</t>
  </si>
  <si>
    <t>有限会社テクニスト 埼玉支店</t>
  </si>
  <si>
    <t>老朽管布設替工事（その８－４３）の実施設計</t>
  </si>
  <si>
    <t>2025/09/18 09:39</t>
  </si>
  <si>
    <t>老朽管布設替工事（その８－４４）の実施設計</t>
  </si>
  <si>
    <t>2025/09/18 09:35</t>
  </si>
  <si>
    <t>老朽管布設替工事（その８－４０）の実施設計及び配水支管布設工事（その８－５）の実施設計</t>
  </si>
  <si>
    <t>2025/09/18 09:30</t>
  </si>
  <si>
    <t>株式会社東朋エンジニアリング さいたま営業所</t>
  </si>
  <si>
    <t>老朽管布設替工事（その８－４１）の実施設計</t>
  </si>
  <si>
    <t>2025/09/18 09:26</t>
  </si>
  <si>
    <t>老朽管布設替工事（その８－３９）の実施設計</t>
  </si>
  <si>
    <t>2025/09/18 09:21</t>
  </si>
  <si>
    <t>老朽管布設替工事（その８－４５）の実施設計</t>
  </si>
  <si>
    <t>2025/09/18 09:16</t>
  </si>
  <si>
    <t>老朽管布設替工事（その８－３７）の実施設計及び配水支管布設工事（その８－４）の実施設計</t>
  </si>
  <si>
    <t>2025/09/18 09:10</t>
  </si>
  <si>
    <t>老朽管布設替工事（その８－３６）の実施設計</t>
  </si>
  <si>
    <t>2025/09/18 09:02</t>
  </si>
  <si>
    <t>平面交差点詳細設計業務（主要地方道さいたま幸手線外２路線）</t>
  </si>
  <si>
    <t>2025/09/16 11:30</t>
  </si>
  <si>
    <t>下水道事業改築実施設計業務（北再－Ｒ７－５０２）</t>
  </si>
  <si>
    <t>2025/09/16 11:20</t>
  </si>
  <si>
    <t>下水道事業実施設計業務（南建－Ｒ７－１５１）</t>
  </si>
  <si>
    <t>2025/09/09 14:20</t>
  </si>
  <si>
    <t>高低差処理調査検討業務（市道Ｆ－３５号線）</t>
  </si>
  <si>
    <t>2025/09/09 11:15</t>
  </si>
  <si>
    <t>アーバンスポーツができる場所測量設計業務（西区三橋）</t>
  </si>
  <si>
    <t>2025/09/04 14:49</t>
  </si>
  <si>
    <t>浦和東部第一特定土地区画整理事業 擁壁設計業務（Ｒ７）</t>
  </si>
  <si>
    <t>2025/09/04 14:44</t>
  </si>
  <si>
    <t>下水道事業実施設計業務（北建－Ｒ７－１０３）</t>
  </si>
  <si>
    <t>2025/09/04 14:39</t>
  </si>
  <si>
    <t>下水道事業耐震基本設計業務（北再-R7-661）</t>
  </si>
  <si>
    <t>2025/09/03 13:08</t>
  </si>
  <si>
    <t>さいたま市 建設局北部建設事務所 下水道再整備課</t>
  </si>
  <si>
    <t>主要地方道さいたま春日部線岩槻橋工事監理支援業務（R7）（2債）</t>
  </si>
  <si>
    <t>2025/09/03 09:26</t>
  </si>
  <si>
    <t>大橋耐震補強調査検討業務</t>
  </si>
  <si>
    <t>2025/09/03 09:19</t>
  </si>
  <si>
    <t>三橋中央通線三橋２工区道路詳細設計業務（Ｒ７）（２債）</t>
  </si>
  <si>
    <t>2025/09/02 15:21</t>
  </si>
  <si>
    <t>指扇土地区画整理事業 換地修正・画地確定測量外業務（R7-2単契）</t>
  </si>
  <si>
    <t>鴨川第42処理分区雨水整備基本計画策定業務（下計-R7-11）</t>
  </si>
  <si>
    <t>2025/08/29 10:22</t>
  </si>
  <si>
    <t>下水道地震対策基本検討業務（下計-R7-9）</t>
  </si>
  <si>
    <t>2025/08/29 10:02</t>
  </si>
  <si>
    <t>令和７年度駅前広場再整備方針検討業務</t>
  </si>
  <si>
    <t>2025/08/28 10:05</t>
  </si>
  <si>
    <t>都市計画道路西町諏訪線（西町工区）道路予備設計業務</t>
  </si>
  <si>
    <t>2025/08/28 10:00</t>
  </si>
  <si>
    <t>老朽管布設替工事（その８－２４）の実施設計</t>
  </si>
  <si>
    <t>2025/08/28 09:50</t>
  </si>
  <si>
    <t>株式会社協振技建 さいたま事業所</t>
  </si>
  <si>
    <t>老朽管布設替工事（その８－２６）の実施設計</t>
  </si>
  <si>
    <t>2025/08/28 09:45</t>
  </si>
  <si>
    <t>老朽管布設替工事（その８－３３）の実施設計</t>
  </si>
  <si>
    <t>株式会社東洋設計事務所 埼玉出張所</t>
  </si>
  <si>
    <t>老朽管布設替工事（その８－３５）の実施設計</t>
  </si>
  <si>
    <t>2025/08/28 09:35</t>
  </si>
  <si>
    <t>老朽管布設替工事（その８－１５）の実施設計</t>
  </si>
  <si>
    <t>2025/08/28 09:30</t>
  </si>
  <si>
    <t>老朽管布設替工事（その８－１７）の実施設計</t>
  </si>
  <si>
    <t>2025/08/28 09:25</t>
  </si>
  <si>
    <t>老朽管布設替工事（その８－３４）の実施設計</t>
  </si>
  <si>
    <t>2025/08/28 09:21</t>
  </si>
  <si>
    <t>老朽管布設替工事（その８－３０）の実施設計</t>
  </si>
  <si>
    <t>2025/08/28 09:16</t>
  </si>
  <si>
    <t>老朽管布設替工事（その８－１４）の実施設計</t>
  </si>
  <si>
    <t>2025/08/28 09:10</t>
  </si>
  <si>
    <t>老朽管布設替工事（その８－３１）の実施設計</t>
  </si>
  <si>
    <t>2025/08/28 09:06</t>
  </si>
  <si>
    <t>老朽管布設替工事（その８－３２）の実施設計</t>
  </si>
  <si>
    <t>2025/08/28 09:00</t>
  </si>
  <si>
    <t>産業集積拠点整備手法検討業務（田島地区）</t>
  </si>
  <si>
    <t>令和７年度氷川緑道西通線（北区間）における歩きたくなる歩行空間等創出検討業務</t>
  </si>
  <si>
    <t>2025/08/27 09:30</t>
  </si>
  <si>
    <t>さいたま市「道の駅」整備に伴う下水道調査検討業務</t>
  </si>
  <si>
    <t>2025/08/26 09:28</t>
  </si>
  <si>
    <t>さいたま市産業集積拠点事業化支援業務（清河寺北地区・吉野原地区）</t>
  </si>
  <si>
    <t>2025/08/26 09:01</t>
  </si>
  <si>
    <t>東浦和第二土地区画整理事業 道路詳細設計業務（Ｒ７－２）</t>
  </si>
  <si>
    <t>2025/08/22 15:55</t>
  </si>
  <si>
    <t>白幡幹線１系ルート（南陸橋通り～国道１７号工区）の実施設計及び老朽管布設替工事（その９－２）の実施設計</t>
  </si>
  <si>
    <t>2025/08/21 09:00</t>
  </si>
  <si>
    <t>岩槻第４処理分区下水道誤接続調査業務（北管-R7-S702）</t>
  </si>
  <si>
    <t>2025/08/20 09:55</t>
  </si>
  <si>
    <t>さいたま市 建設局北部建設事務所 下水道管理課</t>
  </si>
  <si>
    <t>下水道事業実施設計業務（南建－Ｒ７－１０２）</t>
  </si>
  <si>
    <t>2025/08/19 16:12</t>
  </si>
  <si>
    <t>日本設計株式会社 埼玉営業所</t>
  </si>
  <si>
    <t>本町通り歩行空間設計業務（R7）</t>
  </si>
  <si>
    <t>2025/08/19 13:31</t>
  </si>
  <si>
    <t>下水道点検業務（下維-R7-S4005）</t>
  </si>
  <si>
    <t>2025/08/08 10:02</t>
  </si>
  <si>
    <t>管清工業株式会社 北関東営業所</t>
  </si>
  <si>
    <t>下水道事業耐震実施設計業務（南再－Ｒ７－５５３）</t>
  </si>
  <si>
    <t>2025/08/07 10:50</t>
  </si>
  <si>
    <t>下水道事業改築実施設計業務（南再－Ｒ７－５０４）</t>
  </si>
  <si>
    <t>2025/08/07 10:41</t>
  </si>
  <si>
    <t>大宮岩槻線大和田工区電線共同溝詳細設計業務（Ｒ７）</t>
  </si>
  <si>
    <t>2025/08/07 10:31</t>
  </si>
  <si>
    <t>太田窪市民緑地土留め改修実施設計業務</t>
  </si>
  <si>
    <t>2025/07/31 14:10</t>
  </si>
  <si>
    <t>鴨川堤桜通り公園植樹実施設計業務</t>
  </si>
  <si>
    <t>2025/07/31 14:05</t>
  </si>
  <si>
    <t>下水道事業実施設計業務（北建－Ｒ７－１２６）</t>
  </si>
  <si>
    <t>2025/07/31 14:00</t>
  </si>
  <si>
    <t>下水道事業実施設計業務（南建－Ｒ７－１０３）</t>
  </si>
  <si>
    <t>2025/07/31 13:31</t>
  </si>
  <si>
    <t>南部幹線１系ルート（南部配水場出口工区）の実施設計及び老朽管布設替工事（その９－３）の実施設計</t>
  </si>
  <si>
    <t>2025/07/31 10:55</t>
  </si>
  <si>
    <t>老朽管布設替工事（その８－２１）の実施設計</t>
  </si>
  <si>
    <t>2025/07/31 10:50</t>
  </si>
  <si>
    <t>老朽管布設替工事（その８－２９）の実施設計</t>
  </si>
  <si>
    <t>2025/07/31 10:45</t>
  </si>
  <si>
    <t>株式会社松尾設計 埼玉事務所</t>
  </si>
  <si>
    <t>老朽管布設替工事（その８－２０）の実施設計</t>
  </si>
  <si>
    <t>2025/07/31 10:40</t>
  </si>
  <si>
    <t>老朽管布設替工事（その８－１９）の実施設計</t>
  </si>
  <si>
    <t>2025/07/31 10:35</t>
  </si>
  <si>
    <t>日東サーベイ株式会社 本店</t>
  </si>
  <si>
    <t>老朽管布設替工事（その８－１８）の実施設計</t>
  </si>
  <si>
    <t>2025/07/31 10:30</t>
  </si>
  <si>
    <t>浦和測量設計株式会社 本店</t>
  </si>
  <si>
    <t>老朽管布設替工事（その８－１６）の実施設計</t>
  </si>
  <si>
    <t>2025/07/31 10:25</t>
  </si>
  <si>
    <t>老朽管布設替工事（その８－２２）の実施設計</t>
  </si>
  <si>
    <t>2025/07/31 10:20</t>
  </si>
  <si>
    <t>老朽管布設替工事（その８－２５）の実施設計</t>
  </si>
  <si>
    <t>2025/07/31 10:15</t>
  </si>
  <si>
    <t>老朽管布設替工事（その８－１２）の実施設計</t>
  </si>
  <si>
    <t>2025/07/31 10:10</t>
  </si>
  <si>
    <t>老朽管布設替工事（その８－２）の実施設計</t>
  </si>
  <si>
    <t>2025/07/31 10:05</t>
  </si>
  <si>
    <t>老朽管布設替工事（その８－３）の実施設計</t>
  </si>
  <si>
    <t>2025/07/31 10:00</t>
  </si>
  <si>
    <t>老朽管布設替工事（その８－５）の実施設計</t>
  </si>
  <si>
    <t>東京技研設計株式会社 埼玉営業所</t>
  </si>
  <si>
    <t>老朽管布設替工事（その８－６）の実施設計及び配水支管布設工事（その８－３）の実施設計</t>
  </si>
  <si>
    <t>2025/07/31 09:50</t>
  </si>
  <si>
    <t>老朽管布設替工事（その８－９）の実施設計</t>
  </si>
  <si>
    <t>2025/07/31 09:45</t>
  </si>
  <si>
    <t>老朽管布設替工事（その８－１０）の実施設計</t>
  </si>
  <si>
    <t>2025/07/31 09:40</t>
  </si>
  <si>
    <t>老朽管布設替工事（その８－１１）の実施設計及び配水支管布設工事（その８－１）の実施設計</t>
  </si>
  <si>
    <t>2025/07/31 09:35</t>
  </si>
  <si>
    <t>老朽管布設替工事（その８－２３）の実施設計及び配水支管布設工事（その８－２）の実施設計</t>
  </si>
  <si>
    <t>2025/07/31 09:31</t>
  </si>
  <si>
    <t>老朽管布設替工事（その８－２７）の実施設計</t>
  </si>
  <si>
    <t>2025/07/31 09:26</t>
  </si>
  <si>
    <t>老朽管布設替工事（その８－２８）の実施設計</t>
  </si>
  <si>
    <t>2025/07/31 09:21</t>
  </si>
  <si>
    <t>老朽管布設替工事（その８－８）の実施設計</t>
  </si>
  <si>
    <t>2025/07/31 09:17</t>
  </si>
  <si>
    <t>老朽管布設替工事（その８－１３）の実施設計</t>
  </si>
  <si>
    <t>2025/07/31 09:11</t>
  </si>
  <si>
    <t>老朽管布設替工事（その８－４）の実施設計</t>
  </si>
  <si>
    <t>2025/07/31 09:06</t>
  </si>
  <si>
    <t>老朽管布設替工事（その８－７）の実施設計</t>
  </si>
  <si>
    <t>下水道事業耐震診断業務（北再-R7-655）</t>
  </si>
  <si>
    <t>2025/07/30 10:07</t>
  </si>
  <si>
    <t>下水道事業耐震実施設計業務（南再－Ｒ７－５５１）</t>
  </si>
  <si>
    <t>2025/07/29 14:50</t>
  </si>
  <si>
    <t>下水道事業改築実施設計業務（北再－Ｒ７－５０３）</t>
  </si>
  <si>
    <t>2025/07/29 14:40</t>
  </si>
  <si>
    <t>下水道事業改築実施設計業務（南再－Ｒ７－５０３）</t>
  </si>
  <si>
    <t>2025/07/29 14:30</t>
  </si>
  <si>
    <t>（予定事後）下水道事業耐震実施設計業務（北再－Ｒ７－５５５）</t>
  </si>
  <si>
    <t>2025/07/29 14:20</t>
  </si>
  <si>
    <t>下水道事業耐震実施設計業務（南再－Ｒ７－５５２）</t>
  </si>
  <si>
    <t>2025/07/29 14:10</t>
  </si>
  <si>
    <t>下水道事業耐震実施設計業務（南再－Ｒ７－５５５）</t>
  </si>
  <si>
    <t>2025/07/29 14:00</t>
  </si>
  <si>
    <t>（予定事後）下水道事業改築実施設計業務（北再－Ｒ７－５０１）</t>
  </si>
  <si>
    <t>2025/07/29 13:51</t>
  </si>
  <si>
    <t>（予定事後）下水道事業耐震実施設計業務（北再－Ｒ７－５５１）</t>
  </si>
  <si>
    <t>下水道事業耐震実施設計業務（北再－Ｒ７－５５２）</t>
  </si>
  <si>
    <t>2025/07/29 13:30</t>
  </si>
  <si>
    <t>下水道事業基本設計業務（南建-R7-201）</t>
  </si>
  <si>
    <t>2025/07/29 09:30</t>
  </si>
  <si>
    <t>下水道浸水被害軽減総合計画申請図書作成業務（下計-R7-7）</t>
  </si>
  <si>
    <t>2025/07/28 10:02</t>
  </si>
  <si>
    <t>中島小学校流域貯留浸透施設詳細設計業務（南河Ｒ７）</t>
  </si>
  <si>
    <t>2025/07/25 11:30</t>
  </si>
  <si>
    <t>南元宿仲よし公園外流域貯留浸透施設詳細設計業務（南河Ｒ７）</t>
  </si>
  <si>
    <t>2025/07/25 11:20</t>
  </si>
  <si>
    <t>都市計画道路大宮岩槻線（上小町工区）道路予備設計業務（2債）</t>
  </si>
  <si>
    <t>2025/07/25 10:22</t>
  </si>
  <si>
    <t>都市計画道路タツミ通り線（上大久保工区・上大久保2工区）道路予備設計業務（2債）</t>
  </si>
  <si>
    <t>2025/07/25 10:17</t>
  </si>
  <si>
    <t>社会資本総合整備計画策定業務（河R7）</t>
  </si>
  <si>
    <t>2025/07/25 10:02</t>
  </si>
  <si>
    <t>西部幹線４系ルート（田島通り工区）の実施設計及び老朽管布設替工事（その９－１）の実施設計</t>
  </si>
  <si>
    <t>2025/07/24 09:01</t>
  </si>
  <si>
    <t>南与野駅西口土地区画整理事業 審議会委員選挙人名簿作成業務（R7）</t>
  </si>
  <si>
    <t>2025/07/18 14:22</t>
  </si>
  <si>
    <t>令和７年度公園施設改修実施設計業務（北Ｒ７－１）</t>
  </si>
  <si>
    <t>2025/07/18 13:48</t>
  </si>
  <si>
    <t>下水道事業改築実施設計業務（南再－Ｒ７－５０５）</t>
  </si>
  <si>
    <t>2025/07/17 11:30</t>
  </si>
  <si>
    <t>下水道事業耐震実施設計業務（北再－Ｒ７－５５４）</t>
  </si>
  <si>
    <t>2025/07/17 11:20</t>
  </si>
  <si>
    <t>下水道事業実施設計業務（北建－Ｒ７－１２５）</t>
  </si>
  <si>
    <t>2025/07/17 11:12</t>
  </si>
  <si>
    <t>下水道事業改築実施設計業務（南再－Ｒ７－５０２）</t>
  </si>
  <si>
    <t>2025/07/17 11:01</t>
  </si>
  <si>
    <t>（予定事後）下水道事業耐震実施設計業務（南再－Ｒ７－５５４）</t>
  </si>
  <si>
    <t>2025/07/17 10:52</t>
  </si>
  <si>
    <t>（予定事後）下水道事業改築実施設計業務（南再－Ｒ７－５０１）</t>
  </si>
  <si>
    <t>2025/07/17 10:45</t>
  </si>
  <si>
    <t>電線共同溝詳細設計業務（市道１０７０９号線外１路線・Ｒ７宮原町工区）（２債）</t>
  </si>
  <si>
    <t>2025/07/17 10:35</t>
  </si>
  <si>
    <t>令和7年度盛土規制法に基づく既存盛土等調査業務</t>
  </si>
  <si>
    <t>2025/07/17 09:20</t>
  </si>
  <si>
    <t>令和７年度さいたま市都市計画道路変更検討業務</t>
  </si>
  <si>
    <t>2025/07/17 09:12</t>
  </si>
  <si>
    <t>下水道事業基本設計業務（北建-R6-207）</t>
  </si>
  <si>
    <t>2025/07/16 14:06</t>
  </si>
  <si>
    <t>下水道事業基本設計業務（北建-R6-206）</t>
  </si>
  <si>
    <t>2025/07/16 09:31</t>
  </si>
  <si>
    <t>西浦和駅周辺まちづくり推進支援等業務（Ｒ７）</t>
  </si>
  <si>
    <t>2025/07/15 13:34</t>
  </si>
  <si>
    <t>平面交差点詳細修正設計業務（天沼高鼻線・東町交差点）（Ｒ７）</t>
  </si>
  <si>
    <t>2025/07/11 13:40</t>
  </si>
  <si>
    <t>東浦和第二土地区画整理事業 道路詳細設計業務（Ｒ７）</t>
  </si>
  <si>
    <t>2025/07/11 13:35</t>
  </si>
  <si>
    <t>下水道事業詳細設計業務（南建－Ｒ７－８５４）</t>
  </si>
  <si>
    <t>2025/07/11 13:31</t>
  </si>
  <si>
    <t>さいたま新都心周辺地区都市再生整備計画（素案）作成業務</t>
  </si>
  <si>
    <t>産業道路天沼２工区電線共同溝詳細修正設計業務（Ｒ７）</t>
  </si>
  <si>
    <t>2025/07/04 13:36</t>
  </si>
  <si>
    <t>下水道事業実施設計業務（北建－Ｒ７－１２８）</t>
  </si>
  <si>
    <t>2025/07/04 13:30</t>
  </si>
  <si>
    <t>下水道事業実施設計業務（北建-R7-129）</t>
  </si>
  <si>
    <t>2025/07/04 09:03</t>
  </si>
  <si>
    <t>下水道事業耐震実施設計業務（北再－Ｒ７－５５３）</t>
  </si>
  <si>
    <t>2025/07/03 15:40</t>
  </si>
  <si>
    <t>配水支管布設工事（その４）の実施設計</t>
  </si>
  <si>
    <t>2025/07/03 09:00</t>
  </si>
  <si>
    <t>芝川右岸第1-1排水区効果検証業務（北建-R6-912）</t>
  </si>
  <si>
    <t>2025/07/02 11:36</t>
  </si>
  <si>
    <t>南平野地区外既設水路等調査検討業務（北建-R6-915）</t>
  </si>
  <si>
    <t>2025/07/02 11:31</t>
  </si>
  <si>
    <t>東大宮陸橋外１橋補修検討業務</t>
  </si>
  <si>
    <t>2025/07/02 09:43</t>
  </si>
  <si>
    <t>令和７年度浦和のまちづくりアクションプラン検討業務</t>
  </si>
  <si>
    <t>2025/07/02 09:40</t>
  </si>
  <si>
    <t>大宮駅周辺地区都市再生整備計画（第3期）作成支援業務</t>
  </si>
  <si>
    <t>2025/07/02 09:31</t>
  </si>
  <si>
    <t>工事監理支援業務（治水橋耐震補強）</t>
  </si>
  <si>
    <t>2025/07/02 09:17</t>
  </si>
  <si>
    <t>指扇土地区画整理事業 選挙人名簿作成業務（R7）</t>
  </si>
  <si>
    <t>2025/07/01 13:40</t>
  </si>
  <si>
    <t>本町３丁目立体駐車場連絡橋撤去工法検討等業務</t>
  </si>
  <si>
    <t>2025/07/01 13:31</t>
  </si>
  <si>
    <t>下水道事業基本設計業務（南建-R7-252）</t>
  </si>
  <si>
    <t>2025/07/01 09:30</t>
  </si>
  <si>
    <t>西大宮・指扇間傾斜フェンス対策検討業務</t>
  </si>
  <si>
    <t>2025/06/30 13:09</t>
  </si>
  <si>
    <t>令和７年度道路施設定期点検業務（トンネル・大型カルバート）</t>
  </si>
  <si>
    <t>2025/06/30 11:10</t>
  </si>
  <si>
    <t>令和７年度橋梁定期点検業務（その１）</t>
  </si>
  <si>
    <t>2025/06/30 11:05</t>
  </si>
  <si>
    <t>交通安全対策検討業務（市道イワ112号線）</t>
  </si>
  <si>
    <t>2025/06/30 11:00</t>
  </si>
  <si>
    <t>交差点概略設計業務（都市計画道路宮前三橋線外）</t>
  </si>
  <si>
    <t>2025/06/30 10:55</t>
  </si>
  <si>
    <t>令和７年度自由通路定期点検業務</t>
  </si>
  <si>
    <t>2025/06/30 10:50</t>
  </si>
  <si>
    <t>広ヶ谷戸原山線原山工区道路予備設計業務（R７）</t>
  </si>
  <si>
    <t>2025/06/30 10:40</t>
  </si>
  <si>
    <t>産業道路堀の内工区外事業化検討業務（R７）（２債）</t>
  </si>
  <si>
    <t>2025/06/30 10:35</t>
  </si>
  <si>
    <t>御蔵中央通線4工区道路予備設計業務（R７）</t>
  </si>
  <si>
    <t>2025/06/30 10:30</t>
  </si>
  <si>
    <t>交差点渋滞対策検討業務（R７）</t>
  </si>
  <si>
    <t>2025/06/30 10:25</t>
  </si>
  <si>
    <t>さいたま市道路整備計画推進業務（R７）</t>
  </si>
  <si>
    <t>2025/06/30 10:20</t>
  </si>
  <si>
    <t>下水道ストックマネジメント実施方針補完業務（下計-R7-5）</t>
  </si>
  <si>
    <t>2025/06/30 10:12</t>
  </si>
  <si>
    <t>下水道点検業務（下維-R7-S4002）</t>
  </si>
  <si>
    <t>2025/06/30 10:02</t>
  </si>
  <si>
    <t>令和７年度多目的広場測量・実施設計業務（北区奈良町）</t>
  </si>
  <si>
    <t>2025/06/27 14:10</t>
  </si>
  <si>
    <t>準用河川油面川河床整備詳細設計業務（南河Ｒ７）</t>
  </si>
  <si>
    <t>2025/06/27 14:00</t>
  </si>
  <si>
    <t>道路詳細設計業務（一般県道上野さいたま線）</t>
  </si>
  <si>
    <t>2025/06/27 13:56</t>
  </si>
  <si>
    <t>（予定事後）下水道事業実施設計業務（北建－Ｒ７－１０２）</t>
  </si>
  <si>
    <t>2025/06/26 15:23</t>
  </si>
  <si>
    <t>（予定事後）横根橋補修設計業務</t>
  </si>
  <si>
    <t>2025/06/26 15:16</t>
  </si>
  <si>
    <t>（予定事後）新妙見橋補修設計業務</t>
  </si>
  <si>
    <t>2025/06/26 15:09</t>
  </si>
  <si>
    <t>電線共同溝詳細設計業務（市道Ｃ１００号線外２路線）（２債）</t>
  </si>
  <si>
    <t>2025/06/26 15:01</t>
  </si>
  <si>
    <t>東部幹線２系ルート（交流センター西工区）の実施設計</t>
  </si>
  <si>
    <t>2025/06/26 09:09</t>
  </si>
  <si>
    <t>尾間木幹線４系ルート（大門地下道工区）の実施設計及び老朽管布設替工事（その９－４）の実施設計</t>
  </si>
  <si>
    <t>2025/06/26 09:02</t>
  </si>
  <si>
    <t>浦和駅西口駅前広場施設修正設計業務</t>
  </si>
  <si>
    <t>2025/06/20 14:55</t>
  </si>
  <si>
    <t>道路詳細設計業務（市道３２２５５号線・Ｒ７宝来工区）</t>
  </si>
  <si>
    <t>2025/06/20 14:50</t>
  </si>
  <si>
    <t>道路照明施設修正設計業務（一般県道鴻巣桶川さいたま線（針ヶ谷））</t>
  </si>
  <si>
    <t>2025/06/20 14:45</t>
  </si>
  <si>
    <t>電線共同溝詳細設計業務（主要地方道川口上尾線・Ｒ７北袋町工区）</t>
  </si>
  <si>
    <t>2025/06/20 14:40</t>
  </si>
  <si>
    <t>（予定事後）道路詳細設計業務（市道Ａ３４４号線外１路線）</t>
  </si>
  <si>
    <t>2025/06/19 14:56</t>
  </si>
  <si>
    <t>令和7年度浦和駅周辺まちづくりビジョン情報発信等業務</t>
  </si>
  <si>
    <t>2025/06/18 09:40</t>
  </si>
  <si>
    <t>令和７年度駅前空間リ・デザインプロジェクト推進支援業務</t>
  </si>
  <si>
    <t>2025/06/18 09:31</t>
  </si>
  <si>
    <t>さいたま市マンション管理適正化推進計画改定支援業務</t>
  </si>
  <si>
    <t>2025/06/13 10:01</t>
  </si>
  <si>
    <t>さいたま市 建設局建築部 （建設局建築部）</t>
  </si>
  <si>
    <t>（仮称）加田屋公園整備工事発注図書外作成業務</t>
  </si>
  <si>
    <t>2025/06/12 13:40</t>
  </si>
  <si>
    <t>南浦和浄水場第２号取水井撤去工事の実施設計</t>
  </si>
  <si>
    <t>2025/06/12 09:12</t>
  </si>
  <si>
    <t>ポンプ設備及び電源制御設備更新工事の実施設計</t>
  </si>
  <si>
    <t>2025/06/12 09:07</t>
  </si>
  <si>
    <t>計装設備更新工事の実施設計</t>
  </si>
  <si>
    <t>2025/06/12 09:01</t>
  </si>
  <si>
    <t>下水道事業耐震診断業務（北再-R7-654）</t>
  </si>
  <si>
    <t>2025/06/11 10:40</t>
  </si>
  <si>
    <t>下水道事業耐震診断業務（北再-R7-653）</t>
  </si>
  <si>
    <t>2025/06/11 10:36</t>
  </si>
  <si>
    <t>下水道事業耐震診断業務（北再-R7-652）</t>
  </si>
  <si>
    <t>2025/06/11 10:30</t>
  </si>
  <si>
    <t>下水道事業耐震診断業務（北再-R7-651）</t>
  </si>
  <si>
    <t>2025/06/11 10:26</t>
  </si>
  <si>
    <t>令和7年度 大宮駅東口シンボル都市軸検討業務</t>
  </si>
  <si>
    <t>2025/06/11 09:48</t>
  </si>
  <si>
    <t>与野本町通り街並みづくり会議運営支援等業務</t>
  </si>
  <si>
    <t>2025/06/10 13:36</t>
  </si>
  <si>
    <t>下水道事業基本設計業務（南建-R7-251）</t>
  </si>
  <si>
    <t>2025/06/10 09:45</t>
  </si>
  <si>
    <t>下水道緊急実施設計業務（単契北管－Ｒ７－Ｓ４１１）</t>
  </si>
  <si>
    <t>2025/06/06 14:21</t>
  </si>
  <si>
    <t>指扇土地区画整理事業 道路実施設計業務（Ｒ７）</t>
  </si>
  <si>
    <t>2025/06/06 14:18</t>
  </si>
  <si>
    <t>指扇土地区画整理事業 電線共同溝詳細設計修正業務（Ｒ７）</t>
  </si>
  <si>
    <t>2025/06/06 14:14</t>
  </si>
  <si>
    <t>公園施設改修実施設計業務（南Ｒ７－１）</t>
  </si>
  <si>
    <t>2025/06/06 14:09</t>
  </si>
  <si>
    <t>桜木大成２号線道路詳細設計外業務（Ｒ７）</t>
  </si>
  <si>
    <t>2025/06/05 15:51</t>
  </si>
  <si>
    <t>北浦和駅西口駅前広場整備方針検討業務</t>
  </si>
  <si>
    <t>2025/06/05 10:31</t>
  </si>
  <si>
    <t>令和７年度橋梁定期点検業務（その４）</t>
  </si>
  <si>
    <t>2025/06/05 10:27</t>
  </si>
  <si>
    <t>令和７年度橋梁定期点検業務（その３）</t>
  </si>
  <si>
    <t>2025/06/05 10:22</t>
  </si>
  <si>
    <t>令和７年度橋梁定期点検業務（その２）</t>
  </si>
  <si>
    <t>一般国道122号蓮田岩槻バイパス整備効果事後調査業務（R7）</t>
  </si>
  <si>
    <t>2025/06/05 10:10</t>
  </si>
  <si>
    <t>社会資本総合整備計画新規策定業務（R7）</t>
  </si>
  <si>
    <t>2025/06/05 10:05</t>
  </si>
  <si>
    <t>鴨川第16処理分区不明水実態調査解析業務（下維-R7-S701）</t>
  </si>
  <si>
    <t>2025/06/05 10:02</t>
  </si>
  <si>
    <t>西部幹線３系ルート（大宮南高校北側工区）の実施設計</t>
  </si>
  <si>
    <t>2025/06/05 09:21</t>
  </si>
  <si>
    <t>負担金工事 大谷口・太田窪（その１）の実施設計及び負担金工事 東浦和第二（その１）の実施設計</t>
  </si>
  <si>
    <t>2025/06/05 09:16</t>
  </si>
  <si>
    <t>南下新井幹線１系ルート（蒲生岩槻線工区）の実施設計</t>
  </si>
  <si>
    <t>2025/06/05 09:12</t>
  </si>
  <si>
    <t>株式会社コーセツコンサルタント 関東支店</t>
  </si>
  <si>
    <t>負担金工事 南与野駅西口（その１）の実施設計及び配水支管布設工事（その５）の実施設計</t>
  </si>
  <si>
    <t>2025/06/05 09:06</t>
  </si>
  <si>
    <t>金重幹線１系ルート（北部工業団地記念公園東側工区）の実施設計及び老朽管布設替工事（その８－１）の実施設計</t>
  </si>
  <si>
    <t>2025/06/05 09:00</t>
  </si>
  <si>
    <t>和光コンサルタント株式会社 埼玉事務所</t>
  </si>
  <si>
    <t>美園３丁目第二公園実施設計業務</t>
  </si>
  <si>
    <t>2025/05/30 14:32</t>
  </si>
  <si>
    <t>円正寺第一公園、三葉公園トイレ改修実施設計業務</t>
  </si>
  <si>
    <t>2025/05/30 14:27</t>
  </si>
  <si>
    <t>道路詳細設計業務（市道２００５３号線）</t>
  </si>
  <si>
    <t>2025/05/30 14:22</t>
  </si>
  <si>
    <t>川通公園外１公園遊具更新実施設計業務</t>
  </si>
  <si>
    <t>2025/05/30 14:17</t>
  </si>
  <si>
    <t>井沼方公園外７公園遊具更新実施設計業務</t>
  </si>
  <si>
    <t>2025/05/30 14:11</t>
  </si>
  <si>
    <t>２０２７年国際園芸博覧会出展庭園基本設計・実施設計業務</t>
  </si>
  <si>
    <t>2025/05/30 14:06</t>
  </si>
  <si>
    <t>浦和東部第一特定土地区画整理事業 駅前街区保留地等需要調査業務</t>
  </si>
  <si>
    <t>2025/05/29 13:32</t>
  </si>
  <si>
    <t>令和７年度（仮称）大宮警察署跡地公園計画検討支援業務</t>
  </si>
  <si>
    <t>2025/05/29 13:16</t>
  </si>
  <si>
    <t>配水ポンプ駆動用インバータ盤更新工事の実施設計</t>
  </si>
  <si>
    <t>2025/05/29 09:10</t>
  </si>
  <si>
    <t>下水道事業施工監理業務（北再-R7-902）</t>
  </si>
  <si>
    <t>2025/05/29 09:05</t>
  </si>
  <si>
    <t>非常災害用井戸更新工事の実施設計（上大久保中学校）</t>
  </si>
  <si>
    <t>2025/05/29 09:00</t>
  </si>
  <si>
    <t>芝川都市下水路右岸地区現況能力評価業務（北建-R6-913）</t>
  </si>
  <si>
    <t>2025/05/28 11:04</t>
  </si>
  <si>
    <t>芝川第9-1処理分区整備方針検討業務（北建-R6-911）</t>
  </si>
  <si>
    <t>2025/05/28 11:00</t>
  </si>
  <si>
    <t>下水道事業基本設計業務（北建-R7-201）</t>
  </si>
  <si>
    <t>2025/05/28 10:52</t>
  </si>
  <si>
    <t>道路修繕工事施工監理業務（北部R7）</t>
  </si>
  <si>
    <t>2025/05/28 10:16</t>
  </si>
  <si>
    <t>さいたま市 建設局北部建設事務所 道路維持課</t>
  </si>
  <si>
    <t>令和７年度 大宮駅周辺地域戦略ビジョン推進業務</t>
  </si>
  <si>
    <t>2025/05/28 09:33</t>
  </si>
  <si>
    <t>大宮駅西口デッキ改修検討業務</t>
  </si>
  <si>
    <t>2025/05/28 09:15</t>
  </si>
  <si>
    <t>下水道事業耐震診断業務（南再-R7-655）</t>
  </si>
  <si>
    <t>2025/05/27 15:30</t>
  </si>
  <si>
    <t>浦和東部第一特定土地区画整理事業 換地修正・画地確定測量外業務（R7単契）</t>
  </si>
  <si>
    <t>2025/05/27 15:29</t>
  </si>
  <si>
    <t>東浦和第二土地区画整理事業 147街区地質調査・擁壁設計業務</t>
  </si>
  <si>
    <t>2025/05/27 15:24</t>
  </si>
  <si>
    <t>下水道事業耐震診断業務（南再-R7-654）</t>
  </si>
  <si>
    <t>2025/05/27 15:15</t>
  </si>
  <si>
    <t>下水道事業耐震診断業務（南再-R7-653）</t>
  </si>
  <si>
    <t>2025/05/27 15:00</t>
  </si>
  <si>
    <t>下水道事業耐震診断業務（南再-R7-652）</t>
  </si>
  <si>
    <t>2025/05/27 14:45</t>
  </si>
  <si>
    <t>大和田駅舎改修に伴う基本設計等業務</t>
  </si>
  <si>
    <t>2025/05/27 14:41</t>
  </si>
  <si>
    <t>東浦和地区都市基盤整備状況調査等業務</t>
  </si>
  <si>
    <t>2025/05/27 14:37</t>
  </si>
  <si>
    <t>下水道事業耐震診断業務（南再-R7-651）</t>
  </si>
  <si>
    <t>2025/05/27 14:30</t>
  </si>
  <si>
    <t>河川管理施設等構造照査業務（南河単契R7）</t>
  </si>
  <si>
    <t>2025/05/27 14:15</t>
  </si>
  <si>
    <t>さいたま市市営住宅等長寿命化計画改定業務</t>
  </si>
  <si>
    <t>2025/05/26 10:03</t>
  </si>
  <si>
    <t>既存防火水槽長寿命化工事に伴う詳細設計業務（Ｒ７）</t>
  </si>
  <si>
    <t>2025/05/23 15:01</t>
  </si>
  <si>
    <t>社会資本総合整備計画書作成業務（下計-R7-4）</t>
  </si>
  <si>
    <t>2025/05/23 09:02</t>
  </si>
  <si>
    <t>南部エリアレジャープール基本計画策定等支援業務（ゼロ債）</t>
  </si>
  <si>
    <t>2025/05/22 13:29</t>
  </si>
  <si>
    <t>令和７年度 さいたま市緑の基本計画リーディングプロジェクト検討業務</t>
  </si>
  <si>
    <t>2025/05/22 13:25</t>
  </si>
  <si>
    <t>さいたま市水防計画書更新業務（河R7）</t>
  </si>
  <si>
    <t>2025/05/22 11:00</t>
  </si>
  <si>
    <t>株式会社東京シビルコンサルタント 埼玉営業所</t>
  </si>
  <si>
    <t>第二産業道路東大宮工区整備効果検討業務（R7）</t>
  </si>
  <si>
    <t>2025/05/22 10:40</t>
  </si>
  <si>
    <t>令和７年度路面性状調査業務</t>
  </si>
  <si>
    <t>2025/05/22 10:20</t>
  </si>
  <si>
    <t>令和７年度路面下空洞調査業務</t>
  </si>
  <si>
    <t>令和７年度さいたま市道路照明施設等調査業務</t>
  </si>
  <si>
    <t>2025/05/22 10:00</t>
  </si>
  <si>
    <t>負担金工事（七里駅北側特定土地区画整理事業）及び負担金工事（大和田特定土地区画整理事業）及び負担金工事（指扇土地区画整理事業）の実施設計</t>
  </si>
  <si>
    <t>2025/05/22 09:25</t>
  </si>
  <si>
    <t>負担金工事（島町西部土地区画整理事業）の実施設計</t>
  </si>
  <si>
    <t>2025/05/22 09:20</t>
  </si>
  <si>
    <t>2025/05/22 09:16</t>
  </si>
  <si>
    <t>2025/05/22 09:11</t>
  </si>
  <si>
    <t>令和７年度 さいたま市防災都市づくり計画推進業務</t>
  </si>
  <si>
    <t>2025/05/22 09:06</t>
  </si>
  <si>
    <t>貯留施設監視システム保守運用業務（下計-R7-3）</t>
  </si>
  <si>
    <t>2025/05/22 09:04</t>
  </si>
  <si>
    <t>老第３９２４号布設替工事の修正設計</t>
  </si>
  <si>
    <t>2025/05/22 09:01</t>
  </si>
  <si>
    <t>一の宮通り道路整備検討業務（R07）</t>
  </si>
  <si>
    <t>2025/05/21 09:54</t>
  </si>
  <si>
    <t>沿道整備街路事業検討業務（R7-2）</t>
  </si>
  <si>
    <t>2025/05/21 09:40</t>
  </si>
  <si>
    <t>沿道整備街路事業検討業務（R7-1）</t>
  </si>
  <si>
    <t>2025/05/21 09:32</t>
  </si>
  <si>
    <t>武蔵浦和駅第７－１街区まちづくり支援業務（Ｒ７）</t>
  </si>
  <si>
    <t>2025/05/20 13:32</t>
  </si>
  <si>
    <t>さいたま市建築物耐震改修促進計画策定支援業務</t>
  </si>
  <si>
    <t>2025/05/20 09:02</t>
  </si>
  <si>
    <t>（仮称）内谷五丁目公園実施設計業務（補）</t>
  </si>
  <si>
    <t>2025/05/16 14:14</t>
  </si>
  <si>
    <t>荒川総合運動公園通りラバーダム改修実施設計業務</t>
  </si>
  <si>
    <t>2025/05/15 16:12</t>
  </si>
  <si>
    <t>さぎ山記念公園給水管更新実施設計業務（補）</t>
  </si>
  <si>
    <t>2025/05/15 16:06</t>
  </si>
  <si>
    <t>与野本町駅前公園遊具広場実施設計業務</t>
  </si>
  <si>
    <t>2025/05/15 16:01</t>
  </si>
  <si>
    <t>耐震性防火水槽設置工事に伴う詳細設計業務（Ｒ７）</t>
  </si>
  <si>
    <t>2025/05/15 15:56</t>
  </si>
  <si>
    <t>下水道事業詳細設計業務（南建－Ｒ７－８５２）</t>
  </si>
  <si>
    <t>2025/05/15 13:40</t>
  </si>
  <si>
    <t>下水道事業詳細設計業務（北建－Ｒ７－８０２）</t>
  </si>
  <si>
    <t>2025/05/15 13:35</t>
  </si>
  <si>
    <t>下水道事業詳細設計業務（北建－Ｒ７－８０１）</t>
  </si>
  <si>
    <t>2025/05/15 13:30</t>
  </si>
  <si>
    <t>環境空間整備基本計画作成業務</t>
  </si>
  <si>
    <t>2025/05/15 10:17</t>
  </si>
  <si>
    <t>東浦和浄水場第４号取水井さく井工事の実施設計</t>
  </si>
  <si>
    <t>2025/05/15 09:30</t>
  </si>
  <si>
    <t>C-3号橋外1橋補修設計業務（補）</t>
  </si>
  <si>
    <t>2025/05/13 16:15</t>
  </si>
  <si>
    <t>さいたま市 建設局南部建設事務所 道路安全対策課</t>
  </si>
  <si>
    <t>（予定事後）（仮称）大谷稲荷公園実施設計業務（補）</t>
  </si>
  <si>
    <t>2025/05/13 15:26</t>
  </si>
  <si>
    <t>指扇土地区画整理事業 西大宮駅南口駅前広場道路予備修正設計業務（R7）</t>
  </si>
  <si>
    <t>2025/05/13 14:30</t>
  </si>
  <si>
    <t>与野本町駅西口駅前広場の改善に係る検討業務</t>
  </si>
  <si>
    <t>2025/05/13 14:20</t>
  </si>
  <si>
    <t>南与野駅西口土地区画整理事業 事業計画変更図書等作成業務</t>
  </si>
  <si>
    <t>2025/05/13 13:57</t>
  </si>
  <si>
    <t>指扇中央通線 電線共同溝予備設計業務（R7）</t>
  </si>
  <si>
    <t>2025/05/13 13:43</t>
  </si>
  <si>
    <t>道場三室線引継図書作成業務（Ｒ７）</t>
  </si>
  <si>
    <t>2025/05/13 13:30</t>
  </si>
  <si>
    <t>一般国道４６３号越谷浦和バイパス鶴巻ランプ橋梁詳細修正設計業務（Ｒ７）</t>
  </si>
  <si>
    <t>2025/05/13 11:15</t>
  </si>
  <si>
    <t>一般国道４６３号越谷浦和バイパス鶴巻ランプ道路修正設計業務（Ｒ７）</t>
  </si>
  <si>
    <t>2025/05/13 11:00</t>
  </si>
  <si>
    <t>（仮称）大門上・下野田特定３号公園実施設計業務（補）</t>
  </si>
  <si>
    <t>2025/05/09 13:45</t>
  </si>
  <si>
    <t>（仮称）浦和内谷教職員住宅跡地公園実施設計業務（補）</t>
  </si>
  <si>
    <t>2025/05/09 13:40</t>
  </si>
  <si>
    <t>下水道事業詳細設計業務（南建－Ｒ７－８５１）</t>
  </si>
  <si>
    <t>2025/05/09 13:36</t>
  </si>
  <si>
    <t>下水道事業詳細設計業務（南建－Ｒ７－８５３）</t>
  </si>
  <si>
    <t>2025/05/09 13:32</t>
  </si>
  <si>
    <t>天沼町歩道橋外３橋補修設計業務（補）</t>
  </si>
  <si>
    <t>2025/05/08 15:01</t>
  </si>
  <si>
    <t>築越橋外２橋補修設計業務（補）</t>
  </si>
  <si>
    <t>2025/05/08 14:35</t>
  </si>
  <si>
    <t>東浦和第二土地区画整理事業 仮換地指定変更及び杭打測量業務［単価契約R7］</t>
  </si>
  <si>
    <t>2025/05/07 13:48</t>
  </si>
  <si>
    <t>下水道事業詳細設計業務（北建-R6-403）</t>
  </si>
  <si>
    <t>2025/05/07 10:16</t>
  </si>
  <si>
    <t>三橋中央通線三橋工区電線共同溝台帳作成業務（R7）</t>
  </si>
  <si>
    <t>2025/05/07 09:44</t>
  </si>
  <si>
    <t>南大通東線天沼工区施工展開検討業務（R7）</t>
  </si>
  <si>
    <t>2025/05/07 09:35</t>
  </si>
  <si>
    <t>冠水センサ情報配信機能改修業務</t>
  </si>
  <si>
    <t>2025/05/02 11:28</t>
  </si>
  <si>
    <t>道路政策検討支援業務（R7）</t>
  </si>
  <si>
    <t>2025/05/02 10:40</t>
  </si>
  <si>
    <t>さいたま市道路特定事業計画改定業務</t>
  </si>
  <si>
    <t>2025/05/02 10:16</t>
  </si>
  <si>
    <t>下水道マンホール蓋調査業務（下維-R7-S4003）</t>
  </si>
  <si>
    <t>2025/05/02 10:12</t>
  </si>
  <si>
    <t>令和７年度街路樹再整備計画策定業務（主要地方道さいたま川口線）</t>
  </si>
  <si>
    <t>2025/05/02 10:11</t>
  </si>
  <si>
    <t>令和７年度道路案内標識改善検討業務</t>
  </si>
  <si>
    <t>2025/05/02 10:04</t>
  </si>
  <si>
    <t>下水道管路施設データ更新・判定業務（下維-R7-S101）</t>
  </si>
  <si>
    <t>2025/05/02 10:02</t>
  </si>
  <si>
    <t>大宮駅周辺地域・さいたま新都心駅周辺地域 都市再生安全確保計画改定業務</t>
  </si>
  <si>
    <t>2025/04/30 10:40</t>
  </si>
  <si>
    <t>令和７年度 駅前賑わい拠点まちづくり検討業務</t>
  </si>
  <si>
    <t>2025/04/30 10:00</t>
  </si>
  <si>
    <t>令和７年度氷川参道歩行者専用化調査検討業務</t>
  </si>
  <si>
    <t>2025/04/30 09:43</t>
  </si>
  <si>
    <t>（仮称）土呂農住特定２号街区公園実施設計業務（補）</t>
  </si>
  <si>
    <t>2025/04/25 13:45</t>
  </si>
  <si>
    <t>（仮称）指扇３号街区公園実施設計業務（補）</t>
  </si>
  <si>
    <t>2025/04/25 13:36</t>
  </si>
  <si>
    <t>令和７年度新庁舎整備等に係る歩行者デッキ基本調査等業務</t>
  </si>
  <si>
    <t>2025/04/23 10:01</t>
  </si>
  <si>
    <t>大宮駅西口ウォーカブル推進方策検討業務（R7）</t>
  </si>
  <si>
    <t>2025/04/23 09:43</t>
  </si>
  <si>
    <t>株式会社ＵＧ都市建築 本店</t>
  </si>
  <si>
    <t>下水道事業施工監理業務（南建-R7-901）</t>
  </si>
  <si>
    <t>2025/04/22 14:40</t>
  </si>
  <si>
    <t>上加自然の森外３緑地現況調査業務</t>
  </si>
  <si>
    <t>2025/04/17 15:26</t>
  </si>
  <si>
    <t>風渡野緑地公園外３緑地現況調査業務</t>
  </si>
  <si>
    <t>2025/04/17 15:12</t>
  </si>
  <si>
    <t>発注者支援業務（R7北建道建）</t>
  </si>
  <si>
    <t>2025/04/16 16:11</t>
  </si>
  <si>
    <t>令和７年度大宮駅グランドセントラルステーション化構想推進業務</t>
  </si>
  <si>
    <t>2025/04/16 09:35</t>
  </si>
  <si>
    <t>発注者支援業務（R7南建道建）</t>
  </si>
  <si>
    <t>2025/04/15 17:10</t>
  </si>
  <si>
    <t>指扇土地区画整理事業 換地修正・画地確定測量外業務（R7-1単契）</t>
  </si>
  <si>
    <t>2025/04/15 13:44</t>
  </si>
  <si>
    <t>羽根倉橋（下り線）耐震補強修正設計業務（ゼロ債）</t>
  </si>
  <si>
    <t>2025/03/19 11:01</t>
  </si>
  <si>
    <t>水位情報システム保守運用業務（河R7）</t>
  </si>
  <si>
    <t>2025/03/17 11:02</t>
  </si>
  <si>
    <t>下水道事業詳細設計業務（北建－Ｒ６－４０１）</t>
  </si>
  <si>
    <t>2025/03/14 13:35</t>
  </si>
  <si>
    <t>自転車通行環境詳細設計業務（主要地方道川口上尾線外５路線）（ゼロ債）</t>
  </si>
  <si>
    <t>2025/03/13 15:13</t>
  </si>
  <si>
    <t>北谷ツポンプ場樋管外詳細設計修正業務（南河Ｒ６）（２債）</t>
  </si>
  <si>
    <t>2025/03/13 15:08</t>
  </si>
  <si>
    <t>下水道事業実施設計業務（北建－Ｒ６－１０２）</t>
  </si>
  <si>
    <t>2025/03/13 15:00</t>
  </si>
  <si>
    <t>柏崎第1排水区既設水路等水理解析業務（北建-R6-910）</t>
  </si>
  <si>
    <t>2025/03/05 10:26</t>
  </si>
  <si>
    <t>下水道事業基本設計現況調査業務（北建-R6-909）</t>
  </si>
  <si>
    <t>2025/03/05 10:24</t>
  </si>
  <si>
    <t>共栄橋耐震補強検討業務（ゼロ債）</t>
  </si>
  <si>
    <t>2025/03/05 09:55</t>
  </si>
  <si>
    <t>道路測量設計業務（市道Ｄ５５０号線）（ゼロ債）</t>
  </si>
  <si>
    <t>2025/02/21 13:48</t>
  </si>
  <si>
    <t>東浦和浄水場更新工事（既存施設撤去）の積算業務</t>
  </si>
  <si>
    <t>2025/02/20 09:30</t>
  </si>
  <si>
    <t>高台堀排水路詳細設計業務（北河Ｒ７）（ゼロ債）</t>
  </si>
  <si>
    <t>2025/02/14 11:10</t>
  </si>
  <si>
    <t>ゾーン３０プラス整備設計業務（南部Ｒ７）（ゼロ債）</t>
  </si>
  <si>
    <t>2025/02/14 11:05</t>
  </si>
  <si>
    <t>下水道事業詳細設計業務（南建－Ｒ６－８５４）</t>
  </si>
  <si>
    <t>2025/02/14 11:00</t>
  </si>
  <si>
    <t>普通河川宮前川詳細設計業務（北河Ｒ７）（ゼロ債）</t>
  </si>
  <si>
    <t>2025/02/14 10:55</t>
  </si>
  <si>
    <t>馬込２号排水路詳細設計業務（北河Ｒ７）（ゼロ債）</t>
  </si>
  <si>
    <t>2025/02/14 10:50</t>
  </si>
  <si>
    <t>柏崎排水路詳細設計業務（北河Ｒ７）（ゼロ債）</t>
  </si>
  <si>
    <t>2025/02/14 10:45</t>
  </si>
  <si>
    <t>準用河川新川詳細設計業務（北河Ｒ７）（ゼロ債）</t>
  </si>
  <si>
    <t>2025/02/14 10:40</t>
  </si>
  <si>
    <t>準用河川黒谷川詳細設計業務（北河Ｒ７）（ゼロ債）</t>
  </si>
  <si>
    <t>2025/02/14 10:35</t>
  </si>
  <si>
    <t>下水道事業詳細設計業務（南建－Ｒ６－８０１）</t>
  </si>
  <si>
    <t>2025/02/14 10:30</t>
  </si>
  <si>
    <t>自転車通行環境詳細設計業務（主要地方道さいたま菖蒲線外２路線）（ゼロ債）</t>
  </si>
  <si>
    <t>2025/02/13 14:55</t>
  </si>
  <si>
    <t>道路詳細設計業務（一般県道鴻巣桶川さいたま線・Ｒ７宮町工区）（ゼロ債）</t>
  </si>
  <si>
    <t>2025/02/07 10:32</t>
  </si>
  <si>
    <t>道路詳細設計業務（一般県道蒲生岩槻線・Ｒ７釣上工区）（ゼロ債）</t>
  </si>
  <si>
    <t>2025/01/31 10:56</t>
  </si>
  <si>
    <t>道路詳細設計業務（一般国道１２２号・Ｒ７加倉工区）（ゼロ債）</t>
  </si>
  <si>
    <t>2025/01/31 10:51</t>
  </si>
  <si>
    <t>ゾーン３０プラス整備設計業務（北部Ｒ７）（ゼロ債）</t>
  </si>
  <si>
    <t>2025/01/31 10:46</t>
  </si>
  <si>
    <t>下水道事業基本設計構造検討業務（北建-R6-205）</t>
  </si>
  <si>
    <t>2025/01/30 16:31</t>
  </si>
  <si>
    <t>西町排水区計画外水位解析業務（北建-R6-908）</t>
  </si>
  <si>
    <t>2025/01/29 09:39</t>
  </si>
  <si>
    <t>指扇土地区画整理事業 換地修正・画地確定測量外業務（R6-3単契）</t>
  </si>
  <si>
    <t>2025/01/21 13:32</t>
  </si>
  <si>
    <t>令和6年度 大宮駅グランドセントラルステーション化構想推進業務（その３）</t>
  </si>
  <si>
    <t>2025/01/15 16:02</t>
  </si>
  <si>
    <t>下水道事業設計積算検討業務（南再-R6-803）</t>
  </si>
  <si>
    <t>2025/01/14 13:30</t>
  </si>
  <si>
    <t>スマイルロード整備工事に伴う詳細設計業務（市道第３０７号線）</t>
  </si>
  <si>
    <t>2025/01/10 13:36</t>
  </si>
  <si>
    <t>配水支管布設工事（その７－６）の実施設計</t>
  </si>
  <si>
    <t>2025/01/09 09:30</t>
  </si>
  <si>
    <t>下水道事業基本設計占用・縦断検討業務（北建-R6-204）</t>
  </si>
  <si>
    <t>2024/12/25 15:12</t>
  </si>
  <si>
    <t>下水道浸水対策整備促進エリア更新業務（下計-R6-12）</t>
  </si>
  <si>
    <t>2024/12/20 10:05</t>
  </si>
  <si>
    <t>老第３６３３号布設替工事の修正設計</t>
  </si>
  <si>
    <t>2024/12/19 11:00</t>
  </si>
  <si>
    <t>令和６年度多目的広場実施設計業務（岩槻区並木１丁目）</t>
  </si>
  <si>
    <t>2024/12/13 13:35</t>
  </si>
  <si>
    <t>相野原配水場第２号取水井整備工事に伴う工作物申請支援業務</t>
  </si>
  <si>
    <t>2024/12/05 09:30</t>
  </si>
  <si>
    <t>（予定事後）電線共同溝詳細設計外業務（一般県道曲本さいたま線）（２債）</t>
  </si>
  <si>
    <t>2024/12/03 14:10</t>
  </si>
  <si>
    <t>大門下野田特定土地区画整理事業 換地修正・画地確定測量外業務（R6-2）</t>
  </si>
  <si>
    <t>2024/11/27 15:03</t>
  </si>
  <si>
    <t>江川外樋門ゲート操作方針検討業務（南河R6）</t>
  </si>
  <si>
    <t>2024/11/26 09:45</t>
  </si>
  <si>
    <t>主要排水路健全度評価業務（河R6）</t>
  </si>
  <si>
    <t>2024/11/21 10:05</t>
  </si>
  <si>
    <t>配水支管布設工事（その７－５）の実施設計</t>
  </si>
  <si>
    <t>2024/11/21 09:36</t>
  </si>
  <si>
    <t>配水支管布設工事（その７－４）の実施設計</t>
  </si>
  <si>
    <t>2024/11/21 09:31</t>
  </si>
  <si>
    <t>令和６年度氷川参道整備に関する住民意見聴取支援業務</t>
  </si>
  <si>
    <t>2024/11/20 09:54</t>
  </si>
  <si>
    <t>下水道事業詳細設計業務（南再－Ｒ６－８０１）</t>
  </si>
  <si>
    <t>2024/11/15 13:31</t>
  </si>
  <si>
    <t>大宮駅西口駅前広場詳細設計業務（市道２１９６５号線）</t>
  </si>
  <si>
    <t>2024/11/14 14:50</t>
  </si>
  <si>
    <t>下水道事業実施設計業務（北建－Ｒ６－１１１）</t>
  </si>
  <si>
    <t>2024/11/08 14:08</t>
  </si>
  <si>
    <t>道路整備検討業務（一般県道大野島越谷線外1路線）</t>
  </si>
  <si>
    <t>2024/11/06 09:14</t>
  </si>
  <si>
    <t>作田排水路更新詳細設計業務（南河Ｒ６）</t>
  </si>
  <si>
    <t>2024/10/31 15:00</t>
  </si>
  <si>
    <t>道路照明施設改修設計業務（南Ｒ６）</t>
  </si>
  <si>
    <t>2024/10/31 14:55</t>
  </si>
  <si>
    <t>釣上地内排水路詳細設計業務（北河Ｒ６）</t>
  </si>
  <si>
    <t>2024/10/31 14:50</t>
  </si>
  <si>
    <t>老第３６４５号布設替工事の修正設計</t>
  </si>
  <si>
    <t>2024/10/31 09:46</t>
  </si>
  <si>
    <t>排水路詳細設計業務（北河Ｒ６）</t>
  </si>
  <si>
    <t>2024/10/24 13:26</t>
  </si>
  <si>
    <t>下水道事業詳細設計業務（北建－Ｒ５－４１２）</t>
  </si>
  <si>
    <t>2024/10/24 13:21</t>
  </si>
  <si>
    <t>サイクルパーク構想策定支援外業務</t>
  </si>
  <si>
    <t>2024/10/24 09:05</t>
  </si>
  <si>
    <t>株式会社ドーコン 東京支店</t>
  </si>
  <si>
    <t>道路検討業務（主要地方道川口上尾線・R6土呂町工区）</t>
  </si>
  <si>
    <t>2024/10/23 09:12</t>
  </si>
  <si>
    <t>証明書発行・情報検索システム再構築業務</t>
  </si>
  <si>
    <t>2024/10/22 13:31</t>
  </si>
  <si>
    <t>別所排水路更新詳細設計業務（南河Ｒ６）（２債）</t>
  </si>
  <si>
    <t>2024/10/17 15:21</t>
  </si>
  <si>
    <t>老朽管布設替工事（その７－４５）の実施設計及び配水支管布設工事（その７－３）の実施設計</t>
  </si>
  <si>
    <t>2024/10/17 09:35</t>
  </si>
  <si>
    <t>老朽管布設替工事（その７－４４）の実施設計</t>
  </si>
  <si>
    <t>2024/10/17 09:30</t>
  </si>
  <si>
    <t>大宮駅西口第四土地区画整理審議会委員選挙事務補助業務</t>
  </si>
  <si>
    <t>2024/10/16 09:31</t>
  </si>
  <si>
    <t>主要地方道さいたま春日部線岩槻橋道路詳細修正設計業務（Ｒ６）（２債）</t>
  </si>
  <si>
    <t>2024/10/10 15:00</t>
  </si>
  <si>
    <t>下水道事業実施設計業務（北建－Ｒ６－１１０）</t>
  </si>
  <si>
    <t>2024/10/10 14:50</t>
  </si>
  <si>
    <t>下水道事業実施設計業務（北建－Ｒ６－１２１）</t>
  </si>
  <si>
    <t>2024/10/10 14:40</t>
  </si>
  <si>
    <t>令和６年度 大宮駅東口シンボル都市軸検討業務</t>
  </si>
  <si>
    <t>2024/10/09 09:40</t>
  </si>
  <si>
    <t>下水道事業基本設計業務（南建-R6-201）</t>
  </si>
  <si>
    <t>2024/10/09 09:16</t>
  </si>
  <si>
    <t>市道１２７３９号線外１路線道路詳細修正設計業務（Ｒ６）（２債）</t>
  </si>
  <si>
    <t>2024/10/08 14:25</t>
  </si>
  <si>
    <t>下水道事業基本設計業務（南建-R6-251）</t>
  </si>
  <si>
    <t>2024/10/08 10:15</t>
  </si>
  <si>
    <t>発注者支援業務（南建道安R6）</t>
  </si>
  <si>
    <t>2024/10/08 09:30</t>
  </si>
  <si>
    <t>老朽管布設替工事（その７－４６）の実施設計</t>
  </si>
  <si>
    <t>2024/10/03 10:25</t>
  </si>
  <si>
    <t>老朽管布設替工事（その７－３７）の実施設計</t>
  </si>
  <si>
    <t>2024/10/03 10:20</t>
  </si>
  <si>
    <t>老朽管布設替工事（その７－４７）の実施設計</t>
  </si>
  <si>
    <t>2024/10/03 10:16</t>
  </si>
  <si>
    <t>老朽管布設替工事（その７－３８）の実施設計</t>
  </si>
  <si>
    <t>2024/10/03 10:10</t>
  </si>
  <si>
    <t>老朽管布設替工事（その７－４０）の実施設計</t>
  </si>
  <si>
    <t>2024/10/03 10:05</t>
  </si>
  <si>
    <t>老朽管布設替工事（その７－４１）の実施設計</t>
  </si>
  <si>
    <t>2024/10/03 10:00</t>
  </si>
  <si>
    <t>老朽管布設替工事（その７－４２）の実施設計</t>
  </si>
  <si>
    <t>2024/10/03 09:55</t>
  </si>
  <si>
    <t>老朽管布設替工事（その７－４３）の実施設計</t>
  </si>
  <si>
    <t>2024/10/03 09:50</t>
  </si>
  <si>
    <t>老朽管布設替工事（その７－３９）の実施設計</t>
  </si>
  <si>
    <t>2024/10/03 09:45</t>
  </si>
  <si>
    <t>老朽管布設替工事（その７－４８）の実施設計</t>
  </si>
  <si>
    <t>2024/10/03 09:40</t>
  </si>
  <si>
    <t>与野駅東口駅前広場整備計画作成業務（R6）</t>
  </si>
  <si>
    <t>2024/09/30 10:39</t>
  </si>
  <si>
    <t>田島排水路健全度評価業務（河R6）</t>
  </si>
  <si>
    <t>2024/09/30 10:33</t>
  </si>
  <si>
    <t>念仏橋下部工等修正設計業務（R6）</t>
  </si>
  <si>
    <t>2024/09/24 15:05</t>
  </si>
  <si>
    <t>道路バリアフリー詳細設計業務（三橋中央通り線外１路線）</t>
  </si>
  <si>
    <t>2024/09/24 13:38</t>
  </si>
  <si>
    <t>下水道事業詳細設計業務（北建－Ｒ５－４１６）</t>
  </si>
  <si>
    <t>2024/09/24 13:32</t>
  </si>
  <si>
    <t>令和6年度自転車通行環境整備効果検証業務</t>
  </si>
  <si>
    <t>2024/09/19 09:02</t>
  </si>
  <si>
    <t>道路照明施設改修設計業務（北Ｒ６）</t>
  </si>
  <si>
    <t>2024/09/17 13:55</t>
  </si>
  <si>
    <t>令和６年度さいたま市3D都市モデル活用業務（その３）</t>
  </si>
  <si>
    <t>2024/09/12 09:42</t>
  </si>
  <si>
    <t>令和６年度 大宮駅グランドセントラルステーション化構想推進業務</t>
  </si>
  <si>
    <t>2024/09/11 09:36</t>
  </si>
  <si>
    <t>橋戸橋外1橋耐震補強及び補修設計業務</t>
  </si>
  <si>
    <t>2024/09/10 10:17</t>
  </si>
  <si>
    <t>下水道事業基本設計業務（南建-R6-255）</t>
  </si>
  <si>
    <t>2024/09/10 09:30</t>
  </si>
  <si>
    <t>下水道事業改築実施設計業務（北再－Ｒ６－５０１）</t>
  </si>
  <si>
    <t>2024/09/06 14:07</t>
  </si>
  <si>
    <t>老朽管布設替工事（その７－２２）の実施設計</t>
  </si>
  <si>
    <t>2024/09/05 09:50</t>
  </si>
  <si>
    <t>老朽管布設替工事（その７－１０）の実施設計</t>
  </si>
  <si>
    <t>2024/09/05 09:45</t>
  </si>
  <si>
    <t>老朽管布設替工事（その７－２５）の実施設計</t>
  </si>
  <si>
    <t>2024/09/05 09:40</t>
  </si>
  <si>
    <t>下水道事業改築基本設計業務（北再-R6-602）</t>
  </si>
  <si>
    <t>2024/09/04 11:10</t>
  </si>
  <si>
    <t>東浦和第二土地区画整理事業 道路詳細設計業務（Ｒ６）</t>
  </si>
  <si>
    <t>2024/08/30 15:25</t>
  </si>
  <si>
    <t>徳力地内道路排水施設実施設計業務</t>
  </si>
  <si>
    <t>2024/08/30 15:20</t>
  </si>
  <si>
    <t>下水道点検・調査計画更新業務（下維-R6-S4004）</t>
  </si>
  <si>
    <t>2024/08/30 10:03</t>
  </si>
  <si>
    <t>南与野駅西口土地区画整理事業 道路等詳細設計業務</t>
  </si>
  <si>
    <t>2024/08/29 16:02</t>
  </si>
  <si>
    <t>道場三室線本太工区整備効果検討業務（R6）</t>
  </si>
  <si>
    <t>2024/08/29 10:10</t>
  </si>
  <si>
    <t>令和６年度 氷川緑道西通線（北区間）の歩行者空間のデザインコンセプト検討業務</t>
  </si>
  <si>
    <t>2024/08/28 09:32</t>
  </si>
  <si>
    <t>株式会社首都圏総合計画研究所 本店</t>
  </si>
  <si>
    <t>指扇土地区画整理事業 換地修正・画地確定測量外業務（R6-2単契）</t>
  </si>
  <si>
    <t>2024/08/27 13:41</t>
  </si>
  <si>
    <t>配水支管布設工事（その５）の実施設計</t>
  </si>
  <si>
    <t>2024/08/23 11:22</t>
  </si>
  <si>
    <t>老朽管布設替工事（その７－１４）の実施設計</t>
  </si>
  <si>
    <t>2024/08/23 11:16</t>
  </si>
  <si>
    <t>老朽管布設替工事（その７－３１）の実施設計</t>
  </si>
  <si>
    <t>2024/08/23 11:12</t>
  </si>
  <si>
    <t>老朽管布設替工事（その７－２４）の実施設計</t>
  </si>
  <si>
    <t>2024/08/23 11:08</t>
  </si>
  <si>
    <t>老朽管布設替工事（その７－３３）の実施設計</t>
  </si>
  <si>
    <t>2024/08/23 11:03</t>
  </si>
  <si>
    <t>道場１丁目公園流域貯留浸透施設詳細設計業務（南河Ｒ６）</t>
  </si>
  <si>
    <t>2024/08/23 11:01</t>
  </si>
  <si>
    <t>老朽管布設替工事（その７－３０）の実施設計</t>
  </si>
  <si>
    <t>2024/08/23 10:58</t>
  </si>
  <si>
    <t>老朽管布設替工事（その７－３４）の実施設計</t>
  </si>
  <si>
    <t>2024/08/23 10:54</t>
  </si>
  <si>
    <t>準用河川油面川更新詳細設計業務（南河Ｒ６）</t>
  </si>
  <si>
    <t>2024/08/23 10:52</t>
  </si>
  <si>
    <t>老朽管布設替工事（その７－２７）の実施設計</t>
  </si>
  <si>
    <t>2024/08/23 10:48</t>
  </si>
  <si>
    <t>老朽管布設替工事（その７－３６）の実施設計及び配水支管布設工事（その７－２）の実施設計</t>
  </si>
  <si>
    <t>2024/08/23 10:43</t>
  </si>
  <si>
    <t>桜田２丁目公園流域貯留浸透施設詳細設計業務（南河Ｒ６）</t>
  </si>
  <si>
    <t>2024/08/23 10:41</t>
  </si>
  <si>
    <t>老朽管布設替工事（その７－３２）の実施設計</t>
  </si>
  <si>
    <t>2024/08/23 10:39</t>
  </si>
  <si>
    <t>老朽管布設替工事（その７－２１）の実施設計</t>
  </si>
  <si>
    <t>2024/08/23 10:34</t>
  </si>
  <si>
    <t>（予定事後）下水道事業耐震実施設計業務（北再－Ｒ６－５５１）</t>
  </si>
  <si>
    <t>2024/08/23 10:31</t>
  </si>
  <si>
    <t>老朽管布設替工事（その７－２３）の実施設計</t>
  </si>
  <si>
    <t>2024/08/23 10:30</t>
  </si>
  <si>
    <t>老朽管布設替工事（その７－２８）の実施設計</t>
  </si>
  <si>
    <t>2024/08/23 10:25</t>
  </si>
  <si>
    <t>老朽管布設替工事（その７－２９）の実施設計</t>
  </si>
  <si>
    <t>2024/08/23 10:21</t>
  </si>
  <si>
    <t>株式会社新東京技研 さいたま営業所</t>
  </si>
  <si>
    <t>老朽管布設替工事（その７－２６）の実施設計及び配水支管布設工事（その７－１）の実施設計</t>
  </si>
  <si>
    <t>2024/08/23 10:11</t>
  </si>
  <si>
    <t>老朽管布設替工事（その７－３５）の実施設計</t>
  </si>
  <si>
    <t>2024/08/23 10:07</t>
  </si>
  <si>
    <t>尾間木幹線４系（処分場南工区）の実施設計及び老朽管布設替工事（その８－１）の実施設計</t>
  </si>
  <si>
    <t>2024/08/23 10:01</t>
  </si>
  <si>
    <t>ＣＡ－３０排水路詳細設計業務（南河Ｒ６）</t>
  </si>
  <si>
    <t>2024/08/22 15:10</t>
  </si>
  <si>
    <t>大門上池調節池広場（土広場）実施設計業務</t>
  </si>
  <si>
    <t>2024/08/22 15:05</t>
  </si>
  <si>
    <t>下水道事業実施設計業務（北建－Ｒ６－１２５）</t>
  </si>
  <si>
    <t>2024/08/22 15:00</t>
  </si>
  <si>
    <t>下水道事業実施設計業務（北建－Ｒ６－１２４）</t>
  </si>
  <si>
    <t>2024/08/22 14:55</t>
  </si>
  <si>
    <t>（予定事後）見沼田んぼ横断管更新詳細設計業務（南河Ｒ６）</t>
  </si>
  <si>
    <t>2024/08/20 15:54</t>
  </si>
  <si>
    <t>大宮岩槻線芝川工区道路詳細修正設計業務（Ｒ６）</t>
  </si>
  <si>
    <t>2024/08/20 15:49</t>
  </si>
  <si>
    <t>鴨川第45処理分区下水道誤接続調査業務（南管-R6-S713）</t>
  </si>
  <si>
    <t>2024/08/13 10:45</t>
  </si>
  <si>
    <t>（仮称）さいたま市農業交流公園整備事業設計・施工モニタリング業務</t>
  </si>
  <si>
    <t>2024/08/02 09:13</t>
  </si>
  <si>
    <t>さいたま市 経済局農業政策部 （経済局農業政策部）</t>
  </si>
  <si>
    <t>南与野駅西口土地区画整理事業 電線共同溝修正設計等業務</t>
  </si>
  <si>
    <t>2024/08/01 14:30</t>
  </si>
  <si>
    <t>詳細設計業務（市道第１号線歩道部）</t>
  </si>
  <si>
    <t>2024/08/01 14:26</t>
  </si>
  <si>
    <t>（仮称）武蔵浦和駅周辺地区義務教育学校校庭整備実施設計業務</t>
  </si>
  <si>
    <t>2024/08/01 14:20</t>
  </si>
  <si>
    <t>堰橋改修工事に伴う水道管移設切回しの実施設計</t>
  </si>
  <si>
    <t>2024/08/01 11:45</t>
  </si>
  <si>
    <t>2024/08/01 11:40</t>
  </si>
  <si>
    <t>老朽管布設替工事（その７－８）の実施設計</t>
  </si>
  <si>
    <t>2024/08/01 11:35</t>
  </si>
  <si>
    <t>老朽管布設替工事（その７－１９）の実施設計</t>
  </si>
  <si>
    <t>2024/08/01 11:30</t>
  </si>
  <si>
    <t>老朽管布設替工事（その７－１６）の実施設計</t>
  </si>
  <si>
    <t>2024/08/01 11:25</t>
  </si>
  <si>
    <t>老朽管布設替工事（その７－２０）の実施設計</t>
  </si>
  <si>
    <t>2024/08/01 11:20</t>
  </si>
  <si>
    <t>老朽管布設替工事（その７－１３）の実施設計</t>
  </si>
  <si>
    <t>2024/08/01 11:15</t>
  </si>
  <si>
    <t>老朽管布設替工事（その７－１２）の実施設計</t>
  </si>
  <si>
    <t>2024/08/01 11:10</t>
  </si>
  <si>
    <t>老朽管布設替工事（その７－１８）の実施設計</t>
  </si>
  <si>
    <t>2024/08/01 11:05</t>
  </si>
  <si>
    <t>老朽管布設替工事（その７－１１）の実施設計</t>
  </si>
  <si>
    <t>2024/08/01 11:02</t>
  </si>
  <si>
    <t>老朽管布設替工事（その７－１７）の実施設計</t>
  </si>
  <si>
    <t>2024/08/01 10:56</t>
  </si>
  <si>
    <t>老朽管布設替工事（その７－７）の実施設計</t>
  </si>
  <si>
    <t>2024/08/01 10:50</t>
  </si>
  <si>
    <t>老朽管布設替工事（その７－３）の実施設計</t>
  </si>
  <si>
    <t>2024/08/01 10:45</t>
  </si>
  <si>
    <t>老朽管布設替工事（その７－５）の実施設計</t>
  </si>
  <si>
    <t>2024/08/01 10:35</t>
  </si>
  <si>
    <t>老朽管布設替工事（その７－４）の実施設計</t>
  </si>
  <si>
    <t>2024/08/01 10:30</t>
  </si>
  <si>
    <t>老朽管布設替工事（その７－１５）の実施設計</t>
  </si>
  <si>
    <t>2024/08/01 10:25</t>
  </si>
  <si>
    <t>老朽管布設替工事（その７－６）の実施設計</t>
  </si>
  <si>
    <t>2024/08/01 10:21</t>
  </si>
  <si>
    <t>老朽管布設替工事（その７－９）の実施設計</t>
  </si>
  <si>
    <t>踏切道構造改良検討業務（野田線第５号踏切）</t>
  </si>
  <si>
    <t>2024/08/01 10:00</t>
  </si>
  <si>
    <t>令和６年度さいたま市市街化調整区域における基盤整備状況調査等業務</t>
  </si>
  <si>
    <t>2024/08/01 09:04</t>
  </si>
  <si>
    <t>下水道事業耐震基本設計業務（北再-R6-661）</t>
  </si>
  <si>
    <t>2024/07/31 10:11</t>
  </si>
  <si>
    <t>下水道事業耐震基本設計業務（北再-R6-662）</t>
  </si>
  <si>
    <t>2024/07/31 10:06</t>
  </si>
  <si>
    <t>下水道事業耐震診断業務（北再-R6-654）</t>
  </si>
  <si>
    <t>2024/07/31 10:01</t>
  </si>
  <si>
    <t>荒川第３－３処理分区下水道誤接続調査業務（北管-R6-S702）</t>
  </si>
  <si>
    <t>2024/07/31 09:52</t>
  </si>
  <si>
    <t>荒川第３－３処理分区下水道誤接続調査業務（北管-R6-S701）</t>
  </si>
  <si>
    <t>2024/07/31 09:46</t>
  </si>
  <si>
    <t>油面第１樋門ポンプ排水管路整備詳細設計業務（南河Ｒ６）</t>
  </si>
  <si>
    <t>2024/07/30 14:45</t>
  </si>
  <si>
    <t>大宮西部４号緑地 実施設計業務</t>
  </si>
  <si>
    <t>2024/07/30 14:40</t>
  </si>
  <si>
    <t>令和６年度公園施設改修実施設計業務（北Ｒ６－２）</t>
  </si>
  <si>
    <t>2024/07/30 14:35</t>
  </si>
  <si>
    <t>令和６年度 （仮称）西浦和駅周辺まちづくりアクションプラン策定等業務</t>
  </si>
  <si>
    <t>2024/07/30 13:35</t>
  </si>
  <si>
    <t>大門下野田特定土地区画整理事業 換地修正・画地確定測量外業務（R6）</t>
  </si>
  <si>
    <t>2024/07/26 15:00</t>
  </si>
  <si>
    <t>下水道地震対策中長期計画策定業務（下計-R6-11）</t>
  </si>
  <si>
    <t>2024/07/26 10:02</t>
  </si>
  <si>
    <t>油面川流域貯留浸透施設基本検討業務（河R6）</t>
  </si>
  <si>
    <t>2024/07/25 10:26</t>
  </si>
  <si>
    <t>高沼導水路基本設計業務（河R6）</t>
  </si>
  <si>
    <t>大間木丸ヶ崎線現地測量業務（R6）</t>
  </si>
  <si>
    <t>2024/07/25 10:12</t>
  </si>
  <si>
    <t>渋滞対策検討業務（新都心（西）交差点外１箇所）</t>
  </si>
  <si>
    <t>2024/07/25 10:06</t>
  </si>
  <si>
    <t>令和６年度橋梁定期点検業務（その４）</t>
  </si>
  <si>
    <t>2024/07/25 10:00</t>
  </si>
  <si>
    <t>高速バス等交通施設予備設計業務</t>
  </si>
  <si>
    <t>2024/07/25 09:06</t>
  </si>
  <si>
    <t>令和６年度 大宮駅新東西通路等検討業務</t>
  </si>
  <si>
    <t>2024/07/24 10:07</t>
  </si>
  <si>
    <t>不明水削減対策計画策定業務（下維‐R6‐S701）</t>
  </si>
  <si>
    <t>2024/07/24 10:03</t>
  </si>
  <si>
    <t>松原跨線人道橋補修設計業務</t>
  </si>
  <si>
    <t>2024/07/23 15:06</t>
  </si>
  <si>
    <t>南部第７処理分区下水道誤接続調査業務（南管-R6-S712）</t>
  </si>
  <si>
    <t>2024/07/23 14:40</t>
  </si>
  <si>
    <t>南部第７処理分区下水道誤接続調査業務（南管-R6-S711）</t>
  </si>
  <si>
    <t>2024/07/23 14:37</t>
  </si>
  <si>
    <t>指扇土地区画整理事業 道路・雨水実施設計外業務（Ｒ６）</t>
  </si>
  <si>
    <t>2024/07/23 13:36</t>
  </si>
  <si>
    <t>令和６年度 西浦和駅周辺まちづくり手法検討等業務</t>
  </si>
  <si>
    <t>2024/07/23 13:34</t>
  </si>
  <si>
    <t>大門下野田特定土地区画整理事業 道路詳細設計等業務（Ｒ６）</t>
  </si>
  <si>
    <t>2024/07/23 13:31</t>
  </si>
  <si>
    <t>中央開発株式会社 関東支店さいたま事務所</t>
  </si>
  <si>
    <t>（予定事後）さいたま市旧鈴谷清掃工場解体設計業務</t>
  </si>
  <si>
    <t>2024/07/19 16:00</t>
  </si>
  <si>
    <t>（予定事後）下水道事業実施設計業務（北建－Ｒ６－１２３）</t>
  </si>
  <si>
    <t>2024/07/19 15:50</t>
  </si>
  <si>
    <t>下水道事業実施設計業務（北建－Ｒ５－１１４）</t>
  </si>
  <si>
    <t>2024/07/19 15:40</t>
  </si>
  <si>
    <t>（予定事後）下水道事業耐震実施設計業務（北再－Ｒ６－５５３）</t>
  </si>
  <si>
    <t>2024/07/19 15:30</t>
  </si>
  <si>
    <t>道路排水施設検討業務（北R6市道41223号線外）</t>
  </si>
  <si>
    <t>2024/07/17 10:17</t>
  </si>
  <si>
    <t>主要地方道さいたま春日部線岩槻橋工事監理支援業務（R6）（2債）</t>
  </si>
  <si>
    <t>2024/07/17 09:57</t>
  </si>
  <si>
    <t>浦和東部第一特定土地区画整理事業 道路詳細設計等業務（Ｒ６）</t>
  </si>
  <si>
    <t>2024/07/12 13:50</t>
  </si>
  <si>
    <t>下水道事業実施設計業務（北建－Ｒ６－１０４）</t>
  </si>
  <si>
    <t>2024/07/12 13:45</t>
  </si>
  <si>
    <t>電線共同溝詳細設計業務（市道４００３３号線外２路線・桜木町４丁目工区）（２債）</t>
  </si>
  <si>
    <t>2024/07/11 15:56</t>
  </si>
  <si>
    <t>三橋中央通線三橋２工区橋梁詳細設計業務（Ｒ６）（２債）</t>
  </si>
  <si>
    <t>2024/07/11 15:52</t>
  </si>
  <si>
    <t>下水道事業耐震実施設計業務（南再－Ｒ６－５５２）</t>
  </si>
  <si>
    <t>2024/07/11 11:21</t>
  </si>
  <si>
    <t>（予定事後）下水道事業耐震実施設計業務（南再－Ｒ６－５５３）</t>
  </si>
  <si>
    <t>2024/07/11 11:10</t>
  </si>
  <si>
    <t>（予定事後）下水道事業改築実施設計業務（北再－Ｒ６－５０２）</t>
  </si>
  <si>
    <t>2024/07/11 11:00</t>
  </si>
  <si>
    <t>（予定事後）下水道事業改築実施設計業務（北再－Ｒ６－５０３）</t>
  </si>
  <si>
    <t>2024/07/11 10:51</t>
  </si>
  <si>
    <t>（予定事後）下水道事業耐震実施設計業務（北再－Ｒ６－５５２）</t>
  </si>
  <si>
    <t>2024/07/11 10:40</t>
  </si>
  <si>
    <t>（予定事後）下水道事業実施設計業務（北建－Ｒ６－１０５）</t>
  </si>
  <si>
    <t>2024/07/11 10:30</t>
  </si>
  <si>
    <t>令和6年度公共交通ネットワーク等検討調査業務</t>
  </si>
  <si>
    <t>2024/07/11 09:42</t>
  </si>
  <si>
    <t>北部配水場更新工事（第２期）の実施設計（２債）</t>
  </si>
  <si>
    <t>2024/07/11 09:31</t>
  </si>
  <si>
    <t>令和６年度さいたま市景観計画改定業務</t>
  </si>
  <si>
    <t>2024/07/11 09:21</t>
  </si>
  <si>
    <t>下水道事業基本設計業務（南建-R6-254）</t>
  </si>
  <si>
    <t>2024/07/09 09:45</t>
  </si>
  <si>
    <t>油面川流域貯留浸透施設詳細設計修正業務（南河Ｒ６）</t>
  </si>
  <si>
    <t>2024/07/05 13:31</t>
  </si>
  <si>
    <t>鐘塚公園の高質化に関する調査・検討業務</t>
  </si>
  <si>
    <t>2024/07/04 13:43</t>
  </si>
  <si>
    <t>道路排水検討業務（北部R6）</t>
  </si>
  <si>
    <t>2024/07/03 15:48</t>
  </si>
  <si>
    <t>下水道事業基本設計業務（北建-R5-210）</t>
  </si>
  <si>
    <t>2024/07/03 10:47</t>
  </si>
  <si>
    <t>道路整備検討業務（一般県道鴻巣桶川さいたま線・R6北袋町工区）</t>
  </si>
  <si>
    <t>2024/07/03 10:24</t>
  </si>
  <si>
    <t>河川管理施設等構造照査業務（南河単契R6）</t>
  </si>
  <si>
    <t>2024/07/02 14:30</t>
  </si>
  <si>
    <t>大門下野田特定土地区画整理事業 選挙人名簿作成業務（R6）</t>
  </si>
  <si>
    <t>2024/07/02 14:02</t>
  </si>
  <si>
    <t>大古里特別緑地保全地区拡張地実施設計業務（令和６年度）</t>
  </si>
  <si>
    <t>2024/06/28 14:30</t>
  </si>
  <si>
    <t>下水道事業実施設計業務（北建－Ｒ６－１２２）</t>
  </si>
  <si>
    <t>2024/06/28 14:20</t>
  </si>
  <si>
    <t>下水道事業詳細設計業務（南建－Ｒ６－８５３）</t>
  </si>
  <si>
    <t>2024/06/28 13:31</t>
  </si>
  <si>
    <t>公共下水道事業計画変更図書作成業務（下計-R6-7）</t>
  </si>
  <si>
    <t>（予定事後）道路詳細設計業務（一般県道大谷本郷さいたま線）</t>
  </si>
  <si>
    <t>2024/06/27 14:40</t>
  </si>
  <si>
    <t>（予定事後）下水道事業耐震実施設計業務（南再－Ｒ６－５５１）</t>
  </si>
  <si>
    <t>下水道事業改築実施設計業務（南再－Ｒ６－５０１）</t>
  </si>
  <si>
    <t>2024/06/27 14:23</t>
  </si>
  <si>
    <t>交差点渋滞対策検討業務（R6）</t>
  </si>
  <si>
    <t>2024/06/27 10:45</t>
  </si>
  <si>
    <t>道場三室線2工区外2路線整備効果検証業務（R6）</t>
  </si>
  <si>
    <t>2024/06/27 10:40</t>
  </si>
  <si>
    <t>さいたま市道路整備計画推進業務（R6）</t>
  </si>
  <si>
    <t>2024/06/27 10:35</t>
  </si>
  <si>
    <t>さいたま市自転車通行環境整備設計マニュアル改定業務</t>
  </si>
  <si>
    <t>2024/06/27 10:25</t>
  </si>
  <si>
    <t>令和６年度橋梁定期点検業務（その２）</t>
  </si>
  <si>
    <t>2024/06/27 10:15</t>
  </si>
  <si>
    <t>大宮駅西口交通検討業務（Ｒ６）</t>
  </si>
  <si>
    <t>2024/06/26 09:41</t>
  </si>
  <si>
    <t>別所沼公園過酸化水素添加装置による水質改善対策検討業務</t>
  </si>
  <si>
    <t>2024/06/21 16:28</t>
  </si>
  <si>
    <t>下水道事業改築実施設計業務（南再－Ｒ６－５０２）</t>
  </si>
  <si>
    <t>2024/06/21 13:46</t>
  </si>
  <si>
    <t>下水道緊急実施設計業務（単契南管－Ｒ６－Ｓ１１１）</t>
  </si>
  <si>
    <t>下水道事業詳細設計業務（北建－Ｒ５－４１５）</t>
  </si>
  <si>
    <t>2024/06/21 13:37</t>
  </si>
  <si>
    <t>下水道事業実施設計業務（南建－Ｒ６－１５２）</t>
  </si>
  <si>
    <t>2024/06/21 13:31</t>
  </si>
  <si>
    <t>2024/06/20 11:05</t>
  </si>
  <si>
    <t>金重幹線１系ルート（北部工業団地記念公園工区）の実施設計及び老朽管布設替工事（その７－２）の実施設計</t>
  </si>
  <si>
    <t>2024/06/20 11:00</t>
  </si>
  <si>
    <t>令和6年度盛土規制法に基づく既存盛土等調査業務</t>
  </si>
  <si>
    <t>2024/06/20 09:21</t>
  </si>
  <si>
    <t>令和６年度東京都市圏物資流動調査業務</t>
  </si>
  <si>
    <t>2024/06/20 09:02</t>
  </si>
  <si>
    <t>下水道事業基本設計業務（北建-R5-211）</t>
  </si>
  <si>
    <t>2024/06/19 09:31</t>
  </si>
  <si>
    <t>武蔵浦和駅第７－１街区まちづくり支援業務（R６）</t>
  </si>
  <si>
    <t>2024/06/18 13:41</t>
  </si>
  <si>
    <t>東浦和第二土地区画整理事業 道路予備設計業務（R6）</t>
  </si>
  <si>
    <t>2024/06/18 13:31</t>
  </si>
  <si>
    <t>産業道路天沼２工区取付道路外詳細設計業務（Ｒ６）</t>
  </si>
  <si>
    <t>2024/06/14 14:45</t>
  </si>
  <si>
    <t>下水道緊急実施設計業務（単契北管－Ｒ６－Ｓ４１１）</t>
  </si>
  <si>
    <t>2024/06/14 14:40</t>
  </si>
  <si>
    <t>下水道事業詳細設計業務（南建－Ｒ６－８５２）</t>
  </si>
  <si>
    <t>2024/06/14 13:31</t>
  </si>
  <si>
    <t>次期社会資本総合整備計画等策定業務（令和7年度～令和11年度）</t>
  </si>
  <si>
    <t>2024/06/13 13:11</t>
  </si>
  <si>
    <t>ポンプ設備更新工事の実施設計</t>
  </si>
  <si>
    <t>2024/06/13 09:40</t>
  </si>
  <si>
    <t>電源制御設備更新工事の実施設計</t>
  </si>
  <si>
    <t>2024/06/13 09:36</t>
  </si>
  <si>
    <t>東部幹線２系ルート（見沼用水工区）の実施設計</t>
  </si>
  <si>
    <t>2024/06/13 09:30</t>
  </si>
  <si>
    <t>下水道事業耐震診断業務（北再-R6-655）</t>
  </si>
  <si>
    <t>2024/06/12 11:13</t>
  </si>
  <si>
    <t>下水道事業耐震診断業務（北再-R6-653）</t>
  </si>
  <si>
    <t>2024/06/12 11:07</t>
  </si>
  <si>
    <t>下水道事業耐震診断業務（北再-R6-652）</t>
  </si>
  <si>
    <t>2024/06/12 10:56</t>
  </si>
  <si>
    <t>下水道事業耐震診断業務（北再-R6-651）</t>
  </si>
  <si>
    <t>2024/06/12 10:52</t>
  </si>
  <si>
    <t>令和６年度 大宮駅周辺地区交通需要マネジメント等検討業務</t>
  </si>
  <si>
    <t>2024/06/12 09:41</t>
  </si>
  <si>
    <t>大宮岩槻線大和田工区電線共同溝予備設計業務（R6）</t>
  </si>
  <si>
    <t>2024/06/12 09:40</t>
  </si>
  <si>
    <t>治水橋耐震補強施工検討業務</t>
  </si>
  <si>
    <t>2024/06/12 09:34</t>
  </si>
  <si>
    <t>発注者支援業務（R6北建道安）</t>
  </si>
  <si>
    <t>2024/06/12 09:28</t>
  </si>
  <si>
    <t>下水道事業耐震診断業務（南再-R6-654）</t>
  </si>
  <si>
    <t>2024/06/11 14:17</t>
  </si>
  <si>
    <t>下水道事業耐震診断業務（南再-R6-653）</t>
  </si>
  <si>
    <t>2024/06/11 14:00</t>
  </si>
  <si>
    <t>下水道事業耐震診断業務（南再-R6-652）</t>
  </si>
  <si>
    <t>2024/06/11 13:45</t>
  </si>
  <si>
    <t>下水道事業耐震診断業務（南再-R6-651）</t>
  </si>
  <si>
    <t>2024/06/11 13:31</t>
  </si>
  <si>
    <t>道場三室線引継図書作成業務（R6）</t>
  </si>
  <si>
    <t>2024/06/11 10:48</t>
  </si>
  <si>
    <t>スマイルロード整備工事に伴う詳細設計業務（市道Ｊ－１７０号線）</t>
  </si>
  <si>
    <t>2024/06/07 14:36</t>
  </si>
  <si>
    <t>産業道路原山２工区雨水貯留施設詳細設計業務（Ｒ６）（２債）</t>
  </si>
  <si>
    <t>2024/06/07 14:33</t>
  </si>
  <si>
    <t>下水道ストックマネジメント中期経営計画策定業務（下計-R6-6）</t>
  </si>
  <si>
    <t>2024/06/07 10:16</t>
  </si>
  <si>
    <t>貯留施設監視システム構築業務（下計-R6-9）</t>
  </si>
  <si>
    <t>2024/06/07 10:10</t>
  </si>
  <si>
    <t>下水道事業実施設計業務（南建－Ｒ６－１５１）</t>
  </si>
  <si>
    <t>2024/06/06 16:20</t>
  </si>
  <si>
    <t>東徳力調節池詳細設計業務（北河Ｒ６）</t>
  </si>
  <si>
    <t>2024/06/06 16:16</t>
  </si>
  <si>
    <t>２０２７年国際園芸博覧会出展コンセプト等検討業務</t>
  </si>
  <si>
    <t>2024/06/06 13:42</t>
  </si>
  <si>
    <t>株式会社ライフ計画事務所 本店</t>
  </si>
  <si>
    <t>冠水センサ設置検討業務</t>
  </si>
  <si>
    <t>2024/06/06 11:30</t>
  </si>
  <si>
    <t>荒川左岸排水路河道構造検討業務（河R6）</t>
  </si>
  <si>
    <t>2024/06/06 10:55</t>
  </si>
  <si>
    <t>産業道路領家工区外8路線交通量推計業務（R6）</t>
  </si>
  <si>
    <t>2024/06/06 10:40</t>
  </si>
  <si>
    <t>元町三室線三室工区道路整備効果検討業務（R6）</t>
  </si>
  <si>
    <t>令和６年度橋梁定期点検業務（その３）</t>
  </si>
  <si>
    <t>2024/06/06 10:30</t>
  </si>
  <si>
    <t>令和６年度橋梁定期点検業務（その１）</t>
  </si>
  <si>
    <t>2024/06/06 10:26</t>
  </si>
  <si>
    <t>負担金工事 浦和東部第一（その１）の実施設計</t>
  </si>
  <si>
    <t>2024/06/06 10:00</t>
  </si>
  <si>
    <t>負担金工事（七里駅北側特定土地区画整理事業）の実施設計及び負担金工事（大和田特定土地区画整理事業）の実施設計</t>
  </si>
  <si>
    <t>2024/06/06 09:55</t>
  </si>
  <si>
    <t>負担金工事 南与野駅西口（その１）の実施設計及び負担金工事 与野駅西口（その１）の実施設計</t>
  </si>
  <si>
    <t>2024/06/06 09:50</t>
  </si>
  <si>
    <t>負担金工事（指扇土地区画整理事業）の実施設計</t>
  </si>
  <si>
    <t>2024/06/06 09:45</t>
  </si>
  <si>
    <t>2024/06/06 09:40</t>
  </si>
  <si>
    <t>相野原配水場取水井導水管整備工事の実施設計</t>
  </si>
  <si>
    <t>2024/06/06 09:36</t>
  </si>
  <si>
    <t>2024/06/06 09:31</t>
  </si>
  <si>
    <t>令和６年度駅前空間リ・デザインプロジェクト推進支援業務</t>
  </si>
  <si>
    <t>2024/06/05 09:34</t>
  </si>
  <si>
    <t>既存防火水槽撤去工事に伴う詳細設計業務（Ｒ６）</t>
  </si>
  <si>
    <t>2024/05/31 14:10</t>
  </si>
  <si>
    <t>公園施設改修実施設計業務（南Ｒ６－１）</t>
  </si>
  <si>
    <t>2024/05/31 14:05</t>
  </si>
  <si>
    <t>東宮歩道橋補修設計業務</t>
  </si>
  <si>
    <t>2024/05/31 14:00</t>
  </si>
  <si>
    <t>（予定事後）既存防火水槽長寿命化工事に伴う詳細設計業務（Ｒ６）</t>
  </si>
  <si>
    <t>2024/05/30 15:25</t>
  </si>
  <si>
    <t>高台堀排水路詳細設計業務（北河Ｒ６）</t>
  </si>
  <si>
    <t>2024/05/30 15:17</t>
  </si>
  <si>
    <t>（仮称）内谷五丁目公園基本計画策定業務</t>
  </si>
  <si>
    <t>2024/05/30 13:26</t>
  </si>
  <si>
    <t>令和６年度（仮称）大宮警察署跡地公園等基本計画・官民連携事業支援業務</t>
  </si>
  <si>
    <t>2024/05/30 13:15</t>
  </si>
  <si>
    <t>2024/05/30 09:40</t>
  </si>
  <si>
    <t>自動水質監視装置更新工事の実施設計</t>
  </si>
  <si>
    <t>2024/05/30 09:35</t>
  </si>
  <si>
    <t>南浦和浄水場解体工事の実施設計</t>
  </si>
  <si>
    <t>2024/05/30 09:30</t>
  </si>
  <si>
    <t>令和６年度さいたま市バリアフリー基本構想推進分析業務</t>
  </si>
  <si>
    <t>2024/05/30 09:04</t>
  </si>
  <si>
    <t>下水道事業施工監理業務（北再-R6-902）</t>
  </si>
  <si>
    <t>2024/05/29 10:26</t>
  </si>
  <si>
    <t>道路修繕工事施工監理業務（北部R6）</t>
  </si>
  <si>
    <t>2024/05/29 10:18</t>
  </si>
  <si>
    <t>大栄橋耐震補強検討業務</t>
  </si>
  <si>
    <t>2024/05/29 09:48</t>
  </si>
  <si>
    <t>令和６年度 美園地区まちなかウォーカブル推進業務</t>
  </si>
  <si>
    <t>2024/05/28 14:12</t>
  </si>
  <si>
    <t>与野本町通り街並みガイドライン策定等業務</t>
  </si>
  <si>
    <t>2024/05/28 13:51</t>
  </si>
  <si>
    <t>道路修繕工事施工監理業務（南部Ｒ６）</t>
  </si>
  <si>
    <t>2024/05/28 11:15</t>
  </si>
  <si>
    <t>本町通り線鈴谷2工区道路詳細修正設計業務（R6）</t>
  </si>
  <si>
    <t>2024/05/28 11:00</t>
  </si>
  <si>
    <t>一般国道４６３号越谷浦和バイパス鶴巻ランプ引継図書作成業務（R6）</t>
  </si>
  <si>
    <t>2024/05/28 10:45</t>
  </si>
  <si>
    <t>耐震性防火水槽設置工事に伴う詳細設計業務（Ｒ６）</t>
  </si>
  <si>
    <t>2024/05/24 15:15</t>
  </si>
  <si>
    <t>一般国道４６３号越谷浦和バイパス鶴巻ランプ道路修正設計業務（Ｒ６）</t>
  </si>
  <si>
    <t>2024/05/24 15:10</t>
  </si>
  <si>
    <t>秋葉の森総合公園南工区バーベキューエリア詳細設計業務（Ｒ６）</t>
  </si>
  <si>
    <t>2024/05/24 15:05</t>
  </si>
  <si>
    <t>岩槻自転車保管所解体工事設計業務（Ｒ６）</t>
  </si>
  <si>
    <t>2024/05/24 15:00</t>
  </si>
  <si>
    <t>大戸自転車保管所解体工事設計業務（Ｒ６）</t>
  </si>
  <si>
    <t>2024/05/24 14:55</t>
  </si>
  <si>
    <t>下水道マンホール蓋調査業務（下維-R6-S4003）</t>
  </si>
  <si>
    <t>2024/05/24 10:33</t>
  </si>
  <si>
    <t>下水道点検業務（下維-R6-S4002）</t>
  </si>
  <si>
    <t>2024/05/24 10:22</t>
  </si>
  <si>
    <t>下水道点検業務（下維-R6-S4001）</t>
  </si>
  <si>
    <t>2024/05/24 10:12</t>
  </si>
  <si>
    <t>土呂農住特定土地区画整理事業地内公園基本計画策定業務</t>
  </si>
  <si>
    <t>2024/05/23 13:43</t>
  </si>
  <si>
    <t>令和６年度 さいたま市緑の基本計画リーディングプロジェクト検討業務</t>
  </si>
  <si>
    <t>2024/05/23 13:12</t>
  </si>
  <si>
    <t>さいたま市水防計画書更新業務（河R6）</t>
  </si>
  <si>
    <t>2024/05/23 10:55</t>
  </si>
  <si>
    <t>道場三室線栄和工区交差点等検討業務（R6）</t>
  </si>
  <si>
    <t>2024/05/23 10:50</t>
  </si>
  <si>
    <t>社会資本総合整備計画事後評価業務（R6）</t>
  </si>
  <si>
    <t>2024/05/23 10:45</t>
  </si>
  <si>
    <t>第二産業道路東大宮工区道路予備設計業務（R6）</t>
  </si>
  <si>
    <t>2024/05/23 10:25</t>
  </si>
  <si>
    <t>令和６年度路面性状調査業務</t>
  </si>
  <si>
    <t>2024/05/23 10:20</t>
  </si>
  <si>
    <t>令和６年度生活道路整備設計マニュアル改定業務</t>
  </si>
  <si>
    <t>2024/05/23 10:15</t>
  </si>
  <si>
    <t>西部配水場２号配水池防水改修工事に伴う実施設計</t>
  </si>
  <si>
    <t>2024/05/23 09:53</t>
  </si>
  <si>
    <t>日進浄水場第３号取水井さく井工事の実施設計</t>
  </si>
  <si>
    <t>2024/05/23 09:48</t>
  </si>
  <si>
    <t>2024/05/23 09:42</t>
  </si>
  <si>
    <t>西部幹線３系ルート（加茂川団地西側工区）の実施設計</t>
  </si>
  <si>
    <t>2024/05/23 09:36</t>
  </si>
  <si>
    <t>令和6年度 駅前賑わい拠点まちづくり検討業務</t>
  </si>
  <si>
    <t>2024/05/22 09:33</t>
  </si>
  <si>
    <t>株式会社フレームワークス</t>
  </si>
  <si>
    <t>令和６年度公園施設改修実施設計業務（北Ｒ６－１）</t>
  </si>
  <si>
    <t>2024/05/16 15:05</t>
  </si>
  <si>
    <t>田島大牧線外道路詳細修正設計業務</t>
  </si>
  <si>
    <t>2024/05/16 15:00</t>
  </si>
  <si>
    <t>田島大牧線太田窪工区道路詳細設計業務（Ｒ６）</t>
  </si>
  <si>
    <t>2024/05/16 14:55</t>
  </si>
  <si>
    <t>配水ポンプ更新工事の実施設計（大宮配水場）</t>
  </si>
  <si>
    <t>2024/05/16 09:47</t>
  </si>
  <si>
    <t>相野原配水場第１～４号取水井さく井工事の実施設計（電気・機械）</t>
  </si>
  <si>
    <t>2024/05/16 09:41</t>
  </si>
  <si>
    <t>令和６年度さいたま市道路網計画推進業務</t>
  </si>
  <si>
    <t>2024/05/16 09:04</t>
  </si>
  <si>
    <t>令和6年度浦和駅周辺まちづくりビジョンアクションプラン検討・情報発信業務</t>
  </si>
  <si>
    <t>2024/05/15 09:30</t>
  </si>
  <si>
    <t>産業道路原山２工区外電線共同溝詳細設計業務（Ｒ６）（２債）</t>
  </si>
  <si>
    <t>2024/05/09 14:05</t>
  </si>
  <si>
    <t>大宮駅西口第五地区公園実施設計業務</t>
  </si>
  <si>
    <t>2024/05/09 14:00</t>
  </si>
  <si>
    <t>砂本郷跨線人道橋修繕検討業務</t>
  </si>
  <si>
    <t>産業道路原山工区外道路詳細設計業務（Ｒ６）（２債）</t>
  </si>
  <si>
    <t>2024/05/09 13:55</t>
  </si>
  <si>
    <t>令和６年度ＡＩデマンド交通実証実験事前事後評価検討業務</t>
  </si>
  <si>
    <t>2024/05/09 09:23</t>
  </si>
  <si>
    <t>令和６年度 さいたま市防災都市づくり計画推進業務</t>
  </si>
  <si>
    <t>2024/05/09 09:05</t>
  </si>
  <si>
    <t>下水道事業詳細設計業務（北建－Ｒ５－４１４）</t>
  </si>
  <si>
    <t>2024/05/08 13:31</t>
  </si>
  <si>
    <t>令和６年度氷川参道歩行者専用化調査検討業務</t>
  </si>
  <si>
    <t>2024/05/08 11:02</t>
  </si>
  <si>
    <t>大和田駅周辺整備に関する整備方針作成業務</t>
  </si>
  <si>
    <t>2024/05/07 14:07</t>
  </si>
  <si>
    <t>浦和東部第一特定土地区画整理事業 換地修正・画地確定測量外業務（R6単契）</t>
  </si>
  <si>
    <t>2024/05/07 13:52</t>
  </si>
  <si>
    <t>電線共同溝予備設計業務（市道20053号線）</t>
  </si>
  <si>
    <t>2024/05/02 10:30</t>
  </si>
  <si>
    <t>排水路等管内水理モデル作成業務（河R6）（ゼロ債）</t>
  </si>
  <si>
    <t>2024/05/02 10:25</t>
  </si>
  <si>
    <t>令和６年度路面下空洞調査業務</t>
  </si>
  <si>
    <t>2024/05/02 10:20</t>
  </si>
  <si>
    <t>令和６年度道路附属物点検業務（門型標識）</t>
  </si>
  <si>
    <t>2024/05/02 10:15</t>
  </si>
  <si>
    <t>令和６年度道路附属物点検業務（地下道）</t>
  </si>
  <si>
    <t>2024/05/02 10:10</t>
  </si>
  <si>
    <t>大宮駅西口ウォーカブル推進方策検討業務（Ｒ６）</t>
  </si>
  <si>
    <t>2024/05/01 10:11</t>
  </si>
  <si>
    <t>大宮駅西口第五地区下水道管路施設基本設計業務（Ｒ６）</t>
  </si>
  <si>
    <t>2024/05/01 10:04</t>
  </si>
  <si>
    <t>大宮駅西口第五地区都市計画道路予備設計業務（Ｒ６）</t>
  </si>
  <si>
    <t>2024/05/01 09:38</t>
  </si>
  <si>
    <t>南与野駅西口土地区画整理事業 換地設計修正業務</t>
  </si>
  <si>
    <t>2024/04/25 16:08</t>
  </si>
  <si>
    <t>下水道事業施工監理業務（南建-R6-901）</t>
  </si>
  <si>
    <t>2024/04/23 13:30</t>
  </si>
  <si>
    <t>さいたま市住生活基本計画等改定基礎調査業務</t>
  </si>
  <si>
    <t>2024/04/22 10:36</t>
  </si>
  <si>
    <t>さいたま市マンション実態調査支援業務</t>
  </si>
  <si>
    <t>2024/04/22 10:05</t>
  </si>
  <si>
    <t>貯留施設監視システム監視局設計業務（下計-R6-5）</t>
  </si>
  <si>
    <t>2024/04/19 10:23</t>
  </si>
  <si>
    <t>さいたま市雨水管理総合計画策定検討業務（下計-R6-4）</t>
  </si>
  <si>
    <t>2024/04/19 10:14</t>
  </si>
  <si>
    <t>雨水出水浸水想定区域図作成業務（下計-R6-2）</t>
  </si>
  <si>
    <t>2024/04/19 10:03</t>
  </si>
  <si>
    <t>春里特別緑地保全地区外２緑地現況調査業務</t>
  </si>
  <si>
    <t>2024/04/18 15:56</t>
  </si>
  <si>
    <t>大和田緑地公園特別緑地保全地区（南工区）現況調査業務</t>
  </si>
  <si>
    <t>2024/04/18 15:49</t>
  </si>
  <si>
    <t>大和田緑地公園特別緑地保全地区（北工区）現況調査業務</t>
  </si>
  <si>
    <t>2024/04/18 15:44</t>
  </si>
  <si>
    <t>指扇土地区画整理事業 道路基本設計修正業務（R6）</t>
  </si>
  <si>
    <t>2024/04/18 11:32</t>
  </si>
  <si>
    <t>令和６年度コミュニティバス等導入支援業務</t>
  </si>
  <si>
    <t>2024/04/18 10:22</t>
  </si>
  <si>
    <t>さいたま市短期舗装修繕計画策定業務（第二期）</t>
  </si>
  <si>
    <t>2024/04/18 10:15</t>
  </si>
  <si>
    <t>ストックマネジメント推進における下水道管路施設データベース更新業務（下維-R6-S101）</t>
  </si>
  <si>
    <t>2024/04/18 10:04</t>
  </si>
  <si>
    <t>第2次さいたま自転車まちづくりプラン策定支援業務（R6）</t>
  </si>
  <si>
    <t>2024/04/18 10:02</t>
  </si>
  <si>
    <t>令和6年度さいたま市都市計画区域マスタープラン改定関連業務</t>
  </si>
  <si>
    <t>2024/04/18 09:42</t>
  </si>
  <si>
    <t>令和６年度さいたま市立地適正化計画検討業務</t>
  </si>
  <si>
    <t>2024/04/18 09:23</t>
  </si>
  <si>
    <t>令和６年度さいたま市都市計画道路変更検討業務（大谷場高木線）</t>
  </si>
  <si>
    <t>2024/04/18 09:04</t>
  </si>
  <si>
    <t>指扇土地区画整理事業 換地修正・画地確定測量外業務（R6-1単契）</t>
  </si>
  <si>
    <t>2024/04/17 13:36</t>
  </si>
  <si>
    <t>一般国道122号蓮田岩槻バイパス工事監理支援業務（R6）</t>
  </si>
  <si>
    <t>2024/04/10 10:43</t>
  </si>
  <si>
    <t>発注者支援業務（Ｒ6北建道建）</t>
  </si>
  <si>
    <t>2024/04/10 10:28</t>
  </si>
  <si>
    <t>発注者支援業務（R6南建道建）</t>
  </si>
  <si>
    <t>2024/04/09 09:44</t>
  </si>
  <si>
    <t>川越市</t>
  </si>
  <si>
    <t>川越所沢線等整備事業に伴うまちづくり検討業務委託</t>
  </si>
  <si>
    <t>2026/05/15 10:03</t>
  </si>
  <si>
    <t>川越市 総務部 契約課</t>
  </si>
  <si>
    <t>路面下空洞調査業務委託</t>
  </si>
  <si>
    <t>2026/05/15 10:01</t>
  </si>
  <si>
    <t>川越市 上下水道局 財務課</t>
  </si>
  <si>
    <t>ＮＴＴインフラネット株式会社 埼玉支店</t>
  </si>
  <si>
    <t>舗装たわみ量（FWD）調査業務委託</t>
  </si>
  <si>
    <t>2025/11/28 09:23</t>
  </si>
  <si>
    <t>配水管改良工事（大字谷中ほか）に伴う設計業務委託</t>
  </si>
  <si>
    <t>2025/10/17 13:45</t>
  </si>
  <si>
    <t>株式会社ワールドリサーチ 本店</t>
  </si>
  <si>
    <t>配水補助管改良工事（仙波町４丁目ほか）に伴う設計業務委託</t>
  </si>
  <si>
    <t>2025/10/17 13:30</t>
  </si>
  <si>
    <t>配水管改良工事（大字古谷上）に伴う設計業務委託</t>
  </si>
  <si>
    <t>2025/10/17 13:15</t>
  </si>
  <si>
    <t>コスモ測量設計株式会社 本店</t>
  </si>
  <si>
    <t>配水管改良工事（大字山田ほか）に伴う設計業務委託</t>
  </si>
  <si>
    <t>2025/10/17 11:15</t>
  </si>
  <si>
    <t>ホープ測量設計株式会社 本店</t>
  </si>
  <si>
    <t>配水管改良工事（豊田町１丁目ほか）に伴う設計業務委託</t>
  </si>
  <si>
    <t>2025/10/17 11:00</t>
  </si>
  <si>
    <t>株式会社地研コンサルタンツ 本店</t>
  </si>
  <si>
    <t>配水補助管改良工事（大字寺尾）に伴う設計業務委託</t>
  </si>
  <si>
    <t>2025/10/17 10:45</t>
  </si>
  <si>
    <t>配水管改良その他工事（大字的場）に伴う設計業務委託</t>
  </si>
  <si>
    <t>2025/10/17 10:15</t>
  </si>
  <si>
    <t>重要施設配水管耐震化その他工事（大字古市場）に伴う設計業務委託</t>
  </si>
  <si>
    <t>2025/10/10 11:30</t>
  </si>
  <si>
    <t>重要施設配水管耐震化工事（大字松郷）に伴う設計業務委託</t>
  </si>
  <si>
    <t>2025/10/10 11:15</t>
  </si>
  <si>
    <t>重要施設配水管耐震化その他工事（氷川町）に伴う設計業務委託</t>
  </si>
  <si>
    <t>2025/10/10 11:00</t>
  </si>
  <si>
    <t>重要施設配水管耐震化その他工事（大字小室）に伴う設計業務委託</t>
  </si>
  <si>
    <t>2025/10/10 10:45</t>
  </si>
  <si>
    <t>重要施設配水管耐震化その他工事（大字山田）に伴う設計業務委託</t>
  </si>
  <si>
    <t>2025/10/10 10:15</t>
  </si>
  <si>
    <t>株式会社ビッソ測量設計 本店</t>
  </si>
  <si>
    <t>重要施設配水管耐震化その他工事（三光町ほか）に伴う設計業務委託</t>
  </si>
  <si>
    <t>2025/10/10 10:00</t>
  </si>
  <si>
    <t>重要施設配水管耐震化その他工事（大字小仙波）に伴う設計業務委託</t>
  </si>
  <si>
    <t>2025/10/10 09:30</t>
  </si>
  <si>
    <t>川越市オーバーツーリズム対策事業に伴う無電柱化等推進事業調査設計業務委託</t>
  </si>
  <si>
    <t>2025/09/26 09:13</t>
  </si>
  <si>
    <t>昭和株式会社 川越営業所</t>
  </si>
  <si>
    <t>2025/09/19 12:02</t>
  </si>
  <si>
    <t>不老川第８処理分区下水道管路施設更生実施設計業務委託</t>
  </si>
  <si>
    <t>2025/09/19 10:00</t>
  </si>
  <si>
    <t>株式会社ジェーエステック 川越営業所</t>
  </si>
  <si>
    <t>川越市個別施設計画（橋りょう編）更新業務委託</t>
  </si>
  <si>
    <t>2025/09/05 12:32</t>
  </si>
  <si>
    <t>川越所沢線等整備に係る換地設計等業務委託</t>
  </si>
  <si>
    <t>2025/09/05 12:21</t>
  </si>
  <si>
    <t>重要施設配水管耐震化工事（旭町１丁目ほか）に伴う設計業務委託</t>
  </si>
  <si>
    <t>2025/09/05 11:15</t>
  </si>
  <si>
    <t>重要施設配水管耐震化その他工事（大字吉田）に伴う設計業務委託</t>
  </si>
  <si>
    <t>2025/09/05 11:00</t>
  </si>
  <si>
    <t>株式会社エイトプランニング 本店</t>
  </si>
  <si>
    <t>重要施設配水管耐震化その他工事（大字笠幡）に伴う設計業務委託</t>
  </si>
  <si>
    <t>2025/09/05 10:45</t>
  </si>
  <si>
    <t>下水道ストックマネジメント計画に伴う下水道管路施設更生実施設計業務委託</t>
  </si>
  <si>
    <t>2025/08/29 10:15</t>
  </si>
  <si>
    <t>株式会社水工技建コンサルタント 川越営業所</t>
  </si>
  <si>
    <t>南古谷伊佐沼線工法検討業務委託</t>
  </si>
  <si>
    <t>2025/08/08 10:51</t>
  </si>
  <si>
    <t>三協測量設計株式会社 川越支店</t>
  </si>
  <si>
    <t>（都）中央通り線道路予備設計業務委託</t>
  </si>
  <si>
    <t>2025/08/08 10:42</t>
  </si>
  <si>
    <t>川越市広域幹線道路網構想検討業務委託</t>
  </si>
  <si>
    <t>2025/08/08 10:33</t>
  </si>
  <si>
    <t>川越市駅周辺まちづくりビジョン策定業務委託</t>
  </si>
  <si>
    <t>2025/08/08 10:24</t>
  </si>
  <si>
    <t>川越市駅周辺都市基盤検討業務委託</t>
  </si>
  <si>
    <t>2025/08/08 10:15</t>
  </si>
  <si>
    <t>橋りょう定期点検業務委託</t>
  </si>
  <si>
    <t>2025/08/08 09:25</t>
  </si>
  <si>
    <t>京葉シビルエンジニアリング株式会社 埼玉営業所</t>
  </si>
  <si>
    <t>JR川越線周辺市道予備設計業務委託</t>
  </si>
  <si>
    <t>2025/08/01 11:40</t>
  </si>
  <si>
    <t>芳野市民センター整備に係る設計調査業務委託</t>
  </si>
  <si>
    <t>2025/07/18 09:44</t>
  </si>
  <si>
    <t>南古谷駅周辺まちづくり促進業務委託</t>
  </si>
  <si>
    <t>2025/06/20 10:41</t>
  </si>
  <si>
    <t>株式会社パスコ 川越営業所</t>
  </si>
  <si>
    <t>霞ケ関第二浄水場電気設備更新工事実施設計業務委託</t>
  </si>
  <si>
    <t>2025/06/13 09:45</t>
  </si>
  <si>
    <t>補助幹線道路整備に係る道路詳細設計業務委託</t>
  </si>
  <si>
    <t>2025/06/13 09:33</t>
  </si>
  <si>
    <t>トーカイテック株式会社 川越営業所</t>
  </si>
  <si>
    <t>南古谷駅北口駅前広場道路詳細設計業務委託</t>
  </si>
  <si>
    <t>2025/06/13 09:21</t>
  </si>
  <si>
    <t>共和コンサルタント株式会社 川越営業所</t>
  </si>
  <si>
    <t>新宿ゲート撤去工事設計業務委託</t>
  </si>
  <si>
    <t>2025/05/30 10:01</t>
  </si>
  <si>
    <t>川越市公共下水道事業ウォーターPPP導入可能性調査検討業務委託</t>
  </si>
  <si>
    <t>2025/05/30 09:46</t>
  </si>
  <si>
    <t>橋梁添架管撤去その他工事（平塚橋）に伴う設計業務委託</t>
  </si>
  <si>
    <t>2025/05/23 11:16</t>
  </si>
  <si>
    <t>株式会社コーセツコンサルタント 川越事務所</t>
  </si>
  <si>
    <t>伊佐沼浄水場場内管路耐震化及び着水井・ポンプ井・混和池修繕工事に伴う実施設計業務委託</t>
  </si>
  <si>
    <t>2025/05/23 11:01</t>
  </si>
  <si>
    <t>配水管改良工事（大字藤間ほか）に伴う設計業務委託</t>
  </si>
  <si>
    <t>2024/11/15 10:00</t>
  </si>
  <si>
    <t>2024/11/08 11:10</t>
  </si>
  <si>
    <t>配水補助管改良工事（大字山田ほか）に伴う設計業務委託</t>
  </si>
  <si>
    <t>2024/11/08 11:00</t>
  </si>
  <si>
    <t>配水管改良工事（大字福田）に伴う設計業務委託</t>
  </si>
  <si>
    <t>2024/11/08 10:51</t>
  </si>
  <si>
    <t>配水管改良工事（宮元町）に伴う設計業務委託</t>
  </si>
  <si>
    <t>2024/11/08 10:41</t>
  </si>
  <si>
    <t>配水補助管改良その他工事（大字久下戸）に伴う設計業務委託</t>
  </si>
  <si>
    <t>2024/11/08 10:31</t>
  </si>
  <si>
    <t>芳野台汚水中継ポンプ場耐水化工事実施設計業務委託</t>
  </si>
  <si>
    <t>2024/11/08 10:05</t>
  </si>
  <si>
    <t>重要施設配水管耐震化工事（吉田新町２丁目ほか）に伴う設計業務委託</t>
  </si>
  <si>
    <t>2024/11/01 11:30</t>
  </si>
  <si>
    <t>配水管改良工事（南大塚５丁目ほか）に伴う設計業務委託</t>
  </si>
  <si>
    <t>2024/11/01 11:20</t>
  </si>
  <si>
    <t>重要施設配水管耐震化その他工事（大字寺尾）に伴う設計業務委託</t>
  </si>
  <si>
    <t>2024/11/01 11:10</t>
  </si>
  <si>
    <t>配水補助管改良工事（大字下広谷）に伴う設計業務委託</t>
  </si>
  <si>
    <t>2024/11/01 11:00</t>
  </si>
  <si>
    <t>配水補助管改良工事（大字下新河岸）に伴う設計業務委託</t>
  </si>
  <si>
    <t>2024/11/01 10:40</t>
  </si>
  <si>
    <t>重要施設配水管耐震化その他工事（大字福田ほか）に伴う設計業務委託</t>
  </si>
  <si>
    <t>2024/11/01 10:31</t>
  </si>
  <si>
    <t>重要施設配水管耐震化その他工事（大字下赤坂）に伴う設計業務委託</t>
  </si>
  <si>
    <t>2024/11/01 10:23</t>
  </si>
  <si>
    <t>配水補助管改良工事（かし野台１丁目ほか）に伴う設計業務委託</t>
  </si>
  <si>
    <t>2024/11/01 10:11</t>
  </si>
  <si>
    <t>配水補助管改良工事（大塚２丁目ほか）に伴う設計業務委託</t>
  </si>
  <si>
    <t>2024/11/01 10:00</t>
  </si>
  <si>
    <t>2024/09/27 10:31</t>
  </si>
  <si>
    <t>岸町下雨水排水ポンプ場非常用発電機設置工事実施設計業務委託</t>
  </si>
  <si>
    <t>2024/09/20 11:03</t>
  </si>
  <si>
    <t>株式会社エヌ・エス・シー・エンジニアリング 川越支店</t>
  </si>
  <si>
    <t>中福受水場電気設備更新工事実施設計業務委託</t>
  </si>
  <si>
    <t>2024/09/20 10:45</t>
  </si>
  <si>
    <t>南古谷駅周辺まちづくり支援業務委託</t>
  </si>
  <si>
    <t>2024/09/20 09:29</t>
  </si>
  <si>
    <t>重要施設配水管耐震化工事（高沢橋）に伴う設計業務委託</t>
  </si>
  <si>
    <t>2024/08/30 10:16</t>
  </si>
  <si>
    <t>2024/08/16 10:31</t>
  </si>
  <si>
    <t>荒川廃川敷環境整備に係る設計等業務委託</t>
  </si>
  <si>
    <t>2024/08/16 10:20</t>
  </si>
  <si>
    <t>2024/08/09 10:00</t>
  </si>
  <si>
    <t>2024/08/09 09:20</t>
  </si>
  <si>
    <t>川越市駅周辺まちづくりビジョン検討業務委託</t>
  </si>
  <si>
    <t>2024/08/09 09:06</t>
  </si>
  <si>
    <t>川越市オーバーツーリズム対策事業に伴う無電柱化等調査業務委託</t>
  </si>
  <si>
    <t>2024/08/09 08:56</t>
  </si>
  <si>
    <t>（都）中央通り線無電柱化検討業務委託</t>
  </si>
  <si>
    <t>2024/08/02 09:55</t>
  </si>
  <si>
    <t>横断歩道橋ほか定期点検業務委託</t>
  </si>
  <si>
    <t>2024/07/26 10:34</t>
  </si>
  <si>
    <t>2024/07/26 10:15</t>
  </si>
  <si>
    <t>市内循環線交差点予備修正設計業務委託</t>
  </si>
  <si>
    <t>2024/07/19 09:42</t>
  </si>
  <si>
    <t>市道３５７１号線ほか１路線道路詳細設計業務委託</t>
  </si>
  <si>
    <t>2024/07/05 10:01</t>
  </si>
  <si>
    <t>市道００３３号線予備設計業務委託</t>
  </si>
  <si>
    <t>2024/06/28 10:03</t>
  </si>
  <si>
    <t>芳野・古谷地区公立保育所駐車場整備に伴う道路詳細設計業務委託</t>
  </si>
  <si>
    <t>2024/06/28 09:55</t>
  </si>
  <si>
    <t>雨水対策施設検討業務委託</t>
  </si>
  <si>
    <t>2024/06/14 10:46</t>
  </si>
  <si>
    <t>株式会社オリンピアコンサルタント 所沢営業所</t>
  </si>
  <si>
    <t>新河岸第８－２処理分区雨水対策施設築造実施設計業務委託</t>
  </si>
  <si>
    <t>2024/06/14 10:16</t>
  </si>
  <si>
    <t>新都市設計株式会社 川越営業所</t>
  </si>
  <si>
    <t>霞ケ関第一雨水ポンプ場耐震診断調査業務委託</t>
  </si>
  <si>
    <t>2024/06/14 10:01</t>
  </si>
  <si>
    <t>シーエスコンサルタント株式会社 川越営業所</t>
  </si>
  <si>
    <t>宮元町多目的グラウンド設計業務委託</t>
  </si>
  <si>
    <t>南古谷駅南口駅前広場道路詳細設計業務委託</t>
  </si>
  <si>
    <t>2024/06/14 09:51</t>
  </si>
  <si>
    <t>株式会社日本設計コンサルタント 川越営業所</t>
  </si>
  <si>
    <t>川越市下水道ストックマネジメント計画（第二期）策定業務委託</t>
  </si>
  <si>
    <t>2024/05/31 10:16</t>
  </si>
  <si>
    <t>高橋耐震補強及び補修詳細設計業務委託</t>
  </si>
  <si>
    <t>2024/05/31 09:31</t>
  </si>
  <si>
    <t>新河岸第８－２処理分区下水道管路施設更生実施設計業務委託</t>
  </si>
  <si>
    <t>2024/05/24 12:03</t>
  </si>
  <si>
    <t>新河岸北第６処理分区汚水枝線実施設計業務委託</t>
  </si>
  <si>
    <t>的場歩道橋耐震補強及び補修修正設計業務委託</t>
  </si>
  <si>
    <t>2024/05/17 09:57</t>
  </si>
  <si>
    <t>新河岸第８－１処理分区汚水枝線実施設計業務委託</t>
  </si>
  <si>
    <t>2024/05/10 10:21</t>
  </si>
  <si>
    <t>管路施設整備計画策定業務委託</t>
  </si>
  <si>
    <t>熊谷市</t>
  </si>
  <si>
    <t>熊谷市荒川かわまちづくりに伴う詳細設計業務委託</t>
  </si>
  <si>
    <t>2026/05/19 09:05</t>
  </si>
  <si>
    <t>熊谷市 総務部 契約課</t>
  </si>
  <si>
    <t>配水管移設工事実施設計業務委託</t>
  </si>
  <si>
    <t>2026/05/07 09:27</t>
  </si>
  <si>
    <t>熊谷市 上下水道部 経営課（水道）</t>
  </si>
  <si>
    <t>2026/01/15 09:07</t>
  </si>
  <si>
    <t>土地の履歴調査及び土壌概況調査計画作成業務委託</t>
  </si>
  <si>
    <t>2025/12/22 10:04</t>
  </si>
  <si>
    <t>配水管改良工事実施設計業務委託（その３）</t>
  </si>
  <si>
    <t>2025/12/11 09:09</t>
  </si>
  <si>
    <t>株式会社関東工社 熊谷出張所</t>
  </si>
  <si>
    <t>配水管改良工事実施設計業務委託（その４）</t>
  </si>
  <si>
    <t>2025/11/28 11:10</t>
  </si>
  <si>
    <t>東洋測地調査株式会社 熊谷営業所</t>
  </si>
  <si>
    <t>路面性状調査業務委託</t>
  </si>
  <si>
    <t>2025/11/06 09:26</t>
  </si>
  <si>
    <t>共和コンサルタント株式会社 熊谷営業所</t>
  </si>
  <si>
    <t>市道121号線道路改良事業測量設計業務委託</t>
  </si>
  <si>
    <t>2025/10/22 09:04</t>
  </si>
  <si>
    <t>配水管改良・布設工事実施設計業務委託</t>
  </si>
  <si>
    <t>2025/10/01 10:07</t>
  </si>
  <si>
    <t>熊谷市橋梁長寿命化修繕計画更新業務委託</t>
  </si>
  <si>
    <t>2025/09/26 10:05</t>
  </si>
  <si>
    <t>木製小橋設計業務委託</t>
  </si>
  <si>
    <t>2025/09/19 09:06</t>
  </si>
  <si>
    <t>送水管布設工事実施設計業務委託（その１）</t>
  </si>
  <si>
    <t>2025/09/05 09:04</t>
  </si>
  <si>
    <t>橋梁点検業務委託（Ｒ７）</t>
  </si>
  <si>
    <t>2025/08/27 09:08</t>
  </si>
  <si>
    <t>（仮称）万吉村岡線道路改良事業測量設計業務委託</t>
  </si>
  <si>
    <t>2025/08/08 09:05</t>
  </si>
  <si>
    <t>大雄技術株式会社 本店</t>
  </si>
  <si>
    <t>熊谷市水道施設テレメーター設備改良等工事基本設計業務委託</t>
  </si>
  <si>
    <t>2025/07/22 09:07</t>
  </si>
  <si>
    <t>R7下水道管渠更生工事実施設計業務委託</t>
  </si>
  <si>
    <t>2025/07/16 11:27</t>
  </si>
  <si>
    <t>熊谷市 上下水道部 経営課（下水道）</t>
  </si>
  <si>
    <t>荒川通線改修設計業務委託</t>
  </si>
  <si>
    <t>2025/07/02 13:08</t>
  </si>
  <si>
    <t>横断歩道橋長寿命化修繕設計業務委託</t>
  </si>
  <si>
    <t>2025/06/30 09:05</t>
  </si>
  <si>
    <t>株式会社日本設計コンサルタント 熊谷営業所</t>
  </si>
  <si>
    <t>橋梁長寿命化修繕設計業務委託</t>
  </si>
  <si>
    <t>2025/06/17 13:04</t>
  </si>
  <si>
    <t>株式会社高島テクノロジーセンター 熊谷営業所</t>
  </si>
  <si>
    <t>上之街路水路汚水実施設計業務委託</t>
  </si>
  <si>
    <t>2025/06/13 10:56</t>
  </si>
  <si>
    <t>妻沼水質管理センター沈砂池除塵機増設実施設計業務委託</t>
  </si>
  <si>
    <t>2025/06/13 10:16</t>
  </si>
  <si>
    <t>株式会社日本水工コンサルタント 熊谷営業所</t>
  </si>
  <si>
    <t>配水管改良工事実施設計業務委託（その２）</t>
  </si>
  <si>
    <t>2025/06/11 10:08</t>
  </si>
  <si>
    <t>上石第一街路実施設計業務委託</t>
  </si>
  <si>
    <t>2025/06/11 09:07</t>
  </si>
  <si>
    <t>配水管改良工事実施設計業務委託（その１）</t>
  </si>
  <si>
    <t>2025/06/03 10:09</t>
  </si>
  <si>
    <t>熊谷市県水受水テレメーター設備改良工事実施設計業務委託</t>
  </si>
  <si>
    <t>2025/06/03 09:06</t>
  </si>
  <si>
    <t>妻沼第2浄水場浸水対策実施設計業務委託</t>
  </si>
  <si>
    <t>2025/05/09 09:15</t>
  </si>
  <si>
    <t>妻沼新第2浄水場新管理棟建築工事施工監理業務委託</t>
  </si>
  <si>
    <t>2025/04/15 09:10</t>
  </si>
  <si>
    <t>2025/02/05 10:05</t>
  </si>
  <si>
    <t>配水管改良工事実施設計業務委託（その５）</t>
  </si>
  <si>
    <t>2025/02/05 09:04</t>
  </si>
  <si>
    <t>2025/01/15 10:01</t>
  </si>
  <si>
    <t>2024/12/16 10:07</t>
  </si>
  <si>
    <t>清水尻橋耐震診断業務委託</t>
  </si>
  <si>
    <t>2024/12/05 13:03</t>
  </si>
  <si>
    <t>2024/12/05 10:06</t>
  </si>
  <si>
    <t>2024/11/25 13:09</t>
  </si>
  <si>
    <t>配水管改良工事実施設計業務委託</t>
  </si>
  <si>
    <t>2024/10/02 09:08</t>
  </si>
  <si>
    <t>橋梁点検業務委託（Ｒ６）</t>
  </si>
  <si>
    <t>2024/09/25 09:21</t>
  </si>
  <si>
    <t>準用河川新星川詳細設計業務委託</t>
  </si>
  <si>
    <t>2024/09/11 13:01</t>
  </si>
  <si>
    <t>配水管布設工事実施設計業務委託（その２）</t>
  </si>
  <si>
    <t>2024/09/10 10:06</t>
  </si>
  <si>
    <t>東部浄水場脱炭酸槽棟改修工事実施設計等業務委託</t>
  </si>
  <si>
    <t>2024/09/03 09:06</t>
  </si>
  <si>
    <t>冑山配水場配水池改修工事等実施設計業務委託</t>
  </si>
  <si>
    <t>2024/08/30 09:07</t>
  </si>
  <si>
    <t>上石第一街路水路実施設計業務委託</t>
  </si>
  <si>
    <t>2024/08/09 13:02</t>
  </si>
  <si>
    <t>2024/08/01 13:01</t>
  </si>
  <si>
    <t>（仮称）道の駅「くまがや」道路修正設計業務委託</t>
  </si>
  <si>
    <t>2024/07/22 13:02</t>
  </si>
  <si>
    <t>下水道管渠更生工事実施設計業務委託</t>
  </si>
  <si>
    <t>2024/07/17 10:11</t>
  </si>
  <si>
    <t>株式会社ジェーエステック 熊谷営業所</t>
  </si>
  <si>
    <t>北部浄水場施設耐震診断業務委託</t>
  </si>
  <si>
    <t>2024/07/17 09:06</t>
  </si>
  <si>
    <t>旧妻沼清掃センター解体工事施工監理業務委託</t>
  </si>
  <si>
    <t>2024/07/10 09:12</t>
  </si>
  <si>
    <t>2024/06/25 13:03</t>
  </si>
  <si>
    <t>上之２号調整池基本設計業務委託</t>
  </si>
  <si>
    <t>2024/06/21 13:04</t>
  </si>
  <si>
    <t>昭和株式会社 北関東支店</t>
  </si>
  <si>
    <t>ストックヤード整備工事実施設計等業務委託</t>
  </si>
  <si>
    <t>2024/06/18 13:02</t>
  </si>
  <si>
    <t>配水管布設工事実施設計業務委託（その１）</t>
  </si>
  <si>
    <t>2024/05/21 10:04</t>
  </si>
  <si>
    <t>雨水詳細設計業務委託</t>
  </si>
  <si>
    <t>2024/04/26 09:27</t>
  </si>
  <si>
    <t>川口市</t>
  </si>
  <si>
    <t>川口市めぐりの森地盤沈下改修工事実施設計委託</t>
  </si>
  <si>
    <t>2026/05/20 09:45</t>
  </si>
  <si>
    <t>川口市 理財部 契約課</t>
  </si>
  <si>
    <t>中川処理区（築造）実施設計委託</t>
  </si>
  <si>
    <t>2026/05/20 09:40</t>
  </si>
  <si>
    <t>川口市 上下水道局 財務課</t>
  </si>
  <si>
    <t>岸川中学校グラウンド整備工事に伴う実施設計委託</t>
  </si>
  <si>
    <t>2026/05/20 09:38</t>
  </si>
  <si>
    <t>太平洋航業株式会社 本店</t>
  </si>
  <si>
    <t>芝中学校防球ネット設置工事に伴う実施設計委託</t>
  </si>
  <si>
    <t>2026/05/14 09:45</t>
  </si>
  <si>
    <t>芝測量建築設計株式会社 本店</t>
  </si>
  <si>
    <t>安行藤八特定土地区画整理事業 道路実施設計委託</t>
  </si>
  <si>
    <t>2026/05/14 09:36</t>
  </si>
  <si>
    <t>石神西立野特定土地区画整理事業 道路実施設計委託</t>
  </si>
  <si>
    <t>2026/05/14 09:32</t>
  </si>
  <si>
    <t>新郷南小学校フェンス及び防球ネット改修工事に伴う実施設計委託</t>
  </si>
  <si>
    <t>2026/05/13 10:20</t>
  </si>
  <si>
    <t>里土地区画整理事業 ２号調整池詳細設計委託</t>
  </si>
  <si>
    <t>2026/05/13 09:43</t>
  </si>
  <si>
    <t>配水ブロック化事業設計業務委託</t>
  </si>
  <si>
    <t>2026/05/12 09:58</t>
  </si>
  <si>
    <t>里土地区画整理事業 道路実施設計委託（その２）</t>
  </si>
  <si>
    <t>2026/05/08 09:35</t>
  </si>
  <si>
    <t>芝東第４土地区画整理事業 擁壁実施設計委託</t>
  </si>
  <si>
    <t>2026/05/08 09:32</t>
  </si>
  <si>
    <t>第１０号改良配水管布設設計業務委託</t>
  </si>
  <si>
    <t>2026/05/01 11:10</t>
  </si>
  <si>
    <t>富士測地株式会社 本店</t>
  </si>
  <si>
    <t>第９号改良配水管布設設計業務委託</t>
  </si>
  <si>
    <t>2026/05/01 11:01</t>
  </si>
  <si>
    <t>株式会社本州 本店</t>
  </si>
  <si>
    <t>第１１号改良配水管布設設計業務委託</t>
  </si>
  <si>
    <t>2026/05/01 10:51</t>
  </si>
  <si>
    <t>昭栄測量株式会社 本店</t>
  </si>
  <si>
    <t>第８号改良配水管布設設計業務委託</t>
  </si>
  <si>
    <t>2026/05/01 10:40</t>
  </si>
  <si>
    <t>第６号改良配水管布設設計業務委託</t>
  </si>
  <si>
    <t>2026/05/01 10:30</t>
  </si>
  <si>
    <t>都亜測量設計株式会社 本店</t>
  </si>
  <si>
    <t>第７号改良配水管布設設計業務委託</t>
  </si>
  <si>
    <t>2026/05/01 10:21</t>
  </si>
  <si>
    <t>第５号改良配水管布設設計業務委託</t>
  </si>
  <si>
    <t>2026/05/01 10:11</t>
  </si>
  <si>
    <t>第一測量コンサル株式会社 本店</t>
  </si>
  <si>
    <t>第１号改良配水管布設設計業務委託</t>
  </si>
  <si>
    <t>2026/05/01 10:01</t>
  </si>
  <si>
    <t>株式会社旭測量設計 本店</t>
  </si>
  <si>
    <t>第４号改良配水管布設設計業務委託</t>
  </si>
  <si>
    <t>2026/05/01 09:50</t>
  </si>
  <si>
    <t>第３号改良配水管布設設計業務委託</t>
  </si>
  <si>
    <t>2026/05/01 09:41</t>
  </si>
  <si>
    <t>株式会社東信設計コンサルタント 本店</t>
  </si>
  <si>
    <t>第２号改良配水管布設設計業務委託</t>
  </si>
  <si>
    <t>2026/05/01 09:31</t>
  </si>
  <si>
    <t>（仮称）プラスチック資源化施設建築設計等業務委託</t>
  </si>
  <si>
    <t>2026/04/24 09:52</t>
  </si>
  <si>
    <t>株式会社江総合計画事務所 本店</t>
  </si>
  <si>
    <t>芝東第３土地区画整理事業 雨水函渠実施設計委託</t>
  </si>
  <si>
    <t>2026/04/24 09:38</t>
  </si>
  <si>
    <t>里土地区画整理事業 道路実施設計委託</t>
  </si>
  <si>
    <t>2026/04/23 10:15</t>
  </si>
  <si>
    <t>石神西立野特定土地区画整理事業 ５号水路分水路実施設計委託</t>
  </si>
  <si>
    <t>2026/04/22 10:19</t>
  </si>
  <si>
    <t>芝東第３土地区画整理事業 道路実施設計委託</t>
  </si>
  <si>
    <t>2026/04/22 10:10</t>
  </si>
  <si>
    <t>芝東第４土地区画整理事業 道路実施設計委託</t>
  </si>
  <si>
    <t>2026/04/22 10:07</t>
  </si>
  <si>
    <t>谷中落し実施設計委託</t>
  </si>
  <si>
    <t>2026/04/22 09:31</t>
  </si>
  <si>
    <t>芝－２１－２号水路実施設計委託</t>
  </si>
  <si>
    <t>2026/04/21 11:01</t>
  </si>
  <si>
    <t>赤堀－１４号水路実施設計委託</t>
  </si>
  <si>
    <t>2026/04/21 09:45</t>
  </si>
  <si>
    <t>幹線第４０号線道路改良事業に伴う実施設計委託</t>
  </si>
  <si>
    <t>2026/04/21 09:40</t>
  </si>
  <si>
    <t>神根第５２４号線道路改良事業に伴う実施設計委託</t>
  </si>
  <si>
    <t>2026/04/21 09:35</t>
  </si>
  <si>
    <t>幹線第３７号線道路改良事業に伴う実施設計委託</t>
  </si>
  <si>
    <t>2026/04/15 09:40</t>
  </si>
  <si>
    <t>戸塚第７３８号線ほか１路線道路改良事業に伴う実施設計委託</t>
  </si>
  <si>
    <t>2026/04/15 09:37</t>
  </si>
  <si>
    <t>神根浄水場混流池ほか耐震補強工事施工監理業務委託</t>
  </si>
  <si>
    <t>2026/03/24 10:24</t>
  </si>
  <si>
    <t>芝東第３土地区画整理事業 擁壁実施設計委託</t>
  </si>
  <si>
    <t>2026/01/09 09:35</t>
  </si>
  <si>
    <t>ピーシー技研株式会社 川口営業所</t>
  </si>
  <si>
    <t>芝中央沿道第１土地区画整理事業道路実施設計委託（その２）</t>
  </si>
  <si>
    <t>2025/12/16 09:31</t>
  </si>
  <si>
    <t>新郷東部第２土地区画整理事業 道路実施設計委託（その２）</t>
  </si>
  <si>
    <t>2025/12/03 09:30</t>
  </si>
  <si>
    <t>第１２号改良配水管布設設計業務委託</t>
  </si>
  <si>
    <t>2025/11/20 09:30</t>
  </si>
  <si>
    <t>横曽根浄水場配管補修工事実施設計業務委託</t>
  </si>
  <si>
    <t>2025/11/13 09:30</t>
  </si>
  <si>
    <t>荒川左岸南部処理区実施設計委託その４</t>
  </si>
  <si>
    <t>2025/10/31 10:50</t>
  </si>
  <si>
    <t>下水道管更生（耐震化）実施設計委託</t>
  </si>
  <si>
    <t>2025/10/31 10:40</t>
  </si>
  <si>
    <t>2025/10/31 10:20</t>
  </si>
  <si>
    <t>2025/10/31 10:12</t>
  </si>
  <si>
    <t>第５号拡張配水管布設設計業務委託</t>
  </si>
  <si>
    <t>2025/10/24 09:50</t>
  </si>
  <si>
    <t>第７号拡張配水管布設設計業務委託</t>
  </si>
  <si>
    <t>2025/10/24 09:40</t>
  </si>
  <si>
    <t>第６号拡張配水管布設設計業務委託</t>
  </si>
  <si>
    <t>2025/10/24 09:30</t>
  </si>
  <si>
    <t>丁張橋中継ポンプ場除塵機更新工事監理業務委託</t>
  </si>
  <si>
    <t>2025/10/07 11:20</t>
  </si>
  <si>
    <t>株式会社日本水工コンサルタント 川口営業所</t>
  </si>
  <si>
    <t>第３号拡張配水管布設設計業務委託</t>
  </si>
  <si>
    <t>2025/10/07 10:40</t>
  </si>
  <si>
    <t>第２号拡張配水管布設設計業務委託</t>
  </si>
  <si>
    <t>2025/10/07 10:30</t>
  </si>
  <si>
    <t>第１号拡張配水管布設設計業務委託</t>
  </si>
  <si>
    <t>2025/10/07 10:21</t>
  </si>
  <si>
    <t>青木中継ポンプ場動力設備更新工事監理業務委託</t>
  </si>
  <si>
    <t>2025/09/30 10:30</t>
  </si>
  <si>
    <t>日本水工設計株式会社 川口事務所</t>
  </si>
  <si>
    <t>第４号拡張配水管布設設計業務委託</t>
  </si>
  <si>
    <t>2025/09/30 10:10</t>
  </si>
  <si>
    <t>芝東第４土地区画整理事業 擁壁実施設計委託（その２）</t>
  </si>
  <si>
    <t>2025/09/11 09:37</t>
  </si>
  <si>
    <t>荒川左岸南部処理区実施設計委託その２</t>
  </si>
  <si>
    <t>2025/09/09 10:50</t>
  </si>
  <si>
    <t>荒川左岸南部処理区実施設計委託その３</t>
  </si>
  <si>
    <t>2025/09/09 10:40</t>
  </si>
  <si>
    <t>荒川左岸南部処理区実施設計委託その１</t>
  </si>
  <si>
    <t>2025/09/09 10:30</t>
  </si>
  <si>
    <t>下水道管布設替実施設計委託その２</t>
  </si>
  <si>
    <t>2025/09/09 10:20</t>
  </si>
  <si>
    <t>赤山歴史自然公園雨水ポンプ改修実施設計委託</t>
  </si>
  <si>
    <t>2025/08/29 09:55</t>
  </si>
  <si>
    <t>芝川護岸実施設計委託</t>
  </si>
  <si>
    <t>2025/08/29 09:35</t>
  </si>
  <si>
    <t>下水道管布設替実施設計委託</t>
  </si>
  <si>
    <t>2025/08/26 10:25</t>
  </si>
  <si>
    <t>新郷東部第２土地区画整理事業 道路実施設計委託</t>
  </si>
  <si>
    <t>2025/08/07 09:51</t>
  </si>
  <si>
    <t>下水道管整備工事に伴う実施設計委託</t>
  </si>
  <si>
    <t>2025/08/06 11:10</t>
  </si>
  <si>
    <t>中川処理区実施設計委託</t>
  </si>
  <si>
    <t>2025/08/06 11:00</t>
  </si>
  <si>
    <t>中川処理区（築造）実施設計委託その３</t>
  </si>
  <si>
    <t>2025/08/06 10:50</t>
  </si>
  <si>
    <t>上青木浄水場計装設備更新工事実施設計業務委託</t>
  </si>
  <si>
    <t>2025/08/06 10:18</t>
  </si>
  <si>
    <t>石神西立野特定土地区画整理事業 ６号調整池実施設計委託（その２）</t>
  </si>
  <si>
    <t>2025/07/31 09:54</t>
  </si>
  <si>
    <t>石神西立野特定土地区画整理事業 １号調整池修正設計委託</t>
  </si>
  <si>
    <t>2025/07/25 09:48</t>
  </si>
  <si>
    <t>災害用マンホールトイレ築造実施設計委託その３</t>
  </si>
  <si>
    <t>2025/07/16 11:30</t>
  </si>
  <si>
    <t>災害用マンホールトイレ築造実施設計委託その２</t>
  </si>
  <si>
    <t>2025/07/16 11:20</t>
  </si>
  <si>
    <t>災害用マンホールトイレ築造実施設計委託その１</t>
  </si>
  <si>
    <t>2025/07/16 11:10</t>
  </si>
  <si>
    <t>株式会社関東工社 川口出張所</t>
  </si>
  <si>
    <t>荒川左岸南部処理区（築造）実施設計委託</t>
  </si>
  <si>
    <t>2025/07/16 11:01</t>
  </si>
  <si>
    <t>新郷浄水場次亜注入設備更新工事実施設計業務委託</t>
  </si>
  <si>
    <t>2025/07/16 10:30</t>
  </si>
  <si>
    <t>株式会社東朋エンジニアリング 川口営業所</t>
  </si>
  <si>
    <t>専用回線用通信装置更新工事実施設計業務委託</t>
  </si>
  <si>
    <t>2025/07/15 10:22</t>
  </si>
  <si>
    <t>芝東第４土地区画整理事業 六ヶ村用水路改修工事に伴う実施設計委託</t>
  </si>
  <si>
    <t>2025/06/26 09:32</t>
  </si>
  <si>
    <t>中川処理区（築造）実施設計委託その２</t>
  </si>
  <si>
    <t>2025/06/24 10:30</t>
  </si>
  <si>
    <t>横曽根第六排水区（築造）実施設計委託</t>
  </si>
  <si>
    <t>2025/06/24 10:24</t>
  </si>
  <si>
    <t>ストックマネジメント計画下水道管更生実施設計委託</t>
  </si>
  <si>
    <t>2025/06/04 10:50</t>
  </si>
  <si>
    <t>第９号改良配水管布設（神根浄水場北ルート）設計業務委託</t>
  </si>
  <si>
    <t>2025/06/04 10:03</t>
  </si>
  <si>
    <t>赤堀－８－１号水路実施設計委託</t>
  </si>
  <si>
    <t>2025/05/21 09:42</t>
  </si>
  <si>
    <t>2025/05/14 11:10</t>
  </si>
  <si>
    <t>見沼－１２号水路実施設計委託</t>
  </si>
  <si>
    <t>2025/05/09 10:18</t>
  </si>
  <si>
    <t>見沼－１２号水路地質調査委託</t>
  </si>
  <si>
    <t>2025/05/01 10:03</t>
  </si>
  <si>
    <t>株式会社アースリサーチ 川口営業所</t>
  </si>
  <si>
    <t>前野宿川改修実施設計委託</t>
  </si>
  <si>
    <t>2025/05/01 09:59</t>
  </si>
  <si>
    <t>2025/04/25 11:22</t>
  </si>
  <si>
    <t>2025/04/25 11:17</t>
  </si>
  <si>
    <t>2025/04/25 11:10</t>
  </si>
  <si>
    <t>2025/04/25 11:00</t>
  </si>
  <si>
    <t>2025/04/25 10:53</t>
  </si>
  <si>
    <t>2025/04/25 10:48</t>
  </si>
  <si>
    <t>2025/04/25 10:42</t>
  </si>
  <si>
    <t>2025/04/25 10:36</t>
  </si>
  <si>
    <t>配水管布設（新郷浄水場南ルート）設計業務委託</t>
  </si>
  <si>
    <t>2025/04/25 10:29</t>
  </si>
  <si>
    <t>芝東第４土地区画整理事業 八幡用水路改修工事に伴う実施設計委託</t>
  </si>
  <si>
    <t>2025/04/24 10:45</t>
  </si>
  <si>
    <t>安行藤八特定土地区画整理事業 雨水管渠実施設計委託</t>
  </si>
  <si>
    <t>2025/04/22 11:09</t>
  </si>
  <si>
    <t>伝右－３－１号水路実施設計委託</t>
  </si>
  <si>
    <t>2025/04/22 11:04</t>
  </si>
  <si>
    <t>前野宿川緊急改修実施設計委託</t>
  </si>
  <si>
    <t>2025/04/15 09:54</t>
  </si>
  <si>
    <t>芝中央沿道第１土地区画整理事業道路実施設計委託</t>
  </si>
  <si>
    <t>2025/01/23 09:53</t>
  </si>
  <si>
    <t>石神西立野特定土地区画整理事業 造成実施設計委託（その２）</t>
  </si>
  <si>
    <t>2025/01/22 09:43</t>
  </si>
  <si>
    <t>上青木東西線交差点整備実施設計委託</t>
  </si>
  <si>
    <t>2025/01/22 09:35</t>
  </si>
  <si>
    <t>中川処理区実施設計委託その２</t>
  </si>
  <si>
    <t>2024/11/13 10:10</t>
  </si>
  <si>
    <t>中川処理区実施設計委託その１</t>
  </si>
  <si>
    <t>2024/11/13 10:00</t>
  </si>
  <si>
    <t>2024/11/13 09:54</t>
  </si>
  <si>
    <t>鳩ヶ谷緑町２丁目公園雨水貯留施設実施設計委託</t>
  </si>
  <si>
    <t>2024/11/07 09:31</t>
  </si>
  <si>
    <t>2024/10/29 10:10</t>
  </si>
  <si>
    <t>2024/10/29 10:00</t>
  </si>
  <si>
    <t>2024/10/29 09:50</t>
  </si>
  <si>
    <t>2024/10/23 10:00</t>
  </si>
  <si>
    <t>2024/10/23 09:50</t>
  </si>
  <si>
    <t>2024/10/23 09:40</t>
  </si>
  <si>
    <t>荒川左岸南部雨水実施設計委託その２</t>
  </si>
  <si>
    <t>2024/10/08 09:40</t>
  </si>
  <si>
    <t>芝東第３土地区画整理事業 雨水管渠実施設計委託</t>
  </si>
  <si>
    <t>2024/10/08 09:31</t>
  </si>
  <si>
    <t>2024/10/01 10:23</t>
  </si>
  <si>
    <t>2024/10/01 10:16</t>
  </si>
  <si>
    <t>2024/10/01 10:09</t>
  </si>
  <si>
    <t>神根第４４６号線道路改良事業に伴う実施設計委託</t>
  </si>
  <si>
    <t>2024/09/27 10:10</t>
  </si>
  <si>
    <t>グリーンインフラ活用基盤整備実施設計委託</t>
  </si>
  <si>
    <t>2024/09/26 10:35</t>
  </si>
  <si>
    <t>配水管布設（神根浄水場北ルート）設計業務委託</t>
  </si>
  <si>
    <t>2024/09/12 09:30</t>
  </si>
  <si>
    <t>芝地区住宅市街地総合整備事業 主要区画道路１号詳細設計委託</t>
  </si>
  <si>
    <t>2024/09/06 09:40</t>
  </si>
  <si>
    <t>新郷東部第２土地区画整理事業 都市計画道路峯榛松線ほか管渠実施設計委託</t>
  </si>
  <si>
    <t>2024/09/05 09:39</t>
  </si>
  <si>
    <t>芝東第４土地区画整理事業 道路実施設計委託（その２）</t>
  </si>
  <si>
    <t>2024/09/03 09:41</t>
  </si>
  <si>
    <t>芝中央沿道第１土地区画整理事業水路実施設計委託</t>
  </si>
  <si>
    <t>2024/08/06 09:33</t>
  </si>
  <si>
    <t>荒川左岸南部雨水実施設計委託</t>
  </si>
  <si>
    <t>2024/08/02 10:30</t>
  </si>
  <si>
    <t>新郷浄水場自家発電設備更新工事実施設計業務委託</t>
  </si>
  <si>
    <t>2024/08/02 10:10</t>
  </si>
  <si>
    <t>里土地区画整理事業 雨水排水実施設計委託</t>
  </si>
  <si>
    <t>2024/08/02 09:45</t>
  </si>
  <si>
    <t>芝東第３土地区画整理事業 道路実施設計委託（その２）</t>
  </si>
  <si>
    <t>2024/08/02 09:37</t>
  </si>
  <si>
    <t>2024/07/26 09:49</t>
  </si>
  <si>
    <t>2024/07/17 10:24</t>
  </si>
  <si>
    <t>株式会社松尾設計 川口事務所</t>
  </si>
  <si>
    <t>2024/07/17 10:16</t>
  </si>
  <si>
    <t>横曽根中継ポンプ場ほか非常用発電設備更新工事実施設計委託</t>
  </si>
  <si>
    <t>2024/07/12 11:10</t>
  </si>
  <si>
    <t>2024/06/28 10:30</t>
  </si>
  <si>
    <t>河川管理施設長寿命化実施設計委託（戸塚佐藤第２公園ポンプ場）</t>
  </si>
  <si>
    <t>2024/06/28 09:30</t>
  </si>
  <si>
    <t>芝地区住宅市街地総合整備事業 主要区画道路６号詳細設計委託</t>
  </si>
  <si>
    <t>2024/06/26 09:30</t>
  </si>
  <si>
    <t>西川口陸橋改修工事に伴う実施設計委託</t>
  </si>
  <si>
    <t>2024/06/25 09:30</t>
  </si>
  <si>
    <t>緑町ポンプ場耐震補強工事実施設計委託</t>
  </si>
  <si>
    <t>2024/06/21 10:25</t>
  </si>
  <si>
    <t>鬼澤橋改修工事に伴う実施設計委託</t>
  </si>
  <si>
    <t>2024/06/18 10:23</t>
  </si>
  <si>
    <t>芝東第４土地区画整理事業 雨水管渠実施設計委託（その２）</t>
  </si>
  <si>
    <t>芝東中学校駐車場整備工事に伴う実施設計委託</t>
  </si>
  <si>
    <t>2024/06/12 09:38</t>
  </si>
  <si>
    <t>2024/06/07 14:00</t>
  </si>
  <si>
    <t>下水道管布設替実施設計委託その１</t>
  </si>
  <si>
    <t>2024/06/07 13:50</t>
  </si>
  <si>
    <t>災害用マンホールトイレ築造実施設計委託</t>
  </si>
  <si>
    <t>2024/06/07 13:40</t>
  </si>
  <si>
    <t>トーカイテック株式会社 川口営業所</t>
  </si>
  <si>
    <t>2024/06/07 13:30</t>
  </si>
  <si>
    <t>2024/06/07 09:50</t>
  </si>
  <si>
    <t>前野宿川第３調節池実施設計委託</t>
  </si>
  <si>
    <t>里土地区画整理事業 道路実施設計委託（その１）</t>
  </si>
  <si>
    <t>2024/06/06 09:41</t>
  </si>
  <si>
    <t>2024/06/06 09:38</t>
  </si>
  <si>
    <t>貝塚落第２調節池実施設計委託</t>
  </si>
  <si>
    <t>2024/06/06 09:35</t>
  </si>
  <si>
    <t>経年防火水槽補強実施設計委託</t>
  </si>
  <si>
    <t>2024/06/04 09:49</t>
  </si>
  <si>
    <t>山王排水路遊歩道実施設計委託</t>
  </si>
  <si>
    <t>元郷中学校ブロック塀改修工事に伴う実施設計委託</t>
  </si>
  <si>
    <t>2024/05/16 10:20</t>
  </si>
  <si>
    <t>2024/05/15 10:12</t>
  </si>
  <si>
    <t>江川緊急改修実施設計委託</t>
  </si>
  <si>
    <t>2024/05/14 09:31</t>
  </si>
  <si>
    <t>雨水流出抑制対策事業に伴う下水道管切廻し実施設計委託</t>
  </si>
  <si>
    <t>2024/05/10 09:41</t>
  </si>
  <si>
    <t>柳崎小学校グラウンド補修工事に伴う実施設計委託</t>
  </si>
  <si>
    <t>2024/05/10 09:40</t>
  </si>
  <si>
    <t>里中学校グラウンド整備工事に伴う実施設計委託</t>
  </si>
  <si>
    <t>2024/05/10 09:37</t>
  </si>
  <si>
    <t>新郷東部第２土地区画整理事業 雨水実施設計委託</t>
  </si>
  <si>
    <t>2024/05/01 09:56</t>
  </si>
  <si>
    <t>川口オートレース場第３駐車場ほか改修工事に伴う実施設計委託</t>
  </si>
  <si>
    <t>2024/05/01 09:45</t>
  </si>
  <si>
    <t>2024/04/24 10:50</t>
  </si>
  <si>
    <t>2024/04/24 10:40</t>
  </si>
  <si>
    <t>2024/04/24 10:30</t>
  </si>
  <si>
    <t>2024/04/24 10:22</t>
  </si>
  <si>
    <t>2024/04/24 10:11</t>
  </si>
  <si>
    <t>2024/04/24 10:00</t>
  </si>
  <si>
    <t>2024/04/24 09:50</t>
  </si>
  <si>
    <t>2024/04/24 09:45</t>
  </si>
  <si>
    <t>石神西立野特定土地区画整理事業 雨水函渠実施設計委託</t>
  </si>
  <si>
    <t>2024/04/24 09:40</t>
  </si>
  <si>
    <t>芝東第４土地区画整理事業 雨水管渠実施設計委託</t>
  </si>
  <si>
    <t>2024/04/24 09:35</t>
  </si>
  <si>
    <t>石神西立野特定土地区画整理事業 造成実施設計委託</t>
  </si>
  <si>
    <t>2024/04/24 09:32</t>
  </si>
  <si>
    <t>配水管布設（東川口病院ルート）設計業務委託</t>
  </si>
  <si>
    <t>2024/04/24 09:30</t>
  </si>
  <si>
    <t>2024/04/23 10:01</t>
  </si>
  <si>
    <t>安行第１５９号線道路改良事業に伴う実施設計委託</t>
  </si>
  <si>
    <t>2024/04/18 09:35</t>
  </si>
  <si>
    <t>2024/04/11 09:35</t>
  </si>
  <si>
    <t>幹線第２５号線バス停車帯整備事業に伴う実施設計委託</t>
  </si>
  <si>
    <t>2024/04/10 10:22</t>
  </si>
  <si>
    <t>（仮称）神根総合運動公園整備実施設計委託</t>
  </si>
  <si>
    <t>2024/04/03 14:01</t>
  </si>
  <si>
    <t>行田市</t>
  </si>
  <si>
    <t>管路施設耐震実施設計業務委託その１</t>
  </si>
  <si>
    <t>2026/03/24 11:00</t>
  </si>
  <si>
    <t>行田市 総務部 契約検査課</t>
  </si>
  <si>
    <t>管路改築実施設計業務委託（大規模下水道管路特別重点調査関連）</t>
  </si>
  <si>
    <t>2026/03/09 10:13</t>
  </si>
  <si>
    <t>Ｒ７明）道路改良設計業務委託（若小玉字六本木）</t>
  </si>
  <si>
    <t>2026/02/03 10:30</t>
  </si>
  <si>
    <t>道路改良調査測量設計業務委託（樋上字武良内）</t>
  </si>
  <si>
    <t>2026/01/26 10:30</t>
  </si>
  <si>
    <t>株式会社鈴木測量設計 本店</t>
  </si>
  <si>
    <t>道路改良調査測量設計業務委託（樋上字上屋敷、武良内）</t>
  </si>
  <si>
    <t>2026/01/26 10:17</t>
  </si>
  <si>
    <t>農道整備調査測量設計業務委託（犬塚字清水）</t>
  </si>
  <si>
    <t>2026/01/22 10:33</t>
  </si>
  <si>
    <t>株式会社白根測量設計事務所 本店</t>
  </si>
  <si>
    <t>道路舗装個別施設計画策定業務委託</t>
  </si>
  <si>
    <t>2025/12/18 10:14</t>
  </si>
  <si>
    <t>水田貯留設備整備調査測量設計業務委託（上池守、中里）</t>
  </si>
  <si>
    <t>2025/12/17 10:31</t>
  </si>
  <si>
    <t>2025/12/17 10:11</t>
  </si>
  <si>
    <t>用排水路整備調査測量設計業務委託（下中条字碇）</t>
  </si>
  <si>
    <t>2025/12/16 11:12</t>
  </si>
  <si>
    <t>管路施設耐震実施設計業務委託</t>
  </si>
  <si>
    <t>2025/12/08 10:32</t>
  </si>
  <si>
    <t>行田市義務教育学校候補地（Ｂブロック）都市計画決定・事業認可図書作成等業務委託</t>
  </si>
  <si>
    <t>2025/12/04 10:51</t>
  </si>
  <si>
    <t>箱型暗渠洗堀基礎対策設計業務委託（5-42号橋）</t>
  </si>
  <si>
    <t>2025/12/03 10:33</t>
  </si>
  <si>
    <t>用排水路整備調査測量設計業務委託（真名板字築道）</t>
  </si>
  <si>
    <t>2025/12/02 10:33</t>
  </si>
  <si>
    <t>流域貯留浸透事業 雨水貯留施設概略設計業務委託（持田地区）</t>
  </si>
  <si>
    <t>2025/11/25 10:11</t>
  </si>
  <si>
    <t>古代蓮の里費用対効果分析業務委託</t>
  </si>
  <si>
    <t>2025/11/11 10:14</t>
  </si>
  <si>
    <t>株式会社環境・グリーンエンジニア 埼玉事務所</t>
  </si>
  <si>
    <t>まちなかウォーカブル推進事業 市道第5.1-7号線外調査測量設計業務委託</t>
  </si>
  <si>
    <t>2025/11/04 10:12</t>
  </si>
  <si>
    <t>道路橋定期点検業務委託（1-2号橋外41橋）橋梁長寿命化事業</t>
  </si>
  <si>
    <t>2025/10/28 10:30</t>
  </si>
  <si>
    <t>側溝新設調査測量設計業務委託（長野二丁目）</t>
  </si>
  <si>
    <t>2025/10/28 10:10</t>
  </si>
  <si>
    <t>水城公園東側園地再整備工事実施設計業務委託</t>
  </si>
  <si>
    <t>2025/10/27 10:30</t>
  </si>
  <si>
    <t>行田市公共下水道耐水化計画策定業務委託</t>
  </si>
  <si>
    <t>2025/10/21 10:17</t>
  </si>
  <si>
    <t>橋梁撤去詳細設計業務委託（5-21号橋・橋梁長寿命化事業）</t>
  </si>
  <si>
    <t>2025/10/10 10:53</t>
  </si>
  <si>
    <t>古代蓮の里施設長寿命化計画策定業務委託</t>
  </si>
  <si>
    <t>2025/10/07 10:11</t>
  </si>
  <si>
    <t>側溝改良調査測量設計業務委託（持田四丁目）</t>
  </si>
  <si>
    <t>2025/09/01 10:51</t>
  </si>
  <si>
    <t>行田市地籍調査基本計画策定業務委託</t>
  </si>
  <si>
    <t>2025/08/28 10:31</t>
  </si>
  <si>
    <t>水管橋定期点検業務委託（１－２８号橋外４２橋）</t>
  </si>
  <si>
    <t>2025/08/28 10:16</t>
  </si>
  <si>
    <t>行田市 都市整備部 上下水道経営課</t>
  </si>
  <si>
    <t>側溝修繕調査測量設計業務委託（北河原字熊野）</t>
  </si>
  <si>
    <t>2025/08/27 10:50</t>
  </si>
  <si>
    <t>配水管布設替工事実施設計業務委託（その２）</t>
  </si>
  <si>
    <t>2025/08/25 10:00</t>
  </si>
  <si>
    <t>行田市生活排水処理基本計画策定業務委託</t>
  </si>
  <si>
    <t>2025/08/08 10:52</t>
  </si>
  <si>
    <t>側溝改良調査測量設計業務委託（門井町一丁目）</t>
  </si>
  <si>
    <t>2025/07/18 10:53</t>
  </si>
  <si>
    <t>側溝修繕調査測量設計業務委託（富士見町二丁目）</t>
  </si>
  <si>
    <t>2025/07/16 10:10</t>
  </si>
  <si>
    <t>西部配水場配水池耐震診断業務委託</t>
  </si>
  <si>
    <t>2025/07/10 10:25</t>
  </si>
  <si>
    <t>下長野用水路設計業務委託</t>
  </si>
  <si>
    <t>2025/07/10 10:12</t>
  </si>
  <si>
    <t>橋梁新設詳細設計業務委託（長野二丁目）</t>
  </si>
  <si>
    <t>2025/07/09 10:34</t>
  </si>
  <si>
    <t>舗装修繕調査測量設計業務委託（桜町二丁目）</t>
  </si>
  <si>
    <t>2025/07/07 10:37</t>
  </si>
  <si>
    <t>側溝修繕調査測量設計業務委託（藤原町一丁目）</t>
  </si>
  <si>
    <t>2025/07/07 10:11</t>
  </si>
  <si>
    <t>側溝修繕調査測量設計業務委託（埼玉字境松通）</t>
  </si>
  <si>
    <t>2025/07/04 10:30</t>
  </si>
  <si>
    <t>側溝修繕調査測量設計業務委託（持田一丁目）</t>
  </si>
  <si>
    <t>2025/07/04 10:10</t>
  </si>
  <si>
    <t>幹線道路整備事業（須加地区）道路改良設計業務委託</t>
  </si>
  <si>
    <t>2025/07/02 10:11</t>
  </si>
  <si>
    <t>側溝新設調査測量設計業務委託（持田字油免）</t>
  </si>
  <si>
    <t>2025/05/29 10:51</t>
  </si>
  <si>
    <t>道路改良設計業務委託（小針字本郷、宮前）</t>
  </si>
  <si>
    <t>2025/05/21 10:39</t>
  </si>
  <si>
    <t>幹線道路舗装修繕測量設計業務委託（若小玉字枳、鞘戸、荒木字六本木）</t>
  </si>
  <si>
    <t>2025/01/10 10:10</t>
  </si>
  <si>
    <t>道路橋定期点検業務委託（1-1号橋外23橋）橋梁長寿命化事業</t>
  </si>
  <si>
    <t>2024/12/11 10:34</t>
  </si>
  <si>
    <t>道路橋定期点検業務委託（3-19号橋外26橋）橋梁長寿命化事業</t>
  </si>
  <si>
    <t>2024/12/11 10:10</t>
  </si>
  <si>
    <t>2024/11/28 10:11</t>
  </si>
  <si>
    <t>第6処理分区汚水枝線工事実施設計業務委託</t>
  </si>
  <si>
    <t>通学路安全対策事業 側溝修繕調査測量設計業務委託（堤根字中通）</t>
  </si>
  <si>
    <t>2024/11/11 10:10</t>
  </si>
  <si>
    <t>2024/10/23 10:30</t>
  </si>
  <si>
    <t>橋梁長寿命化修繕計画策定業務委託（橋梁長寿命化事業）</t>
  </si>
  <si>
    <t>2024/10/23 10:10</t>
  </si>
  <si>
    <t>舗装新設設計業務委託（和田字池田）</t>
  </si>
  <si>
    <t>2024/10/16 10:58</t>
  </si>
  <si>
    <t>道路改良設計業務委託（南河原字向新田）</t>
  </si>
  <si>
    <t>2024/10/16 10:30</t>
  </si>
  <si>
    <t>流域下水道流入下水水質調査業務委託</t>
  </si>
  <si>
    <t>2024/10/16 10:11</t>
  </si>
  <si>
    <t>株式会社熊谷環境分析センター 本店</t>
  </si>
  <si>
    <t>橋梁修繕詳細設計業務委託（4-13号橋・橋梁長寿命化事業）</t>
  </si>
  <si>
    <t>2024/09/26 10:10</t>
  </si>
  <si>
    <t>排水路改良調査測量設計業務委託（堤根字代官田通）</t>
  </si>
  <si>
    <t>2024/09/25 10:30</t>
  </si>
  <si>
    <t>配水管布設替工事実施設計業務委託（その５）</t>
  </si>
  <si>
    <t>2024/09/20 11:00</t>
  </si>
  <si>
    <t>配水管布設替工事実施設計業務委託（その４）</t>
  </si>
  <si>
    <t>2024/09/20 10:30</t>
  </si>
  <si>
    <t>配水管布設替工事実施設計業務委託（その３）</t>
  </si>
  <si>
    <t>2024/09/20 10:00</t>
  </si>
  <si>
    <t>総合地震対策事業 管路施設耐震診断業務委託</t>
  </si>
  <si>
    <t>2024/09/06 10:31</t>
  </si>
  <si>
    <t>舗装修繕調査測量設計業務委託（荒木字新田）</t>
  </si>
  <si>
    <t>2024/09/04 10:36</t>
  </si>
  <si>
    <t>2024/09/04 10:10</t>
  </si>
  <si>
    <t>水管橋定期点検基礎資料整備業務委託（１‐１２号橋外２５５橋）.</t>
  </si>
  <si>
    <t>2024/08/27 10:00</t>
  </si>
  <si>
    <t>向町浄水場２系配水ポンプ室配管更新工事詳細設計業務委託</t>
  </si>
  <si>
    <t>側溝修繕調査測量設計業務委託（谷郷三丁目）</t>
  </si>
  <si>
    <t>2024/07/31 10:37</t>
  </si>
  <si>
    <t>側溝修繕調査測量設計業務委託（犬塚字北、東）</t>
  </si>
  <si>
    <t>2024/07/31 10:10</t>
  </si>
  <si>
    <t>配水管布設替工事実施設計業務委託（その１）</t>
  </si>
  <si>
    <t>2024/07/30 10:20</t>
  </si>
  <si>
    <t>向町浄水場自家発電施設更新工事詳細設計業務委託</t>
  </si>
  <si>
    <t>2024/07/18 10:00</t>
  </si>
  <si>
    <t>2024/06/25 10:30</t>
  </si>
  <si>
    <t>幹線道路整備事業（須加地区）橋梁新設詳細設計業務委託</t>
  </si>
  <si>
    <t>2024/06/10 11:30</t>
  </si>
  <si>
    <t>第１０処理分区汚水枝線工事実施設計業務委託</t>
  </si>
  <si>
    <t>2024/06/06 10:50</t>
  </si>
  <si>
    <t>側溝新設設計業務委託（下忍字京田）</t>
  </si>
  <si>
    <t>2024/05/30 10:50</t>
  </si>
  <si>
    <t>2024/05/24 10:00</t>
  </si>
  <si>
    <t>側溝新設調査測量設計業務委託（若小玉字枳）</t>
  </si>
  <si>
    <t>流域貯留浸透事業 校庭貯留施設整備測量設計業務委託（泉小学校）</t>
  </si>
  <si>
    <t>2024/05/17 10:10</t>
  </si>
  <si>
    <t>2024/05/15 10:50</t>
  </si>
  <si>
    <t>秩父市</t>
  </si>
  <si>
    <t>吉田幹線10号線法面復旧測量設計業務委託</t>
  </si>
  <si>
    <t>2025/11/12 09:15</t>
  </si>
  <si>
    <t>秩父市 財務部 契約課</t>
  </si>
  <si>
    <t>株式会社南建設 秩父営業所</t>
  </si>
  <si>
    <t>橋りょう点検業務委託（その2）</t>
  </si>
  <si>
    <t>2025/07/29 09:43</t>
  </si>
  <si>
    <t>橋りょう点検業務委託（その1）</t>
  </si>
  <si>
    <t>2025/07/29 09:21</t>
  </si>
  <si>
    <t>中央監視設備（電気）改築実施設計（詳細設計）業務委託</t>
  </si>
  <si>
    <t>2025/07/01 13:16</t>
  </si>
  <si>
    <t>秩父市生活排水処理基本計画改定業務委託</t>
  </si>
  <si>
    <t>2025/06/17 09:00</t>
  </si>
  <si>
    <t>秩父市公共下水道事業等官民連携導入可能性調査業務委託</t>
  </si>
  <si>
    <t>2025/06/10 09:00</t>
  </si>
  <si>
    <t>管路施設ストックマネジメント業務（マンホール改築詳細設計）委託（再１）</t>
  </si>
  <si>
    <t>2025/05/08 09:32</t>
  </si>
  <si>
    <t>出合隧道補修設計業務委託（再1）</t>
  </si>
  <si>
    <t>2024/10/29 13:07</t>
  </si>
  <si>
    <t>2024/09/03 10:00</t>
  </si>
  <si>
    <t>マンホールポンプ施設ストックマネジメント業務（調査）委託</t>
  </si>
  <si>
    <t>2024/08/27 13:16</t>
  </si>
  <si>
    <t>2024/07/30 13:53</t>
  </si>
  <si>
    <t>2024/07/30 13:31</t>
  </si>
  <si>
    <t>森林管理道熊倉線城山橋補修設計業務委託</t>
  </si>
  <si>
    <t>2024/07/23 13:30</t>
  </si>
  <si>
    <t>管路施設ストックマネジメント業務（改築詳細設計）委託</t>
  </si>
  <si>
    <t>2024/07/02 14:28</t>
  </si>
  <si>
    <t>中央監視設備（電気）改築実施設計（基本設計）業務委託</t>
  </si>
  <si>
    <t>2024/06/18 09:05</t>
  </si>
  <si>
    <t>2024/05/14 13:46</t>
  </si>
  <si>
    <t>所沢市</t>
  </si>
  <si>
    <t>山口地内新設汚水詳細設計業務委託（８－１）</t>
  </si>
  <si>
    <t>2026/05/19 09:50</t>
  </si>
  <si>
    <t>所沢市 上下水道局 総務課</t>
  </si>
  <si>
    <t>株式会社日本水工コンサルタント 所沢営業所</t>
  </si>
  <si>
    <t>城地内新設汚水詳細設計業務委託（８－１）</t>
  </si>
  <si>
    <t>2026/05/19 09:31</t>
  </si>
  <si>
    <t>株式会社関東工社 入間出張所</t>
  </si>
  <si>
    <t>ウォーターPPP実施方針作成及び事業者選定支援業務委託</t>
  </si>
  <si>
    <t>2026/05/07 09:34</t>
  </si>
  <si>
    <t>下水道耐震診断業務委託（７－３）</t>
  </si>
  <si>
    <t>2026/01/26 09:30</t>
  </si>
  <si>
    <t>下水道地震対策（雨水調整池）詳細設計業務委託（７－１）</t>
  </si>
  <si>
    <t>2025/12/03 09:31</t>
  </si>
  <si>
    <t>下水道地震対策詳細設計業務委託（７－３）</t>
  </si>
  <si>
    <t>2025/10/17 09:31</t>
  </si>
  <si>
    <t>下水道地震対策詳細設計業務委託（７－２）</t>
  </si>
  <si>
    <t>2025/09/19 10:11</t>
  </si>
  <si>
    <t>下水道耐震診断業務委託（７－２）</t>
  </si>
  <si>
    <t>2025/09/19 09:52</t>
  </si>
  <si>
    <t>下水道耐震診断業務委託（７－１）</t>
  </si>
  <si>
    <t>2025/09/02 09:50</t>
  </si>
  <si>
    <t>下水道地震対策詳細設計業務委託（7-1）</t>
  </si>
  <si>
    <t>2025/09/02 09:31</t>
  </si>
  <si>
    <t>下水道管渠施設改築詳細設計業務委託（７－２）</t>
  </si>
  <si>
    <t>2025/08/05 10:31</t>
  </si>
  <si>
    <t>下水道管渠施設改築詳細設計業務委託（7-1）</t>
  </si>
  <si>
    <t>2025/08/05 10:15</t>
  </si>
  <si>
    <t>ポンプ場施設修繕改築計画策定業務委託</t>
  </si>
  <si>
    <t>2025/08/01 09:51</t>
  </si>
  <si>
    <t>所沢地区配水管更新工事設計業務委託</t>
  </si>
  <si>
    <t>2025/07/31 09:04</t>
  </si>
  <si>
    <t>所沢市旧庁舎外１館石綿含有分析及び地歴調査業務委託</t>
  </si>
  <si>
    <t>所沢市 総務部 契約課</t>
  </si>
  <si>
    <t>三ケ島地区配水管更新工事設計業務委託</t>
  </si>
  <si>
    <t>2025/07/30 09:51</t>
  </si>
  <si>
    <t>株式会社光エンジニアリング 事業本部</t>
  </si>
  <si>
    <t>中野川支流遊歩道整備詳細設計業務委託</t>
  </si>
  <si>
    <t>2025/06/25 09:03</t>
  </si>
  <si>
    <t>亀ヶ谷地内ほか新設汚水詳細設計業務委託（７－１）</t>
  </si>
  <si>
    <t>2025/06/24 09:51</t>
  </si>
  <si>
    <t>西部浄水場17号弁・場内配管等改修工事設計業務委託</t>
  </si>
  <si>
    <t>2025/06/24 09:32</t>
  </si>
  <si>
    <t>南部浄水場電気設備更新工事設計業務委託</t>
  </si>
  <si>
    <t>2025/06/23 10:10</t>
  </si>
  <si>
    <t>株式会社中央設計技術研究所 所沢事務所</t>
  </si>
  <si>
    <t>西部浄水場系監視制御装置更新工事設計業務委託</t>
  </si>
  <si>
    <t>2025/06/23 09:51</t>
  </si>
  <si>
    <t>所沢市生活排水処理基本計画見直し業務委託</t>
  </si>
  <si>
    <t>2025/06/23 09:31</t>
  </si>
  <si>
    <t>西部浄水場更新基本設計等業務委託</t>
  </si>
  <si>
    <t>2025/06/20 09:51</t>
  </si>
  <si>
    <t>内水浸水想定区域図作成業務委託</t>
  </si>
  <si>
    <t>2025/06/20 09:32</t>
  </si>
  <si>
    <t>糀谷地内ほか新設汚水詳細設計業務委託（７－１）</t>
  </si>
  <si>
    <t>2025/06/09 10:33</t>
  </si>
  <si>
    <t>雨天時はけ口水質分析業務委託</t>
  </si>
  <si>
    <t>2025/05/28 09:31</t>
  </si>
  <si>
    <t>株式会社高見沢分析化学研究所 本店</t>
  </si>
  <si>
    <t>最終処分場周辺地区新設汚水詳細設計業務委託（７－１）</t>
  </si>
  <si>
    <t>2025/05/26 10:11</t>
  </si>
  <si>
    <t>東狭山ヶ丘地内ほか新設汚水詳細設計業務委託（７－１）</t>
  </si>
  <si>
    <t>2025/05/26 09:51</t>
  </si>
  <si>
    <t>地蔵橋外2橋長寿命化工事詳細設計業務委託</t>
  </si>
  <si>
    <t>2025/05/21 09:03</t>
  </si>
  <si>
    <t>資材価格特別調査業務委託その２</t>
  </si>
  <si>
    <t>2024/12/19 09:31</t>
  </si>
  <si>
    <t>下水道地震対策詳細設計業務委託（６－３）</t>
  </si>
  <si>
    <t>2024/09/24 09:31</t>
  </si>
  <si>
    <t>下水道地震対策詳細設計業務委託（６－２）</t>
  </si>
  <si>
    <t>2024/09/20 09:35</t>
  </si>
  <si>
    <t>下水道地震対策詳細設計業務委託（６－１）</t>
  </si>
  <si>
    <t>2024/09/05 09:51</t>
  </si>
  <si>
    <t>内水浸水想定区域図作成に伴う基礎調査業務委託</t>
  </si>
  <si>
    <t>2024/09/05 09:31</t>
  </si>
  <si>
    <t>下水道耐震診断業務委託（６－２）</t>
  </si>
  <si>
    <t>2024/09/04 09:31</t>
  </si>
  <si>
    <t>下水道耐震診断業務委託（６－１）</t>
  </si>
  <si>
    <t>2024/09/03 09:31</t>
  </si>
  <si>
    <t>下水道管渠施設改築詳細設計業務委託 （6-2）</t>
  </si>
  <si>
    <t>2024/09/02 09:55</t>
  </si>
  <si>
    <t>下水道管渠施設改築詳細設計業務委託（6-1）</t>
  </si>
  <si>
    <t>2024/08/20 09:31</t>
  </si>
  <si>
    <t>大口径管更新に伴う基本設計業務委託</t>
  </si>
  <si>
    <t>2024/07/17 09:31</t>
  </si>
  <si>
    <t>市道２－４０６号線測量設計業務委託</t>
  </si>
  <si>
    <t>2024/07/12 09:06</t>
  </si>
  <si>
    <t>事業認可申請図書等作成業務委託</t>
  </si>
  <si>
    <t>2024/06/12 09:31</t>
  </si>
  <si>
    <t>南部浄水場着水井改修工事設計業務委託</t>
  </si>
  <si>
    <t>2024/06/05 09:51</t>
  </si>
  <si>
    <t>上新井・松郷地内新設汚水詳細設計業務委託（６－１）</t>
  </si>
  <si>
    <t>2024/05/22 09:31</t>
  </si>
  <si>
    <t>北秋津・上安松・若松町地内新設汚水詳細設計業務委託（６－１）</t>
  </si>
  <si>
    <t>2024/05/21 09:51</t>
  </si>
  <si>
    <t>弥生町歩道橋長寿命化工事詳細設計業務委託</t>
  </si>
  <si>
    <t>2024/05/17 09:31</t>
  </si>
  <si>
    <t>天明橋外1橋長寿命化工事詳細設計業務委託</t>
  </si>
  <si>
    <t>2024/05/17 09:16</t>
  </si>
  <si>
    <t>大型カルバート点検業務委託</t>
  </si>
  <si>
    <t>2024/05/17 09:02</t>
  </si>
  <si>
    <t>飯能市</t>
  </si>
  <si>
    <t>岩沢南部土地区画整理事業 権利調査補正及び選挙人名簿作成業務委託</t>
  </si>
  <si>
    <t>2026/04/21 13:15</t>
  </si>
  <si>
    <t>飯能市 総務部 契約検査課</t>
  </si>
  <si>
    <t>正丸峠法面点検業務委託</t>
  </si>
  <si>
    <t>2025/12/16 13:36</t>
  </si>
  <si>
    <t>飯能市 企画総務部 契約検査課</t>
  </si>
  <si>
    <t>市道1-3133号線（元加治駅北口駅前通り線ほか）測量設計業務委託</t>
  </si>
  <si>
    <t>2025/12/02 13:27</t>
  </si>
  <si>
    <t>司測量設計調査株式会社 日高支店</t>
  </si>
  <si>
    <t>令和7年度下水道工事実施設計業務委託その2（岩北）</t>
  </si>
  <si>
    <t>2025/11/25 13:28</t>
  </si>
  <si>
    <t>株式会社英設計事務所 入間営業所</t>
  </si>
  <si>
    <t>令和7年度下水道工事実施設計業務委託その3（笠縫・双南）</t>
  </si>
  <si>
    <t>令和７年度 宮沢ため池点検調査業務委託</t>
  </si>
  <si>
    <t>2025/10/28 13:51</t>
  </si>
  <si>
    <t>北川２号橋耐震補強設計業務委託</t>
  </si>
  <si>
    <t>2025/10/28 13:43</t>
  </si>
  <si>
    <t>クリーンセンター施設整備業務委託</t>
  </si>
  <si>
    <t>2025/10/21 13:34</t>
  </si>
  <si>
    <t>令和７年度 飯能地内配水管布設工事詳細設計業務委託</t>
  </si>
  <si>
    <t>2025/09/30 13:37</t>
  </si>
  <si>
    <t>小床橋・白鬚橋修繕設計業務委託</t>
  </si>
  <si>
    <t>2025/09/16 13:08</t>
  </si>
  <si>
    <t>令和7年度飯能市公共下水道管路施設修繕・改築実施設計業務委託</t>
  </si>
  <si>
    <t>2025/09/09 13:21</t>
  </si>
  <si>
    <t>市道1-589-1号線（大字小岩井地内）道路改良工事設計業務委託</t>
  </si>
  <si>
    <t>2025/08/26 13:41</t>
  </si>
  <si>
    <t>笠縫地区 調整池設計業務委託</t>
  </si>
  <si>
    <t>2025/08/26 13:34</t>
  </si>
  <si>
    <t>令和７年度 川寺地内配水管布設工事詳細設計業務委託</t>
  </si>
  <si>
    <t>2025/08/26 13:15</t>
  </si>
  <si>
    <t>株式会社利根設計事務所 埼玉営業所</t>
  </si>
  <si>
    <t>令和７年度橋りょう定期点検業務委託</t>
  </si>
  <si>
    <t>2025/08/19 13:43</t>
  </si>
  <si>
    <t>岩沢陸橋定期点検業務委託</t>
  </si>
  <si>
    <t>2025/08/19 13:38</t>
  </si>
  <si>
    <t>令和7年度大規模下水道管路特別重点調査等業務委託</t>
  </si>
  <si>
    <t>2025/07/08 13:07</t>
  </si>
  <si>
    <t>令和７年度 阿須地内ほか配水管布設工事詳細設計業務委託</t>
  </si>
  <si>
    <t>2025/06/12 13:34</t>
  </si>
  <si>
    <t>事業所排水水質検査委託</t>
  </si>
  <si>
    <t>飯能市ごみ処理基本計画改定業務委託</t>
  </si>
  <si>
    <t>2025/06/05 13:06</t>
  </si>
  <si>
    <t>株式会社環境デザイン設計事務所 本店</t>
  </si>
  <si>
    <t>環境センター精密機能検査委託</t>
  </si>
  <si>
    <t>2025/06/05 13:05</t>
  </si>
  <si>
    <t>林道橋定期点検業務委託</t>
  </si>
  <si>
    <t>2025/06/03 13:18</t>
  </si>
  <si>
    <t>林道花桐線１号橋修繕設計業務委託</t>
  </si>
  <si>
    <t>道路改良工事（事業認定図書作成業務委託その２）</t>
  </si>
  <si>
    <t>2025/05/29 13:46</t>
  </si>
  <si>
    <t>県水受水場送水ポンプ等更新工事設計業務委託</t>
  </si>
  <si>
    <t>2025/05/15 13:11</t>
  </si>
  <si>
    <t>通学橋・弁天橋修繕設計業務委託</t>
  </si>
  <si>
    <t>2025/05/13 13:33</t>
  </si>
  <si>
    <t>飯能市水道ビジョン等策定業務委託</t>
  </si>
  <si>
    <t>2025/05/01 13:36</t>
  </si>
  <si>
    <t>令和6年度下水道工事実施設計業務委託その2（岩北・岩南）</t>
  </si>
  <si>
    <t>2024/11/28 13:00</t>
  </si>
  <si>
    <t>山田・エンジニアリング株式会社 埼玉支店</t>
  </si>
  <si>
    <t>令和6年度下水道工事実施設計業務委託その1（双南・笠縫）</t>
  </si>
  <si>
    <t>令和6年度 宮沢ため池点検調査業務委託</t>
  </si>
  <si>
    <t>2024/11/19 13:00</t>
  </si>
  <si>
    <t>令和６年度市道1-5号線道路改良工事設計業務委託</t>
  </si>
  <si>
    <t>2024/11/12 13:00</t>
  </si>
  <si>
    <t>株式会社大成 飯能営業所</t>
  </si>
  <si>
    <t>2024/10/22 13:00</t>
  </si>
  <si>
    <t>令和６年度 芦苅場地内ほか配水管布設工事詳細設計業務委託</t>
  </si>
  <si>
    <t>株式会社新東京技研 本店</t>
  </si>
  <si>
    <t>ダイオキシン類環境調査委託</t>
  </si>
  <si>
    <t>2024/08/27 13:00</t>
  </si>
  <si>
    <t>ユーロフィン日本環境株式会社 埼玉支店</t>
  </si>
  <si>
    <t>騒音振動調査委託</t>
  </si>
  <si>
    <t>令和６年度 稲荷町地内ほか配水管布設工事詳細設計業務委託</t>
  </si>
  <si>
    <t>2024/08/20 14:00</t>
  </si>
  <si>
    <t>株式会社東朋エンジニアリング 所沢営業所</t>
  </si>
  <si>
    <t>令和6年度飯能市下水道台帳更新業務委託</t>
  </si>
  <si>
    <t>2024/08/20 13:00</t>
  </si>
  <si>
    <t>岩沢北部土地区画整理事業 権利調査補正及び選挙人名簿作成業務委託</t>
  </si>
  <si>
    <t>令和6年度飯能市公共下水道管路施設点検・調査業務委託</t>
  </si>
  <si>
    <t>2024/08/06 13:00</t>
  </si>
  <si>
    <t>飯能市水道ビジョン等策定支援業務委託</t>
  </si>
  <si>
    <t>2024/07/11 13:00</t>
  </si>
  <si>
    <t>令和６年度橋りょう定期点検業務委託</t>
  </si>
  <si>
    <t>2024/07/02 13:00</t>
  </si>
  <si>
    <t>名栗川橋外２橋修繕設計業務委託</t>
  </si>
  <si>
    <t>2024/06/06 13:00</t>
  </si>
  <si>
    <t>令和６年度 水利使用更新許可申請書作成業務委託</t>
  </si>
  <si>
    <t>2024/05/09 13:00</t>
  </si>
  <si>
    <t>加須市</t>
  </si>
  <si>
    <t>令和7年度 加須市公園整備計画策定業務委託</t>
  </si>
  <si>
    <t>2026/03/18 13:10</t>
  </si>
  <si>
    <t>加須市 総合政策部 管理契約課</t>
  </si>
  <si>
    <t>昭和株式会社 加須営業所</t>
  </si>
  <si>
    <t>令和7年度 加須駅南口公園（仮称）基本構想策定業務委託</t>
  </si>
  <si>
    <t>2026/03/18 13:07</t>
  </si>
  <si>
    <t>令和7年度 橋梁定期点検委託（国補）その２</t>
  </si>
  <si>
    <t>2026/03/18 13:04</t>
  </si>
  <si>
    <t>令和7年度 優先的まちづくりゾーン幹線道路概略設計及び現地測量業務委託</t>
  </si>
  <si>
    <t>2026/03/05 13:05</t>
  </si>
  <si>
    <t>令和8年度 環境浄化センター水質及び下水汚泥分析委託【債務】</t>
  </si>
  <si>
    <t>2026/02/18 13:12</t>
  </si>
  <si>
    <t>株式会社環境管理センター 北関東技術センター</t>
  </si>
  <si>
    <t>令和8年度 加須市水質検査委託【債務】</t>
  </si>
  <si>
    <t>2026/02/18 13:09</t>
  </si>
  <si>
    <t>内藤環境管理株式会社 本店</t>
  </si>
  <si>
    <t>令和7年度 北下新井外地内石綿セメント管布設替工事実施設計委託</t>
  </si>
  <si>
    <t>2026/02/04 13:11</t>
  </si>
  <si>
    <t>サンセイプラン株式会社 本店</t>
  </si>
  <si>
    <t>令和7年度 馬内外地内水管橋配水管布設替工事実施設計委託</t>
  </si>
  <si>
    <t>2026/02/04 13:09</t>
  </si>
  <si>
    <t>有限会社共同企画 本店</t>
  </si>
  <si>
    <t>令和7年度 栄地内浄水場統廃合更新整備事業に伴う配水管布設替工事実施設計委託</t>
  </si>
  <si>
    <t>2026/01/14 13:19</t>
  </si>
  <si>
    <t>令和7年度 加＿4062号橋ほか1橋修繕設計委託（国補）</t>
  </si>
  <si>
    <t>2025/10/01 13:57</t>
  </si>
  <si>
    <t>令和7年度 橋梁定期点検委託（国補）</t>
  </si>
  <si>
    <t>2025/10/01 13:53</t>
  </si>
  <si>
    <t>令和7年度 野中土地区画事業に伴う配水管布設工事実施設計委託その２</t>
  </si>
  <si>
    <t>2025/09/17 13:53</t>
  </si>
  <si>
    <t>令和7年度 市道8034号線道路側溝事業設計委託</t>
  </si>
  <si>
    <t>2025/09/17 13:50</t>
  </si>
  <si>
    <t>令和7年度 久下4丁目外地内雨水対策概略設計委託</t>
  </si>
  <si>
    <t>2025/09/01 13:38</t>
  </si>
  <si>
    <t>令和7年度 高台排水路ゲート更新設計業務委託（国補）（県補）</t>
  </si>
  <si>
    <t>2025/09/01 13:36</t>
  </si>
  <si>
    <t>令和7年度 南篠崎地内配水管布設替基本設計業務委託</t>
  </si>
  <si>
    <t>2025/08/19 13:45</t>
  </si>
  <si>
    <t>令和7年度 市道大3183号線側溝整備工事測量設計業務委託</t>
  </si>
  <si>
    <t>2025/07/30 13:55</t>
  </si>
  <si>
    <t>令和7年度 市道大2002・2005号線溢水対策調査測量業務委託</t>
  </si>
  <si>
    <t>2025/07/30 13:53</t>
  </si>
  <si>
    <t>羽生測量設計株式会社 加須支店</t>
  </si>
  <si>
    <t>令和7年度 市道116号線通学路安全対策工事測量設計業務委託</t>
  </si>
  <si>
    <t>2025/07/30 13:49</t>
  </si>
  <si>
    <t>令和7年度 大利根第3浄水場第2ポンプ棟劣化調査業務委託</t>
  </si>
  <si>
    <t>2025/07/15 13:15</t>
  </si>
  <si>
    <t>令和7年度 久下浄水場着水井混和池耐震再照査業務委託</t>
  </si>
  <si>
    <t>2025/07/15 13:10</t>
  </si>
  <si>
    <t>令和7年度 河川等水質検査業務委託</t>
  </si>
  <si>
    <t>2025/07/02 13:46</t>
  </si>
  <si>
    <t>山根技研株式会社 本店</t>
  </si>
  <si>
    <t>令和7年度 ダイオキシン類環境測定業務委託</t>
  </si>
  <si>
    <t>2025/07/02 13:43</t>
  </si>
  <si>
    <t>令和7年度 中央１丁目外雨水排水対策検討業務委託</t>
  </si>
  <si>
    <t>2025/07/02 13:30</t>
  </si>
  <si>
    <t>令和7年度 学頭用排水路測量設計委託</t>
  </si>
  <si>
    <t>2025/06/17 13:42</t>
  </si>
  <si>
    <t>株式会社塩崎テクノブレイン 加須支店</t>
  </si>
  <si>
    <t>令和7年度 古川一丁目外地内配水管布設工事実施設計委託</t>
  </si>
  <si>
    <t>2025/06/17 13:38</t>
  </si>
  <si>
    <t>令和7年度 市道5519号線外道路側溝事業測量設計委託</t>
  </si>
  <si>
    <t>2025/06/17 13:30</t>
  </si>
  <si>
    <t>令和7年度 市道騎1693号線道路改良事業設計委託（国補）</t>
  </si>
  <si>
    <t>2025/06/17 13:26</t>
  </si>
  <si>
    <t>令和7年度 往還北・住吉用排水路改修事業測量設計委託</t>
  </si>
  <si>
    <t>2025/06/02 13:53</t>
  </si>
  <si>
    <t>令和7年度 睦町二丁目外地内石綿セメント管布設替工事実施設計委託</t>
  </si>
  <si>
    <t>2025/06/02 13:50</t>
  </si>
  <si>
    <t>令和7年度 大越外地内石綿セメント管布設替工事実施設計委託</t>
  </si>
  <si>
    <t>2025/06/02 13:44</t>
  </si>
  <si>
    <t>株式会社サギウチコンサルタント 本店</t>
  </si>
  <si>
    <t>令和7年度 星子沼公園改修工事設計業務委託</t>
  </si>
  <si>
    <t>2025/06/02 13:41</t>
  </si>
  <si>
    <t>株式会社坂田測量設計事務所 加須支店</t>
  </si>
  <si>
    <t>令和7年度 鴻茎外地内石綿セメント管布設替工事実施設計委託</t>
  </si>
  <si>
    <t>2025/05/19 14:23</t>
  </si>
  <si>
    <t>令和7年度 柳生外地内石綿セメント管布設替工事実施設計委託</t>
  </si>
  <si>
    <t>2025/05/19 14:11</t>
  </si>
  <si>
    <t>令和7年度 大門町外地内石綿セメント管布設替工事実施設計委託</t>
  </si>
  <si>
    <t>2025/05/19 14:08</t>
  </si>
  <si>
    <t>令和7年度 北川辺浄水場監視制御設備等更新工事実施設計委託</t>
  </si>
  <si>
    <t>2025/05/19 14:04</t>
  </si>
  <si>
    <t>令和7年度 市道大2051号線溢水対策調査測量業務委託</t>
  </si>
  <si>
    <t>2025/05/19 14:01</t>
  </si>
  <si>
    <t>令和7年度 ごみ焼却施設基幹的設備改良工事に係る基本設計等作成業務委託（国補）</t>
  </si>
  <si>
    <t>2025/04/25 14:00</t>
  </si>
  <si>
    <t>令和7年度 旗井地内軌道下配水管布設工事実施設計委託</t>
  </si>
  <si>
    <t>2025/04/25 13:57</t>
  </si>
  <si>
    <t>令和7年度 加須市上水道洗管作業業務委託</t>
  </si>
  <si>
    <t>2025/04/25 13:53</t>
  </si>
  <si>
    <t>フジ地中情報株式会社 東京支店</t>
  </si>
  <si>
    <t>令和7年度 環境浄化センター水質及び下水汚泥分析委託【債務】</t>
  </si>
  <si>
    <t>2025/02/20 13:12</t>
  </si>
  <si>
    <t>埼玉ゴム工業株式会社 本店</t>
  </si>
  <si>
    <t>令和7年度 加須市水質検査委託【債務】</t>
  </si>
  <si>
    <t>2025/02/20 13:09</t>
  </si>
  <si>
    <t>株式会社総合環境分析 埼玉営業所</t>
  </si>
  <si>
    <t>令和6年度 川面橋架換工事に伴う配水管布設替工事実施設計委託</t>
  </si>
  <si>
    <t>2024/12/10 13:55</t>
  </si>
  <si>
    <t>令和6年度 南八ツ田用排水路改修測量設計委託【R6.9補】</t>
  </si>
  <si>
    <t>2024/11/21 13:28</t>
  </si>
  <si>
    <t>令和6年度 上寺前東正伝木用排水路改修測量設計委託【R6.9補】</t>
  </si>
  <si>
    <t>2024/11/21 13:25</t>
  </si>
  <si>
    <t>令和6年度 嵯峨柳町休城用排水路改修測量設計委託【R6.9補】</t>
  </si>
  <si>
    <t>2024/11/21 13:22</t>
  </si>
  <si>
    <t>令和6年度 加9021号橋ほか1橋修繕設計委託（国補）</t>
  </si>
  <si>
    <t>2024/09/13 13:31</t>
  </si>
  <si>
    <t>令和6年度 宮ノ下用排水路改修測量設計委託</t>
  </si>
  <si>
    <t>2024/09/13 13:26</t>
  </si>
  <si>
    <t>令和6年度 飯積地内配水管布設工事実施設計委託</t>
  </si>
  <si>
    <t>2024/08/29 13:50</t>
  </si>
  <si>
    <t>令和6年度 今鉾地内配水管布設工事実施設計委託</t>
  </si>
  <si>
    <t>2024/08/29 13:41</t>
  </si>
  <si>
    <t>令和6年度 中樋遣川地内配水管布設工事実施設計委託</t>
  </si>
  <si>
    <t>2024/08/29 13:37</t>
  </si>
  <si>
    <t>令和6年度 加須クリーンセンター長寿命化総合計画策定等業務委託</t>
  </si>
  <si>
    <t>2024/08/01 14:00</t>
  </si>
  <si>
    <t>令和6年度 上種足用排水路改修事業設計委託</t>
  </si>
  <si>
    <t>2024/08/01 13:55</t>
  </si>
  <si>
    <t>令和6年度 琴寄ほか地内配管布設工事実施設計委託</t>
  </si>
  <si>
    <t>2024/08/01 13:50</t>
  </si>
  <si>
    <t>令和6年度 古川一丁目外地内配水管布設工事実施設計委託</t>
  </si>
  <si>
    <t>2024/08/01 13:45</t>
  </si>
  <si>
    <t>令和6年度 光明寺防火水槽撤去工事設計委託</t>
  </si>
  <si>
    <t>2024/07/12 13:58</t>
  </si>
  <si>
    <t>令和6年度 河川等水質検査業務委託</t>
  </si>
  <si>
    <t>2024/07/12 13:53</t>
  </si>
  <si>
    <t>令和6年度 高台排水路改修事業に伴う調査測量設計委託（国補）（県補）</t>
  </si>
  <si>
    <t>2024/07/12 13:48</t>
  </si>
  <si>
    <t>令和6年度 市道騎3754号線側溝整備事業設計委託</t>
  </si>
  <si>
    <t>令和6年度 加須市橋りょう長寿命化修繕計画更新業務委託</t>
  </si>
  <si>
    <t>2024/06/27 14:22</t>
  </si>
  <si>
    <t>令和6年度 諏訪二丁目ほか地内石綿セメント管布設替工事実施設計委託</t>
  </si>
  <si>
    <t>2024/06/27 14:19</t>
  </si>
  <si>
    <t>令和6年度 市道241号線舗装修繕実施設計業務委託【R5.12補】</t>
  </si>
  <si>
    <t>2024/06/27 14:14</t>
  </si>
  <si>
    <t>令和6年度 市道大4232号線道路改良工事詳細設計業務委託</t>
  </si>
  <si>
    <t>2024/06/27 14:09</t>
  </si>
  <si>
    <t>令和6年度 市道116号線通学路安全対策測量設計業務委託</t>
  </si>
  <si>
    <t>2024/06/27 14:00</t>
  </si>
  <si>
    <t>令和6年度 ダイオキシン類環境測定業務委託</t>
  </si>
  <si>
    <t>2024/06/13 14:05</t>
  </si>
  <si>
    <t>令和6年度 加須市公共下水道事業計画変更図書作成委託</t>
  </si>
  <si>
    <t>2024/06/13 14:01</t>
  </si>
  <si>
    <t>令和6年度 加須市上水道洗管作業業務委託</t>
  </si>
  <si>
    <t>2024/06/13 13:54</t>
  </si>
  <si>
    <t>令和6年度 大越地内石綿セメント管布設替工事実施設計委託</t>
  </si>
  <si>
    <t>令和6年度 上高柳外地内配水管布設工事実施設計委託</t>
  </si>
  <si>
    <t>令和6年度 第14号雨水幹線改修測量設計委託</t>
  </si>
  <si>
    <t>2024/05/16 14:00</t>
  </si>
  <si>
    <t>令和6年度 下川面用排水路改修測量設計委託</t>
  </si>
  <si>
    <t>2024/05/16 13:57</t>
  </si>
  <si>
    <t>令和6年度 下樋遣川外地内石綿セメント管布設替工事実施設計委託</t>
  </si>
  <si>
    <t>2024/05/16 13:53</t>
  </si>
  <si>
    <t>令和6年度 町屋新田外地内配水管布設工事実施設計委託</t>
  </si>
  <si>
    <t>2024/05/16 13:46</t>
  </si>
  <si>
    <t>令和6年度 花崎北一丁目外地内軌道下配水管布設工事実施設計委託</t>
  </si>
  <si>
    <t>2024/05/16 13:43</t>
  </si>
  <si>
    <t>令和6年度 往還北・住吉用排水路改修事業測量設計委託</t>
  </si>
  <si>
    <t>2024/04/25 13:50</t>
  </si>
  <si>
    <t>令和6年度 大利根浄水場監視制御設備等更新工事実施設計委託</t>
  </si>
  <si>
    <t>2024/04/25 13:46</t>
  </si>
  <si>
    <t>本庄市</t>
  </si>
  <si>
    <t>公共下水道汚水管渠詳細設計業務委託（田中処理区公共下水道接続事業関連）</t>
  </si>
  <si>
    <t>2026/04/10 09:28</t>
  </si>
  <si>
    <t>本庄市 企画財政部 財政課</t>
  </si>
  <si>
    <t>株式会社関東工社 本庄出張所</t>
  </si>
  <si>
    <t>下真下受水場次亜注入設備更新工事実施設計業務委託</t>
  </si>
  <si>
    <t>2026/03/12 11:46</t>
  </si>
  <si>
    <t>第二浄水場管理棟基本設計・詳細設計及び第一着水井実施設計業務委託</t>
  </si>
  <si>
    <t>2026/03/12 10:45</t>
  </si>
  <si>
    <t>送水管布設替基本設計及び導入可能性調査業務委託（管路ＤＢ）</t>
  </si>
  <si>
    <t>2026/03/12 10:26</t>
  </si>
  <si>
    <t>マンホールトイレシステム実施設計業務委託（本庄市立本庄南小学校）</t>
  </si>
  <si>
    <t>2025/11/11 11:31</t>
  </si>
  <si>
    <t>公共下水道小山川左岸第九排水区雨水詳細設計業務委託</t>
  </si>
  <si>
    <t>2025/10/14 10:21</t>
  </si>
  <si>
    <t>2025/10/14 09:50</t>
  </si>
  <si>
    <t>第一浄水場無停電電源装置ほか更新実施設計業務委託</t>
  </si>
  <si>
    <t>2025/10/14 09:20</t>
  </si>
  <si>
    <t>本庄市水道事業応急給水マニュアル策定業務委託</t>
  </si>
  <si>
    <t>2025/09/18 09:50</t>
  </si>
  <si>
    <t>上水道配水管布設替詳細設計業務委託（銀座工区ほか）</t>
  </si>
  <si>
    <t>2025/09/18 09:31</t>
  </si>
  <si>
    <t>本庄市道路標識詳細点検業務委託</t>
  </si>
  <si>
    <t>2025/08/29 09:28</t>
  </si>
  <si>
    <t>本庄市街路樹維持管理指針作成業務委託</t>
  </si>
  <si>
    <t>2025/08/06 09:04</t>
  </si>
  <si>
    <t>本庄市庁舎東側用地駐車場ほか基本設計業務委託</t>
  </si>
  <si>
    <t>2025/08/04 10:25</t>
  </si>
  <si>
    <t>第一浄水場配水流量計・圧力計及び高柳配水場流量計更新実施設計業務委託</t>
  </si>
  <si>
    <t>2025/08/04 09:47</t>
  </si>
  <si>
    <t>日の出配水モニター更新実施設計業務委託</t>
  </si>
  <si>
    <t>2025/08/04 09:28</t>
  </si>
  <si>
    <t>本庄市共和公民館跡地施設基本計画策定業務委託</t>
  </si>
  <si>
    <t>2025/07/31 09:12</t>
  </si>
  <si>
    <t>宥勝寺周辺機能補償道路等整備検討業務委託</t>
  </si>
  <si>
    <t>2025/07/22 10:37</t>
  </si>
  <si>
    <t>梅橋ほか橋梁補修設計業務委託</t>
  </si>
  <si>
    <t>2025/07/22 10:16</t>
  </si>
  <si>
    <t>市道第４－２６２号線擁壁修繕詳細設計業務委託</t>
  </si>
  <si>
    <t>2025/07/22 09:47</t>
  </si>
  <si>
    <t>第二浄水場土木施設等点検業務委託</t>
  </si>
  <si>
    <t>2025/07/22 09:27</t>
  </si>
  <si>
    <t>本庄市雨水管理総合計画（雨水管理方針）策定業務委託</t>
  </si>
  <si>
    <t>2025/07/01 09:09</t>
  </si>
  <si>
    <t>市道第３１５１号線道路概略設計業務委託</t>
  </si>
  <si>
    <t>2025/06/24 09:43</t>
  </si>
  <si>
    <t>2025/06/16 09:23</t>
  </si>
  <si>
    <t>市道第８２８８号線道路詳細設計業務委託</t>
  </si>
  <si>
    <t>2025/06/04 09:45</t>
  </si>
  <si>
    <t>市道第１－１４８号線ほか道路概略設計業務委託</t>
  </si>
  <si>
    <t>2025/06/04 09:24</t>
  </si>
  <si>
    <t>本庄総合公園新規整備区域基本設計業務委託</t>
  </si>
  <si>
    <t>2025/05/22 11:15</t>
  </si>
  <si>
    <t>株式会社森緑地設計事務所 埼玉事務所</t>
  </si>
  <si>
    <t>防火水槽新設工事設計業務委託（下仁手地内）</t>
  </si>
  <si>
    <t>2025/05/22 10:46</t>
  </si>
  <si>
    <t>防火水槽新設工事設計業務委託（児玉町上真下地内）</t>
  </si>
  <si>
    <t>2025/05/22 10:06</t>
  </si>
  <si>
    <t>児玉地区水路修繕設計業務委託</t>
  </si>
  <si>
    <t>2025/03/26 09:23</t>
  </si>
  <si>
    <t>都島浄水場耐震診断見直し業務委託</t>
  </si>
  <si>
    <t>2025/03/26 09:09</t>
  </si>
  <si>
    <t>上水道仮設配水管布設ほか詳細設計業務委託（女堀川河川改修関連・共和橋）</t>
  </si>
  <si>
    <t>2025/01/30 10:29</t>
  </si>
  <si>
    <t>市道第130号線舗装修繕調査業務委託</t>
  </si>
  <si>
    <t>2024/12/03 09:09</t>
  </si>
  <si>
    <t>市道第137号線外舗装修繕設計業務委託</t>
  </si>
  <si>
    <t>2024/11/12 10:27</t>
  </si>
  <si>
    <t>上水道配水管外布設替詳細設計業務委託（児玉町秋山工区外）</t>
  </si>
  <si>
    <t>2024/11/12 09:30</t>
  </si>
  <si>
    <t>本庄駅南口駅前広場改築詳細設計業務委託</t>
  </si>
  <si>
    <t>2024/10/24 09:27</t>
  </si>
  <si>
    <t>下真下受水場No.5送水ポンプ更新実施設計業務委託</t>
  </si>
  <si>
    <t>2024/10/17 13:11</t>
  </si>
  <si>
    <t>水管橋等点検業務委託</t>
  </si>
  <si>
    <t>2024/10/11 09:27</t>
  </si>
  <si>
    <t>本庄市農業振興地域整備計画見直し業務委託</t>
  </si>
  <si>
    <t>株式会社アイコンサルタント 本店</t>
  </si>
  <si>
    <t>高柳配水場緊急遮断弁更新工事実施設計業務委託</t>
  </si>
  <si>
    <t>2024/08/30 10:00</t>
  </si>
  <si>
    <t>間瀬増圧ポンプ場増圧ユニット更新実施設計業務委託</t>
  </si>
  <si>
    <t>2024/08/30 09:40</t>
  </si>
  <si>
    <t>児玉中央監視設備更新詳細設計業務委託</t>
  </si>
  <si>
    <t>2024/08/29 11:51</t>
  </si>
  <si>
    <t>飯倉地区水路護岸築造実施設計業務委託</t>
  </si>
  <si>
    <t>2024/08/29 09:27</t>
  </si>
  <si>
    <t>本庄市児玉文化会館セルディ施設整備水準策定業務</t>
  </si>
  <si>
    <t>2024/08/08 09:06</t>
  </si>
  <si>
    <t>2024/08/06 09:20</t>
  </si>
  <si>
    <t>児玉駅周辺まちづくり推進拠点検討業務委託</t>
  </si>
  <si>
    <t>2024/07/19 09:36</t>
  </si>
  <si>
    <t>本庄駅北口周辺まちなか道路空間等利活用検討業務委託</t>
  </si>
  <si>
    <t>2024/07/19 09:14</t>
  </si>
  <si>
    <t>本庄市営住宅長寿命化計画改定業務委託</t>
  </si>
  <si>
    <t>2024/07/17 13:48</t>
  </si>
  <si>
    <t>防火水槽新設工事設計業務委託（児玉町小平地内）</t>
  </si>
  <si>
    <t>2024/07/17 13:27</t>
  </si>
  <si>
    <t>きたつづけ橋補修設計業務委託</t>
  </si>
  <si>
    <t>2024/07/17 11:12</t>
  </si>
  <si>
    <t>管路施設耐震詳細診断業務委託（第六号汚水幹線外）</t>
  </si>
  <si>
    <t>2024/07/17 10:51</t>
  </si>
  <si>
    <t>西小平系配水場・ポンプ場土木施設等点検業務委託</t>
  </si>
  <si>
    <t>2024/07/11 09:45</t>
  </si>
  <si>
    <t>市道第5-7号線外道路詳細設計業務委託</t>
  </si>
  <si>
    <t>2024/07/05 11:07</t>
  </si>
  <si>
    <t>宥勝寺周辺土地区画整理事業検討業務委託</t>
  </si>
  <si>
    <t>2024/06/27 11:10</t>
  </si>
  <si>
    <t>防火水槽新設工事設計業務委託（田中地内）</t>
  </si>
  <si>
    <t>2024/06/27 10:27</t>
  </si>
  <si>
    <t>駅前通り線（児玉）（市道2級1号線）電線共同溝及び道路詳細設計業務委託</t>
  </si>
  <si>
    <t>2024/06/27 09:26</t>
  </si>
  <si>
    <t>本庄市役所本庁東側用地等利活用計画策定支援業務委託</t>
  </si>
  <si>
    <t>2024/06/19 09:05</t>
  </si>
  <si>
    <t>公共下水道汚水管渠詳細設計業務委託（小島工区）</t>
  </si>
  <si>
    <t>2024/05/30 09:51</t>
  </si>
  <si>
    <t>本庄市公共下水道事業（汚水）全体計画修正外業務委託</t>
  </si>
  <si>
    <t>2024/05/10 09:43</t>
  </si>
  <si>
    <t>本庄市道の駅基本構想策定業務委託</t>
  </si>
  <si>
    <t>2024/04/25 09:24</t>
  </si>
  <si>
    <t>東松山市</t>
  </si>
  <si>
    <t>西本宿不燃物等埋立地浸出水処理施設中長期修繕計画策定業務</t>
  </si>
  <si>
    <t>2025/09/19 09:26</t>
  </si>
  <si>
    <t>東松山市 政策財政部 契約検査課</t>
  </si>
  <si>
    <t>株式会社東和テクノロジー 東京支店</t>
  </si>
  <si>
    <t>Ｒ７橋梁点検調査業務</t>
  </si>
  <si>
    <t>2025/09/19 09:15</t>
  </si>
  <si>
    <t>Ｒ７水管橋点検業務</t>
  </si>
  <si>
    <t>2025/08/21 09:42</t>
  </si>
  <si>
    <t>株式会社大輝 埼玉支店</t>
  </si>
  <si>
    <t>Ｒ７水運用見直し基礎調査業務</t>
  </si>
  <si>
    <t>2025/08/01 10:00</t>
  </si>
  <si>
    <t>Ｒ７新江川第一ポンプ場圧送管詳細設計業務</t>
  </si>
  <si>
    <t>2025/07/18 09:40</t>
  </si>
  <si>
    <t>2025/07/18 09:16</t>
  </si>
  <si>
    <t>Ｒ７道路照明灯点検業務</t>
  </si>
  <si>
    <t>2025/07/04 09:31</t>
  </si>
  <si>
    <t>Ｒ６松の木橋（旗立台）補修・耐震補強設計業務</t>
  </si>
  <si>
    <t>2025/07/04 09:27</t>
  </si>
  <si>
    <t>Ｒ７駅前西通線（箭弓町二丁目）道路・電線共同溝詳細設計業務</t>
  </si>
  <si>
    <t>2025/06/13 09:01</t>
  </si>
  <si>
    <t>Ｒ７路面下空洞化調査業務</t>
  </si>
  <si>
    <t>2025/05/23 10:21</t>
  </si>
  <si>
    <t>Ｒ６ ６－４号橋（上野本）補修設計業務</t>
  </si>
  <si>
    <t>2025/04/25 09:57</t>
  </si>
  <si>
    <t>Ｒ６高坂駅西口駅前広場歩道橋（元宿一丁目）補修設計業務</t>
  </si>
  <si>
    <t>2025/04/25 09:51</t>
  </si>
  <si>
    <t>Ｒ６宿浦橋（石橋）補修設計業務</t>
  </si>
  <si>
    <t>2025/04/25 09:46</t>
  </si>
  <si>
    <t>Ｒ７市道第００７２号線（高坂五丁目ほか）舗装構造調査業務</t>
  </si>
  <si>
    <t>2025/04/16 09:36</t>
  </si>
  <si>
    <t>Ｒ７ ５－１６号橋水管橋ほか（高坂一丁目ほか）実施設計業務</t>
  </si>
  <si>
    <t>2025/04/16 09:28</t>
  </si>
  <si>
    <t>株式会社日本水工コンサルタント 東松山営業所</t>
  </si>
  <si>
    <t>Ｒ６橋梁点検調査業務</t>
  </si>
  <si>
    <t>2024/09/25 09:56</t>
  </si>
  <si>
    <t>Ｒ６農業用ため池基本計画策定業務</t>
  </si>
  <si>
    <t>2024/08/29 16:04</t>
  </si>
  <si>
    <t>Ｒ６宗門橋（岩殿）補修設計業務</t>
  </si>
  <si>
    <t>2024/07/23 10:00</t>
  </si>
  <si>
    <t>Ｒ６道路照明灯点検業務</t>
  </si>
  <si>
    <t>2024/07/09 10:01</t>
  </si>
  <si>
    <t>Ｒ６配水管布設実施設計業務</t>
  </si>
  <si>
    <t>2024/07/09 09:20</t>
  </si>
  <si>
    <t>Ｒ６水管橋点検業務</t>
  </si>
  <si>
    <t>2024/05/28 09:10</t>
  </si>
  <si>
    <t>Ｒ６高坂駅東口第一地区清算金決定通知書等作成業務</t>
  </si>
  <si>
    <t>2024/05/10 09:11</t>
  </si>
  <si>
    <t>Ｒ６白山沼橋水管橋（白山台ほか）架替実施設計業務</t>
  </si>
  <si>
    <t>2024/04/11 09:21</t>
  </si>
  <si>
    <t>春日部市</t>
  </si>
  <si>
    <t>公共下水道土井排水区外２浸水被害軽減対策検討業務委託</t>
  </si>
  <si>
    <t>2026/05/15 13:20</t>
  </si>
  <si>
    <t>春日部市 総務部 契約課</t>
  </si>
  <si>
    <t>公共下水道管路施設耐震診断調査（R7）業務委託</t>
  </si>
  <si>
    <t>2026/01/22 10:06</t>
  </si>
  <si>
    <t>R7重給管緑町線（2-35）設計業務委託</t>
  </si>
  <si>
    <t>2025/10/28 09:09</t>
  </si>
  <si>
    <t>春日部市 上下水道部 経営総務課</t>
  </si>
  <si>
    <t>新日本設計株式会社 春日部営業所</t>
  </si>
  <si>
    <t>公共下水道汚水管埋設実施設計（R7）業務委託</t>
  </si>
  <si>
    <t>2025/09/03 11:08</t>
  </si>
  <si>
    <t>株式会社東京設計事務所 春日部事務所</t>
  </si>
  <si>
    <t>公共下水道管路施設地震対策実施設計（R７）業務委託</t>
  </si>
  <si>
    <t>2025/09/03 10:58</t>
  </si>
  <si>
    <t>サンコーコンサルタント株式会社 春日部営業所</t>
  </si>
  <si>
    <t>公共下水道草刈場幹線実施設計（R7）業務委託</t>
  </si>
  <si>
    <t>2025/09/03 10:51</t>
  </si>
  <si>
    <t>めがね橋補修設計等業務委託</t>
  </si>
  <si>
    <t>2025/09/03 10:28</t>
  </si>
  <si>
    <t>ピーシー技研株式会社 春日部営業所</t>
  </si>
  <si>
    <t>樹木検査業務委託</t>
  </si>
  <si>
    <t>2025/09/03 10:15</t>
  </si>
  <si>
    <t>R7既設防護管内配水管更新（国道16号）設計業務委託</t>
  </si>
  <si>
    <t>2025/07/28 09:34</t>
  </si>
  <si>
    <t>R7橋梁添架管（A21号橋）設計業務委託</t>
  </si>
  <si>
    <t>2025/07/28 09:25</t>
  </si>
  <si>
    <t>共和コンサルタント株式会社 春日部営業所</t>
  </si>
  <si>
    <t>公共下水道土井ポンプ場修正詳細設計業務委託</t>
  </si>
  <si>
    <t>2025/07/25 11:24</t>
  </si>
  <si>
    <t>河川施設調査（Ｒ７）業務委託</t>
  </si>
  <si>
    <t>2025/07/25 11:11</t>
  </si>
  <si>
    <t>R7基幹重給管備後東・藤塚線（2-19）基本設計業務委託</t>
  </si>
  <si>
    <t>2025/06/20 09:19</t>
  </si>
  <si>
    <t>R7都計道中央通り線設計業務委託</t>
  </si>
  <si>
    <t>2025/06/20 09:10</t>
  </si>
  <si>
    <t>株式会社コーセツコンサルタント 春日部事務所</t>
  </si>
  <si>
    <t>西部浄水場耐水化実施設計業務委託</t>
  </si>
  <si>
    <t>2025/06/06 09:08</t>
  </si>
  <si>
    <t>株式会社東洋設計事務所 春日部出張所</t>
  </si>
  <si>
    <t>令和７年度道路橋定期点検（Ｒ６分）業務委託</t>
  </si>
  <si>
    <t>2025/06/04 10:51</t>
  </si>
  <si>
    <t>令和7年度道路橋定期点検（その2）業務委託</t>
  </si>
  <si>
    <t>2025/06/04 10:41</t>
  </si>
  <si>
    <t>キタイ設計株式会社 春日部事務所</t>
  </si>
  <si>
    <t>令和７年度道路橋定期点検（その１）業務委託</t>
  </si>
  <si>
    <t>2025/06/04 10:25</t>
  </si>
  <si>
    <t>株式会社エース 春日部営業所</t>
  </si>
  <si>
    <t>Ｒ７橋梁添架管（東埼玉道路）設計業務委託</t>
  </si>
  <si>
    <t>2025/05/28 16:10</t>
  </si>
  <si>
    <t>倉松川逆サイホン部除塵機設備補修工事設計業務委託</t>
  </si>
  <si>
    <t>2025/05/21 16:13</t>
  </si>
  <si>
    <t>赤沼・銚子口地区農林調整資料等修正業務委託</t>
  </si>
  <si>
    <t>2025/05/09 10:35</t>
  </si>
  <si>
    <t>公共下水道雨水出水浸水想定区域検討（R7）業務委託</t>
  </si>
  <si>
    <t>2025/05/09 10:22</t>
  </si>
  <si>
    <t>都市計画道路東埼玉道路連絡線配水管設計業務委託</t>
  </si>
  <si>
    <t>2024/09/05 16:06</t>
  </si>
  <si>
    <t>春日部駅東西連絡道路予備設計業務委託</t>
  </si>
  <si>
    <t>2024/08/20 10:28</t>
  </si>
  <si>
    <t>埼玉コンサルタント株式会社 春日部支社</t>
  </si>
  <si>
    <t>道路橋定期点検（その1）業務委託</t>
  </si>
  <si>
    <t>2024/07/23 10:24</t>
  </si>
  <si>
    <t>ジーアンドエスエンジニアリング株式会社 埼玉東部営業所</t>
  </si>
  <si>
    <t>水角排水機場耐震詳細設計業務委託</t>
  </si>
  <si>
    <t>2024/07/23 10:12</t>
  </si>
  <si>
    <t>永沼橋（水管橋）配水管更新設計業務委託</t>
  </si>
  <si>
    <t>2024/07/23 09:17</t>
  </si>
  <si>
    <t>西部浄水場耐水化基本設計業務委託</t>
  </si>
  <si>
    <t>2024/06/19 10:20</t>
  </si>
  <si>
    <t>市道8-202号線外1路線配水管更新設計業務委託</t>
  </si>
  <si>
    <t>2024/06/19 10:06</t>
  </si>
  <si>
    <t>株式会社関東工社 春日部出張所</t>
  </si>
  <si>
    <t>令和6年度道路調査設計業務委託</t>
  </si>
  <si>
    <t>2024/06/18 11:18</t>
  </si>
  <si>
    <t>（仮称）隼人堀川渡架橋詳細設計業務委託</t>
  </si>
  <si>
    <t>2024/06/18 10:46</t>
  </si>
  <si>
    <t>2024/06/18 10:44</t>
  </si>
  <si>
    <t>市道8-321号線外道路予備設計業務委託</t>
  </si>
  <si>
    <t>2024/06/18 10:38</t>
  </si>
  <si>
    <t>株式会社ジェーエステック 春日部支社</t>
  </si>
  <si>
    <t>公共下水道管路施設地震対策実施設計（R6）業務委託</t>
  </si>
  <si>
    <t>2024/06/18 10:31</t>
  </si>
  <si>
    <t>株式会社日本設計コンサルタント 春日部営業所</t>
  </si>
  <si>
    <t>西部浄水場受変電設備更新工事施工監理業務委託</t>
  </si>
  <si>
    <t>2024/06/05 10:04</t>
  </si>
  <si>
    <t>１０街区造成詳細設計業務委託</t>
  </si>
  <si>
    <t>2024/05/29 14:17</t>
  </si>
  <si>
    <t>中央通り線R6道路詳細設計業務委託</t>
  </si>
  <si>
    <t>2024/05/29 13:55</t>
  </si>
  <si>
    <t>道路橋定期点検（その3）業務委託</t>
  </si>
  <si>
    <t>2024/05/29 11:40</t>
  </si>
  <si>
    <t>道路橋定期点検（その2）業務委託</t>
  </si>
  <si>
    <t>2024/05/29 11:30</t>
  </si>
  <si>
    <t>春日部大橋橋梁添架管更新工事設計業務委託</t>
  </si>
  <si>
    <t>2024/05/23 09:06</t>
  </si>
  <si>
    <t>公共下水道草刈場幹線実施設計業務委託</t>
  </si>
  <si>
    <t>2024/05/14 10:28</t>
  </si>
  <si>
    <t>狭山市</t>
  </si>
  <si>
    <t>市道B第285号線道路概略設計業務委託</t>
  </si>
  <si>
    <t>2026/05/08 10:20</t>
  </si>
  <si>
    <t>狭山市 総務部 契約検査課</t>
  </si>
  <si>
    <t>山晃測量設計株式会社 本店</t>
  </si>
  <si>
    <t>狭山市稲荷山環境センター維持管理に係る発注仕様書作成業務委託</t>
  </si>
  <si>
    <t>2026/04/17 11:30</t>
  </si>
  <si>
    <t>狭山市一般廃棄物最終処分場分析業務委託</t>
  </si>
  <si>
    <t>2026/04/17 11:20</t>
  </si>
  <si>
    <t>株式会社環境テクノ 本店</t>
  </si>
  <si>
    <t>狭山市稲荷山環境センター作業環境測定業務委託</t>
  </si>
  <si>
    <t>2026/04/17 11:11</t>
  </si>
  <si>
    <t>狭山市稲荷山環境センター分析業務委託</t>
  </si>
  <si>
    <t>2026/04/17 11:01</t>
  </si>
  <si>
    <t>下水道管路面下空洞調査業務委託</t>
  </si>
  <si>
    <t>2026/04/15 14:16</t>
  </si>
  <si>
    <t>狭山市 上下水道部 経営課</t>
  </si>
  <si>
    <t>市道幹第５４号線舗装現況調査業務委託</t>
  </si>
  <si>
    <t>2025/12/08 10:11</t>
  </si>
  <si>
    <t>東亜道路工業株式会社 北関東支店</t>
  </si>
  <si>
    <t>市道幹第１５号線沿い水路雨水対策詳細設計業務委託</t>
  </si>
  <si>
    <t>2025/12/08 10:02</t>
  </si>
  <si>
    <t>株式会社ファースト設計 本店</t>
  </si>
  <si>
    <t>狭山市内道路交通騒音面的評価業務委託</t>
  </si>
  <si>
    <t>2025/11/10 10:00</t>
  </si>
  <si>
    <t>下水道施設調査検討業務委託</t>
  </si>
  <si>
    <t>2025/10/15 10:10</t>
  </si>
  <si>
    <t>流域関連公共下水道接続点水質水量調査業務委託</t>
  </si>
  <si>
    <t>2025/10/15 10:01</t>
  </si>
  <si>
    <t>柏原浄水場濃縮槽等更新工事実施設計業務委託</t>
  </si>
  <si>
    <t>2025/09/04 10:00</t>
  </si>
  <si>
    <t>下川原雨水幹線樋門改築設計業務委託</t>
  </si>
  <si>
    <t>2025/08/29 10:18</t>
  </si>
  <si>
    <t>雨水管理方針策定業務委託</t>
  </si>
  <si>
    <t>2025/08/28 10:02</t>
  </si>
  <si>
    <t>生活排水処理施設整備構想（改定）業務委託</t>
  </si>
  <si>
    <t>2025/08/22 10:10</t>
  </si>
  <si>
    <t>大規模下水道管路特別重点調査計画策定業務委託</t>
  </si>
  <si>
    <t>2025/08/22 10:02</t>
  </si>
  <si>
    <t>管路施設修繕・改築実施設計業務委託（その３）</t>
  </si>
  <si>
    <t>2025/08/18 10:21</t>
  </si>
  <si>
    <t>堀兼浄水場揚水ポンプ更新工事設計業務委託</t>
  </si>
  <si>
    <t>2025/07/25 15:01</t>
  </si>
  <si>
    <t>修繕改築計画策定業務委託（その２）</t>
  </si>
  <si>
    <t>2025/07/14 10:14</t>
  </si>
  <si>
    <t>市道幹第１５号線沿い水路雨水対策基本設計業務委託</t>
  </si>
  <si>
    <t>2025/07/08 10:00</t>
  </si>
  <si>
    <t>笹井配水場電気計装設備等更新工事実施設計業務委託</t>
  </si>
  <si>
    <t>2025/06/25 10:10</t>
  </si>
  <si>
    <t>狭山市循環型社会形成推進地域計画等策定業務委託</t>
  </si>
  <si>
    <t>2025/06/24 10:00</t>
  </si>
  <si>
    <t>入曽駅東口土地区画整理事業 出来形確認測量及び換地処分等業務委託</t>
  </si>
  <si>
    <t>2025/06/17 10:00</t>
  </si>
  <si>
    <t>市道幹第９４号線道路詳細設計業務委託</t>
  </si>
  <si>
    <t>2025/06/12 10:00</t>
  </si>
  <si>
    <t>入間川入曽線にかかる交通量推計等業務委託</t>
  </si>
  <si>
    <t>2025/06/10 10:03</t>
  </si>
  <si>
    <t>特定事業場等排出水水質分析調査業務委託</t>
  </si>
  <si>
    <t>2025/05/23 10:10</t>
  </si>
  <si>
    <t>市道幹第58号線舗装現況調査業務委託</t>
  </si>
  <si>
    <t>2025/05/19 10:32</t>
  </si>
  <si>
    <t>狭山台地区雨水排水検討調査業務委託</t>
  </si>
  <si>
    <t>2025/05/19 10:20</t>
  </si>
  <si>
    <t>下水道総合地震対策耐震診断業務委託（その７）</t>
  </si>
  <si>
    <t>2025/05/19 10:01</t>
  </si>
  <si>
    <t>入曽駅周辺地区交通量調査業務委託</t>
  </si>
  <si>
    <t>2025/05/16 10:20</t>
  </si>
  <si>
    <t>2025/04/18 10:40</t>
  </si>
  <si>
    <t>2025/04/18 10:33</t>
  </si>
  <si>
    <t>2025/04/17 10:40</t>
  </si>
  <si>
    <t>2025/04/17 10:30</t>
  </si>
  <si>
    <t>水質検査業務委託</t>
  </si>
  <si>
    <t>2025/04/16 10:30</t>
  </si>
  <si>
    <t>令和６年度狭山市指定防災井戸水質検査業務委託</t>
  </si>
  <si>
    <t>2025/01/16 10:00</t>
  </si>
  <si>
    <t>株式会社江東微生物研究所 さいたま岩槻営業所</t>
  </si>
  <si>
    <t>狭山市内ダイオキシン類環境調査業務委託</t>
  </si>
  <si>
    <t>2024/12/25 10:00</t>
  </si>
  <si>
    <t>市道Ｂ第２８４号線道路詳細設計業務委託</t>
  </si>
  <si>
    <t>2024/11/07 10:20</t>
  </si>
  <si>
    <t>有限会社宇賀神測量 本店</t>
  </si>
  <si>
    <t>雨水管人孔部改築工事実施設計業務委託</t>
  </si>
  <si>
    <t>2024/10/21 10:00</t>
  </si>
  <si>
    <t>2024/09/27 10:20</t>
  </si>
  <si>
    <t>汚水流量表等作成業務委託</t>
  </si>
  <si>
    <t>2024/07/17 10:10</t>
  </si>
  <si>
    <t>入曽駅周辺整備事業 道路詳細設計等業務委託（修正）</t>
  </si>
  <si>
    <t>2024/07/17 10:00</t>
  </si>
  <si>
    <t>狭山市上下水道のウォーターＰＰＰ導入に伴う基礎調査業務委託</t>
  </si>
  <si>
    <t>2024/06/25 10:10</t>
  </si>
  <si>
    <t>市道幹第73号線（広瀬橋）改修工事詳細設計業務委託</t>
  </si>
  <si>
    <t>2024/06/18 10:00</t>
  </si>
  <si>
    <t>市道幹第４２号線舗装現況調査業務委託</t>
  </si>
  <si>
    <t>2024/06/11 10:00</t>
  </si>
  <si>
    <t>管路施設修繕・改築実施設計業務委託（その２）</t>
  </si>
  <si>
    <t>2024/06/05 10:10</t>
  </si>
  <si>
    <t>土地利用転換（上広瀬西中原地区）に伴う農林協議資料作成業務委託</t>
  </si>
  <si>
    <t>2024/05/08 10:10</t>
  </si>
  <si>
    <t>狭山市立地適正化計画策定業務委託</t>
  </si>
  <si>
    <t>2024/05/07 10:21</t>
  </si>
  <si>
    <t>公共下水道事業認可（変更）業務委託</t>
  </si>
  <si>
    <t>2024/05/07 10:10</t>
  </si>
  <si>
    <t>2024/04/18 10:30</t>
  </si>
  <si>
    <t>2024/04/16 10:10</t>
  </si>
  <si>
    <t>2024/04/16 10:01</t>
  </si>
  <si>
    <t>2024/04/15 11:31</t>
  </si>
  <si>
    <t>2024/04/15 10:02</t>
  </si>
  <si>
    <t>羽生市</t>
  </si>
  <si>
    <t>羽生市水道ビジョン・経営戦略改訂業務</t>
  </si>
  <si>
    <t>2026/04/23 15:14</t>
  </si>
  <si>
    <t>羽生市 企画財務部 契約検査課</t>
  </si>
  <si>
    <t>マンホール蓋交換修繕設計業務</t>
  </si>
  <si>
    <t>2026/04/23 15:10</t>
  </si>
  <si>
    <t>橋梁定期点検業務（第3期-2年目）</t>
  </si>
  <si>
    <t>2025/12/04 10:20</t>
  </si>
  <si>
    <t>市道０１３７号線道路改良事業設計業務</t>
  </si>
  <si>
    <t>2025/11/20 10:22</t>
  </si>
  <si>
    <t>羽生測量設計株式会社 本店</t>
  </si>
  <si>
    <t>配水管布設替工事（その２）設計業務（Ｒ８工事分）</t>
  </si>
  <si>
    <t>2025/11/06 10:43</t>
  </si>
  <si>
    <t>配水管布設替工事（その１）設計業務（Ｒ８工事分）</t>
  </si>
  <si>
    <t>2025/11/06 10:38</t>
  </si>
  <si>
    <t>配水管布設工事（北－１０）設計業務（Ｒ８工事分）</t>
  </si>
  <si>
    <t>2025/10/23 11:00</t>
  </si>
  <si>
    <t>給水管切廻し工事（その２）設計業務（Ｒ８工事分）</t>
  </si>
  <si>
    <t>2025/10/23 10:54</t>
  </si>
  <si>
    <t>株式会社アタル開発 北埼支店</t>
  </si>
  <si>
    <t>配水管切廻し工事（その３）設計業務（Ｒ８工事分）</t>
  </si>
  <si>
    <t>2025/10/23 10:43</t>
  </si>
  <si>
    <t>管路更新計画策定業務</t>
  </si>
  <si>
    <t>2025/09/18 10:20</t>
  </si>
  <si>
    <t>配水管布設工事（その５）設計業務</t>
  </si>
  <si>
    <t>配水管布設工事（その４）設計業務</t>
  </si>
  <si>
    <t>2025/05/15 10:57</t>
  </si>
  <si>
    <t>2025/04/24 11:00</t>
  </si>
  <si>
    <t>側溝新設工事測量設計業務（その７）</t>
  </si>
  <si>
    <t>2024/12/19 10:15</t>
  </si>
  <si>
    <t>配水管布設替工事（その２）設計業務（Ｒ７工事分）</t>
  </si>
  <si>
    <t>2024/11/21 10:50</t>
  </si>
  <si>
    <t>側溝新設工事測量設計業務（その５）</t>
  </si>
  <si>
    <t>2024/11/21 10:33</t>
  </si>
  <si>
    <t>側溝新設工事測量設計業務（その４）</t>
  </si>
  <si>
    <t>2024/11/21 10:26</t>
  </si>
  <si>
    <t>県水受水流量計等更新工事実施設計業務</t>
  </si>
  <si>
    <t>2024/09/12 10:51</t>
  </si>
  <si>
    <t>城沼橋架替予備設計業務</t>
  </si>
  <si>
    <t>2024/09/05 10:18</t>
  </si>
  <si>
    <t>橋梁定期点検業務（第3期-1年目）</t>
  </si>
  <si>
    <t>2024/08/01 10:44</t>
  </si>
  <si>
    <t>配水管等切廻し工事設計業務（Ｒ６、Ｒ７工事分）</t>
  </si>
  <si>
    <t>2024/08/01 10:38</t>
  </si>
  <si>
    <t>配水管切廻し工事（その２）設計業務</t>
  </si>
  <si>
    <t>2024/07/18 11:42</t>
  </si>
  <si>
    <t>歩道整備工事測量設計業務</t>
  </si>
  <si>
    <t>2024/07/04 13:01</t>
  </si>
  <si>
    <t>配水管布設工事（その２）設計業務</t>
  </si>
  <si>
    <t>2024/06/20 11:30</t>
  </si>
  <si>
    <t>第２浄水場ろ過ポンプ等更新工事実施設計業務</t>
  </si>
  <si>
    <t>2024/06/20 11:20</t>
  </si>
  <si>
    <t>羽生中央公園野球場グラウンド改修工事設計業務</t>
  </si>
  <si>
    <t>2024/06/07 10:19</t>
  </si>
  <si>
    <t>浄水場施設更新事業基本計画策定業務</t>
  </si>
  <si>
    <t>2024/06/06 11:52</t>
  </si>
  <si>
    <t>橋梁長寿命化修繕計画策定更新業務</t>
  </si>
  <si>
    <t>2024/06/06 11:44</t>
  </si>
  <si>
    <t>2024/06/06 11:27</t>
  </si>
  <si>
    <t>配水管切廻し工事（その１）設計業務</t>
  </si>
  <si>
    <t>2024/06/06 11:22</t>
  </si>
  <si>
    <t>中岩瀬配水場配水ポンプ修繕工事実施設計業務</t>
  </si>
  <si>
    <t>2024/06/06 11:16</t>
  </si>
  <si>
    <t>第２浄水場無停電電源装置等更新工事実施設計業務</t>
  </si>
  <si>
    <t>2024/06/06 11:08</t>
  </si>
  <si>
    <t>配水管布設工事（その１）設計業務（Ｒ７工事分）</t>
  </si>
  <si>
    <t>2024/06/06 11:04</t>
  </si>
  <si>
    <t>羽生中央公園陸上競技場インフィールド改修工事設計業務</t>
  </si>
  <si>
    <t>配水管布設替工事（その１）設計業務</t>
  </si>
  <si>
    <t>2024/05/16 11:17</t>
  </si>
  <si>
    <t>鴻巣市</t>
  </si>
  <si>
    <t>清算金徴収交付事務業務委託</t>
  </si>
  <si>
    <t>2026/05/12 09:10</t>
  </si>
  <si>
    <t>鴻巣市 総務部 契約検査課</t>
  </si>
  <si>
    <t>昭和株式会社 鴻巣営業所</t>
  </si>
  <si>
    <t>事業場排水水質調査業務委託</t>
  </si>
  <si>
    <t>2026/04/24 09:30</t>
  </si>
  <si>
    <t>水質検査等業務委託</t>
  </si>
  <si>
    <t>2026/03/11 09:00</t>
  </si>
  <si>
    <t>鴻巣市一般廃棄物処理基本計画策定業務委託</t>
  </si>
  <si>
    <t>2026/02/25 11:00</t>
  </si>
  <si>
    <t>公共施設引継図書等作成業務委託</t>
  </si>
  <si>
    <t>2026/02/25 09:01</t>
  </si>
  <si>
    <t>太平洋航業株式会社 鴻巣支店</t>
  </si>
  <si>
    <t>配水管布設替及び撤去設計業務委託</t>
  </si>
  <si>
    <t>2025/11/19 15:40</t>
  </si>
  <si>
    <t>株式会社日本水工コンサルタント 鴻巣営業所</t>
  </si>
  <si>
    <t>自動車騒音常時監視業務委託</t>
  </si>
  <si>
    <t>2025/11/19 11:40</t>
  </si>
  <si>
    <t>ダイオキシン類、環境調査業務委託</t>
  </si>
  <si>
    <t>2025/11/19 11:30</t>
  </si>
  <si>
    <t>ユーロフィン日本環境株式会社 埼玉事業所</t>
  </si>
  <si>
    <t>鴻巣市水道事業配水管路更新計画見直し業務委託</t>
  </si>
  <si>
    <t>2025/11/19 09:30</t>
  </si>
  <si>
    <t>換地処分業務委託</t>
  </si>
  <si>
    <t>2025/11/19 09:20</t>
  </si>
  <si>
    <t>アクセス道路交差点部交通量調査及び交通量解析業務委託</t>
  </si>
  <si>
    <t>2025/09/26 10:10</t>
  </si>
  <si>
    <t>道の駅こうのす建設（土木）工事監理業務委託</t>
  </si>
  <si>
    <t>2025/09/26 10:00</t>
  </si>
  <si>
    <t>流域下水道流入水水質調査業務委託</t>
  </si>
  <si>
    <t>2025/09/10 10:40</t>
  </si>
  <si>
    <t>西部第3排水区大間調整池基本設計業務委託</t>
  </si>
  <si>
    <t>2025/09/10 09:01</t>
  </si>
  <si>
    <t>区画整理登記業務委託</t>
  </si>
  <si>
    <t>2025/08/15 09:15</t>
  </si>
  <si>
    <t>配水管新設及び布設替設計業務委託（その２）</t>
  </si>
  <si>
    <t>2025/07/30 09:15</t>
  </si>
  <si>
    <t>旭工榮株式会社 鴻巣支店</t>
  </si>
  <si>
    <t>郷地橋 補修設計業務委託</t>
  </si>
  <si>
    <t>公共下水道管路施設調査業務委託（健全度評価）</t>
  </si>
  <si>
    <t>2025/07/16 09:02</t>
  </si>
  <si>
    <t>株式会社光エンジニアリング 鴻巣営業所</t>
  </si>
  <si>
    <t>元荒川第13処理分区汚水管渠築造工事設計業務委託（R７）</t>
  </si>
  <si>
    <t>2025/07/03 11:16</t>
  </si>
  <si>
    <t>配水管新設及び布設替設計業務委託</t>
  </si>
  <si>
    <t>2025/07/03 10:45</t>
  </si>
  <si>
    <t>株式会社ワールドリサーチ 鴻巣営業所</t>
  </si>
  <si>
    <t>テレメータ専用回線切替詳細設計業務委託</t>
  </si>
  <si>
    <t>2025/07/03 10:31</t>
  </si>
  <si>
    <t>水管橋点検業務委託（Ｒ７）</t>
  </si>
  <si>
    <t>2025/06/05 10:50</t>
  </si>
  <si>
    <t>滝馬室地区区画道路１号線詳細設計業務委託</t>
  </si>
  <si>
    <t>2025/06/05 10:30</t>
  </si>
  <si>
    <t>鴻巣市生活排水処理基本計画見直し業務委託</t>
  </si>
  <si>
    <t>2025/06/05 10:00</t>
  </si>
  <si>
    <t>水道施設整備基本計画策定業務委託</t>
  </si>
  <si>
    <t>2025/06/05 09:45</t>
  </si>
  <si>
    <t>R7 区画道路築造工事詳細設計業務委託</t>
  </si>
  <si>
    <t>2025/06/05 09:15</t>
  </si>
  <si>
    <t>鴻巣市公共下水道事業等ウォーターPPP導入可能性調査業務委託</t>
  </si>
  <si>
    <t>2025/06/05 09:01</t>
  </si>
  <si>
    <t>「道の駅こうのす」アクセス道路測量設計業務委託</t>
  </si>
  <si>
    <t>2025/05/23 09:45</t>
  </si>
  <si>
    <t>武州測量株式会社 鴻巣支店</t>
  </si>
  <si>
    <t>馬室浄水場NO.1配水池耐震補強設計業務委託</t>
  </si>
  <si>
    <t>2025/05/23 09:01</t>
  </si>
  <si>
    <t>鴻巣市生きもの等モニタリング調査業務委託</t>
  </si>
  <si>
    <t>2025/05/09 10:00</t>
  </si>
  <si>
    <t>事業計画変更及び換地計画作成業務委託</t>
  </si>
  <si>
    <t>2025/05/09 09:01</t>
  </si>
  <si>
    <t>2025/04/24 09:45</t>
  </si>
  <si>
    <t>配水管布設替工事に伴う水管橋基本設計業務委託</t>
  </si>
  <si>
    <t>2025/03/12 09:12</t>
  </si>
  <si>
    <t>株式会社関東工社 鴻巣出張所</t>
  </si>
  <si>
    <t>鴻巣・吹上地域間配水連絡管水管橋詳細設計業務委託</t>
  </si>
  <si>
    <t>2025/03/12 09:01</t>
  </si>
  <si>
    <t>2025/02/26 09:01</t>
  </si>
  <si>
    <t>配水管布設替設計業務委託（その３）</t>
  </si>
  <si>
    <t>2024/11/20 09:41</t>
  </si>
  <si>
    <t>配水管布設替設計業務委託（その２）</t>
  </si>
  <si>
    <t>2024/11/20 09:30</t>
  </si>
  <si>
    <t>株式会社英設計事務所 鴻巣営業所</t>
  </si>
  <si>
    <t>2024/11/06 10:40</t>
  </si>
  <si>
    <t>2024/11/06 10:30</t>
  </si>
  <si>
    <t>配水管新設設計業務委託（その２）</t>
  </si>
  <si>
    <t>2024/11/06 10:10</t>
  </si>
  <si>
    <t>配水管布設替設計業務委託</t>
  </si>
  <si>
    <t>2024/11/06 10:00</t>
  </si>
  <si>
    <t>配水管新設及び布設替設計業務委託（その３）</t>
  </si>
  <si>
    <t>2024/11/06 09:50</t>
  </si>
  <si>
    <t>2024/10/09 09:00</t>
  </si>
  <si>
    <t>JR軌道部推進工事設計業務委託</t>
  </si>
  <si>
    <t>2024/09/26 09:20</t>
  </si>
  <si>
    <t>橋梁定期点検業務委託（R6）</t>
  </si>
  <si>
    <t>2024/09/26 09:10</t>
  </si>
  <si>
    <t>2024/09/11 10:01</t>
  </si>
  <si>
    <t>配水管新設及び布設替設計業務委託（その１）</t>
  </si>
  <si>
    <t>2024/09/11 09:50</t>
  </si>
  <si>
    <t>2024/08/28 09:00</t>
  </si>
  <si>
    <t>ろ過ポンプ盤更新工事設計業務委託</t>
  </si>
  <si>
    <t>2024/08/16 10:30</t>
  </si>
  <si>
    <t>橋梁長寿命化修繕計画更新業務委託</t>
  </si>
  <si>
    <t>2024/08/16 10:10</t>
  </si>
  <si>
    <t>水管橋点検業務委託</t>
  </si>
  <si>
    <t>2024/07/31 09:50</t>
  </si>
  <si>
    <t>元荒川第13処理分区汚水管渠及び元荒川上流第1排水区雨水管渠築造工事設計業務委託（R6）</t>
  </si>
  <si>
    <t>2024/07/31 09:11</t>
  </si>
  <si>
    <t>鴻巣都市計画道路３・４・１１環状線見直し検討業務委託</t>
  </si>
  <si>
    <t>2024/07/17 09:40</t>
  </si>
  <si>
    <t>（仮称）北新宿近隣公園実施設計業務委託</t>
  </si>
  <si>
    <t>2024/07/03 09:21</t>
  </si>
  <si>
    <t>R6 区画道路築造工事詳細設計業務委託</t>
  </si>
  <si>
    <t>2024/07/03 09:10</t>
  </si>
  <si>
    <t>「（仮称）道の駅こうのす」アクセス道路修正設計業務委託</t>
  </si>
  <si>
    <t>2024/06/19 10:00</t>
  </si>
  <si>
    <t>配水管新設設計業務委託</t>
  </si>
  <si>
    <t>2024/06/19 09:50</t>
  </si>
  <si>
    <t>公共下水道都市計画決定及び事業計画変更図書作成業務委託</t>
  </si>
  <si>
    <t>2024/06/19 09:30</t>
  </si>
  <si>
    <t>馬室浄水場及び吹上第二浄水場耐震診断業務委託</t>
  </si>
  <si>
    <t>2024/05/24 09:00</t>
  </si>
  <si>
    <t>2024/05/15 09:40</t>
  </si>
  <si>
    <t>駅南通線 道路詳細設計業務委託</t>
  </si>
  <si>
    <t>2024/05/15 09:00</t>
  </si>
  <si>
    <t>深谷市</t>
  </si>
  <si>
    <t>深谷市水道事業 水源整備設計業務委託</t>
  </si>
  <si>
    <t>2026/01/16 09:49</t>
  </si>
  <si>
    <t>深谷市 総務部 契約検査課</t>
  </si>
  <si>
    <t>川本明戸地区調節池実施設計業務委託（Ｒ７－１）</t>
  </si>
  <si>
    <t>2026/01/16 09:46</t>
  </si>
  <si>
    <t>橋梁定期点検業務委託（Ｒ７ー３）</t>
  </si>
  <si>
    <t>2025/09/05 09:46</t>
  </si>
  <si>
    <t>大堀川詳細設計業務委託（Ｒ７－１）</t>
  </si>
  <si>
    <t>2025/08/27 09:37</t>
  </si>
  <si>
    <t>有限会社渡測 深谷支店</t>
  </si>
  <si>
    <t>深谷市水道事業 前川原配水管設計業務委託</t>
  </si>
  <si>
    <t>2025/07/30 09:45</t>
  </si>
  <si>
    <t>深谷市水道事業 配水管布設替工事実施設計業務委託（Ｒ７－１工区）</t>
  </si>
  <si>
    <t>橋梁定期点検業務委託（Ｒ７－１）</t>
  </si>
  <si>
    <t>2025/07/16 09:28</t>
  </si>
  <si>
    <t>株式会社明友技建 埼玉営業所</t>
  </si>
  <si>
    <t>橋梁定期点検業務委託（Ｒ７－２）</t>
  </si>
  <si>
    <t>2025/07/16 09:24</t>
  </si>
  <si>
    <t>公共下水道管路点検・調査業務委託（Ｒ７－１雨水）</t>
  </si>
  <si>
    <t>2025/06/03 09:32</t>
  </si>
  <si>
    <t>公共下水道管設計業務委託（Ｒ７－２汚水）</t>
  </si>
  <si>
    <t>2025/05/13 10:24</t>
  </si>
  <si>
    <t>共和コンサルタント株式会社 深谷営業所</t>
  </si>
  <si>
    <t>公共下水道管設計業務委託（Ｒ７－１汚水）</t>
  </si>
  <si>
    <t>2025/05/13 10:21</t>
  </si>
  <si>
    <t>公共下水道管設計業務委託（寄居町協定Ｒ７－１汚水）</t>
  </si>
  <si>
    <t>2025/05/13 10:17</t>
  </si>
  <si>
    <t>橋梁定期点検業務委託（Ｒ６－３）</t>
  </si>
  <si>
    <t>2024/08/22 09:16</t>
  </si>
  <si>
    <t>橋梁定期点検業務委託（Ｒ６－１）</t>
  </si>
  <si>
    <t>2024/07/03 09:38</t>
  </si>
  <si>
    <t>橋梁定期点検業務委託（Ｒ６－２）</t>
  </si>
  <si>
    <t>2024/07/03 09:35</t>
  </si>
  <si>
    <t>上尾市</t>
  </si>
  <si>
    <t>排水設備工事完了検査業務（単価契約）</t>
  </si>
  <si>
    <t>2026/04/28 14:42</t>
  </si>
  <si>
    <t>上尾市 総務部 契約検査課</t>
  </si>
  <si>
    <t>株式会社二和 本店</t>
  </si>
  <si>
    <t>上尾市平方スポーツ広場（北側地区）基本計画策定業務</t>
  </si>
  <si>
    <t>2026/04/28 14:30</t>
  </si>
  <si>
    <t>８－１雨水管渠実施設計業務</t>
  </si>
  <si>
    <t>2026/04/28 14:00</t>
  </si>
  <si>
    <t>エス・テー・コンサルタント株式会社 上尾営業所</t>
  </si>
  <si>
    <t>上尾公共下水道事業計画変更・事業認可申請図書等作成業務</t>
  </si>
  <si>
    <t>2026/04/28 13:50</t>
  </si>
  <si>
    <t>株式会社東京設計事務所 上尾事務所</t>
  </si>
  <si>
    <t>道路照明施設詳細設計業務</t>
  </si>
  <si>
    <t>2026/04/28 13:15</t>
  </si>
  <si>
    <t>株式会社コーセツコンサルタント 上尾事務所</t>
  </si>
  <si>
    <t>給水修繕工事積算業務（単価契約）</t>
  </si>
  <si>
    <t>2026/04/28 08:40</t>
  </si>
  <si>
    <t>上尾市大規模下水道管路特別重点調査業務（路面下空洞調査）</t>
  </si>
  <si>
    <t>2026/04/24 14:14</t>
  </si>
  <si>
    <t>（準）上尾中堀川側道 橋梁予備設計業務</t>
  </si>
  <si>
    <t>2026/04/24 11:25</t>
  </si>
  <si>
    <t>にらくぼ公園実施設計業務</t>
  </si>
  <si>
    <t>2026/04/21 11:05</t>
  </si>
  <si>
    <t>株式会社オカマツエンヂニアリング 上尾支店</t>
  </si>
  <si>
    <t>吉田下ポンプ場改築実施設計業務</t>
  </si>
  <si>
    <t>2026/02/24 09:21</t>
  </si>
  <si>
    <t>７－１管路地盤調査業務</t>
  </si>
  <si>
    <t>2026/01/16 09:25</t>
  </si>
  <si>
    <t>生産緑地地区現況調査業務</t>
  </si>
  <si>
    <t>2025/12/05 08:41</t>
  </si>
  <si>
    <t>水道工事設計単価表作成業務</t>
  </si>
  <si>
    <t>2025/10/31 14:41</t>
  </si>
  <si>
    <t>太平中学校外1校石綿含有疑義建材調査業務</t>
  </si>
  <si>
    <t>2025/10/31 10:25</t>
  </si>
  <si>
    <t>マンホール耐震化実施設計業務</t>
  </si>
  <si>
    <t>2025/09/01 11:21</t>
  </si>
  <si>
    <t>東町公園雨水貯留施設測量設計業務</t>
  </si>
  <si>
    <t>2025/07/29 11:24</t>
  </si>
  <si>
    <t>株式会社日本水工コンサルタント 上尾営業所</t>
  </si>
  <si>
    <t>芝川ポンプ場耐震補強実施設計業務</t>
  </si>
  <si>
    <t>2025/07/29 09:13</t>
  </si>
  <si>
    <t>（仮称）平方雨沼公園基本設計業務</t>
  </si>
  <si>
    <t>2025/07/25 09:15</t>
  </si>
  <si>
    <t>７－３５ 橋梁修繕設計業務（無名橋８４）</t>
  </si>
  <si>
    <t>2025/06/24 13:16</t>
  </si>
  <si>
    <t>水管橋（富士見橋）実施設計業務</t>
  </si>
  <si>
    <t>2025/06/24 10:27</t>
  </si>
  <si>
    <t>トーカイテック株式会社 上尾営業所</t>
  </si>
  <si>
    <t>（準）上尾中堀川側道 測量設計業務</t>
  </si>
  <si>
    <t>2025/06/20 15:14</t>
  </si>
  <si>
    <t>上尾市ポンプ場ストックマネジメント計画（第２期）策定業務</t>
  </si>
  <si>
    <t>2025/06/20 13:59</t>
  </si>
  <si>
    <t>上尾市管路ストックマネジメント計画（第２期）策定業務</t>
  </si>
  <si>
    <t>2025/06/20 13:46</t>
  </si>
  <si>
    <t>戸崎公園北側未利用地実施設計業務</t>
  </si>
  <si>
    <t>2025/06/20 09:11</t>
  </si>
  <si>
    <t>上尾市公園施設長寿命化計画更新業務</t>
  </si>
  <si>
    <t>2025/06/20 08:53</t>
  </si>
  <si>
    <t>Ｒ７ 上尾駅西口ペデストリアンデッキ（橋脚部）修繕設計業務</t>
  </si>
  <si>
    <t>2025/05/30 15:41</t>
  </si>
  <si>
    <t>Ｒ７ 富士見小学校前歩道橋修繕設計業務</t>
  </si>
  <si>
    <t>2025/05/30 15:26</t>
  </si>
  <si>
    <t>７－１マンホールトイレ実施設計業務</t>
  </si>
  <si>
    <t>2025/05/27 11:26</t>
  </si>
  <si>
    <t>７－１管渠実施設計業務</t>
  </si>
  <si>
    <t>2025/05/27 11:11</t>
  </si>
  <si>
    <t>上平中学校拡張用用地整備設計業務</t>
  </si>
  <si>
    <t>2025/05/23 11:24</t>
  </si>
  <si>
    <t>株式会社アーバンデザインコンサルタント 埼玉事務所</t>
  </si>
  <si>
    <t>上尾市雨水管理総合計画見直し業務</t>
  </si>
  <si>
    <t>2025/05/23 10:29</t>
  </si>
  <si>
    <t>2025/04/30 14:04</t>
  </si>
  <si>
    <t>７－１７ 路面性状調査（舗装たわみ量測定）業務</t>
  </si>
  <si>
    <t>2025/04/30 13:32</t>
  </si>
  <si>
    <t>上尾都市計画変更図書作成業務</t>
  </si>
  <si>
    <t>2025/04/25 15:43</t>
  </si>
  <si>
    <t>７－１雨水管渠実施設計業務</t>
  </si>
  <si>
    <t>2025/04/25 08:48</t>
  </si>
  <si>
    <t>上尾市公共下水道事業経営戦略改定支援業務</t>
  </si>
  <si>
    <t>2025/04/22 13:16</t>
  </si>
  <si>
    <t>上尾市水道事業ビジョン等改定支援業務</t>
  </si>
  <si>
    <t>2025/02/25 09:34</t>
  </si>
  <si>
    <t>６－２舗装本復旧実施設計業務</t>
  </si>
  <si>
    <t>2024/12/20 09:22</t>
  </si>
  <si>
    <t>2024/10/25 09:38</t>
  </si>
  <si>
    <t>水管橋（岡橋）実施設計業務</t>
  </si>
  <si>
    <t>2024/09/27 10:28</t>
  </si>
  <si>
    <t>株式会社英設計事務所 上尾営業所</t>
  </si>
  <si>
    <t>中妻地内（県道上尾環状線）配水管撤去工事実施設計業務</t>
  </si>
  <si>
    <t>2024/09/27 10:22</t>
  </si>
  <si>
    <t>戸崎公園北側未利用地基本設計業務</t>
  </si>
  <si>
    <t>2024/09/17 08:58</t>
  </si>
  <si>
    <t>６－１管路施設耐震診断調査業務</t>
  </si>
  <si>
    <t>2024/08/30 10:43</t>
  </si>
  <si>
    <t>６－４管渠実施設計業務</t>
  </si>
  <si>
    <t>2024/08/27 14:25</t>
  </si>
  <si>
    <t>6号公園実施設計業務</t>
  </si>
  <si>
    <t>2024/07/19 08:47</t>
  </si>
  <si>
    <t>６－４４ 路面性状調査業務</t>
  </si>
  <si>
    <t>2024/06/25 15:10</t>
  </si>
  <si>
    <t>Ｒ６ 西宮下中妻線 電線共同溝予備設計業務（２工区）</t>
  </si>
  <si>
    <t>2024/06/25 11:26</t>
  </si>
  <si>
    <t>上下水道部庁舎外構実施設計業務</t>
  </si>
  <si>
    <t>2024/06/25 11:03</t>
  </si>
  <si>
    <t>６－１舗装本復旧実施設計業務</t>
  </si>
  <si>
    <t>2024/06/25 10:51</t>
  </si>
  <si>
    <t>６－１（補）管渠実施設計業務</t>
  </si>
  <si>
    <t>2024/06/25 09:40</t>
  </si>
  <si>
    <t>株式会社関東工社 上尾出張所</t>
  </si>
  <si>
    <t>Ｒ６ 西宮下中妻線 道路詳細設計業務（２工区）</t>
  </si>
  <si>
    <t>2024/06/21 13:33</t>
  </si>
  <si>
    <t>６－１上尾市ポンプ場耐震診断調査業務</t>
  </si>
  <si>
    <t>2024/06/21 10:32</t>
  </si>
  <si>
    <t>防火水槽設置詳細設計業務</t>
  </si>
  <si>
    <t>2024/06/07 09:32</t>
  </si>
  <si>
    <t>尾山台都市下水路宇都宮線軌道下耐震補強設計業務</t>
  </si>
  <si>
    <t>2024/05/31 13:26</t>
  </si>
  <si>
    <t>R6 雨水貯留施設詳細設計業務</t>
  </si>
  <si>
    <t>2024/05/31 13:16</t>
  </si>
  <si>
    <t>かわまちづくり社会実験モニタリング調査業務</t>
  </si>
  <si>
    <t>2024/05/28 14:56</t>
  </si>
  <si>
    <t>上尾伊奈線都市計画変更図書作成業務</t>
  </si>
  <si>
    <t>2024/05/28 14:34</t>
  </si>
  <si>
    <t>６－１雨水管渠実施設計業務</t>
  </si>
  <si>
    <t>2024/05/28 14:10</t>
  </si>
  <si>
    <t>株式会社新日本エグザ 上尾支社</t>
  </si>
  <si>
    <t>６－３管渠実施設計業務</t>
  </si>
  <si>
    <t>2024/05/28 13:56</t>
  </si>
  <si>
    <t>（仮称）平方雨沼公園基本計画策定業務</t>
  </si>
  <si>
    <t>2024/05/28 09:01</t>
  </si>
  <si>
    <t>芝川右岸第８排水区基本設計業務</t>
  </si>
  <si>
    <t>2024/05/24 14:21</t>
  </si>
  <si>
    <t>上尾公共下水道事業計画変更・事業認可申請図書作成業務</t>
  </si>
  <si>
    <t>2024/05/24 13:55</t>
  </si>
  <si>
    <t>上尾市雨水出水浸水想定区域図作成業務</t>
  </si>
  <si>
    <t>2024/05/24 13:48</t>
  </si>
  <si>
    <t>上尾丸山公園大池水質調査業務</t>
  </si>
  <si>
    <t>2024/05/21 09:10</t>
  </si>
  <si>
    <t>６－１マンホールトイレ実施設計業務</t>
  </si>
  <si>
    <t>2024/04/26 11:03</t>
  </si>
  <si>
    <t>６－１管渠実施設計業務</t>
  </si>
  <si>
    <t>2024/04/26 10:52</t>
  </si>
  <si>
    <t>６－２管渠実施設計業務</t>
  </si>
  <si>
    <t>2024/04/26 10:24</t>
  </si>
  <si>
    <t>2024/04/23 14:26</t>
  </si>
  <si>
    <t>草加市</t>
  </si>
  <si>
    <t>スポーツ推進地区希少植物移植等業務委託</t>
  </si>
  <si>
    <t>2026/05/13 09:00</t>
  </si>
  <si>
    <t>草加市 総務部 契約課</t>
  </si>
  <si>
    <t>株式会社プレック研究所 本店</t>
  </si>
  <si>
    <t>資材価格特別調査業務委託</t>
  </si>
  <si>
    <t>2026/01/28 09:10</t>
  </si>
  <si>
    <t>令和７年度 維持・水路・道路台帳管理システム更新等業務委託</t>
  </si>
  <si>
    <t>2026/01/14 09:00</t>
  </si>
  <si>
    <t>草加市公共下水道事業（汚水）ストックマネジメント実施方針変更業務委託</t>
  </si>
  <si>
    <t>2025/12/24 09:00</t>
  </si>
  <si>
    <t>雨水対策効果検証業務委託</t>
  </si>
  <si>
    <t>2025/12/16 09:00</t>
  </si>
  <si>
    <t>新田駅西口地区選挙人名簿作成業務委託</t>
  </si>
  <si>
    <t>2025/11/21 09:10</t>
  </si>
  <si>
    <t>橋りょう補修設計業務委託（上中央橋、青柳橋、中曽根橋、無名橋１１４、無名橋７８）</t>
  </si>
  <si>
    <t>実施設計業務委託（F-412号水路）</t>
  </si>
  <si>
    <t>2025/11/10 09:40</t>
  </si>
  <si>
    <t>実施設計業務委託（古綾瀬川右岸第15排水区枝線）</t>
  </si>
  <si>
    <t>2025/11/10 09:30</t>
  </si>
  <si>
    <t>株式会社日本設計コンサルタント 草加営業所</t>
  </si>
  <si>
    <t>実施設計業務委託（古綾瀬川左岸第17排水区枝線）</t>
  </si>
  <si>
    <t>2025/11/10 09:20</t>
  </si>
  <si>
    <t>実施設計業務委託（毛長川左岸第12排水区枝線）</t>
  </si>
  <si>
    <t>2025/11/10 09:10</t>
  </si>
  <si>
    <t>実施設計業務委託（C-144号水路）</t>
  </si>
  <si>
    <t>2025/11/10 09:00</t>
  </si>
  <si>
    <t>株式会社東埼測量設計 本店</t>
  </si>
  <si>
    <t>測量業務委託（葛西用水路）</t>
  </si>
  <si>
    <t>2025/10/20 09:10</t>
  </si>
  <si>
    <t>株式会社ポリテック・エイディディ 本店</t>
  </si>
  <si>
    <t>ストックマネジメント計画に関する管渠劣化診断業務委託（R7-1）</t>
  </si>
  <si>
    <t>2025/10/15 09:00</t>
  </si>
  <si>
    <t>実施設計業務委託（長栄排水機場ストックマネジメント）</t>
  </si>
  <si>
    <t>2025/09/18 13:01</t>
  </si>
  <si>
    <t>排水施設受贈計画策定業務委託</t>
  </si>
  <si>
    <t>2025/09/08 09:10</t>
  </si>
  <si>
    <t>金明町ゲートポンプ整備工事監理業務委託</t>
  </si>
  <si>
    <t>2025/08/27 09:10</t>
  </si>
  <si>
    <t>中根浄水場第１配水池建設工事設計業務委託</t>
  </si>
  <si>
    <t>2025/08/08 09:20</t>
  </si>
  <si>
    <t>新田駅西口地区街路築造実施設計等業務委託</t>
  </si>
  <si>
    <t>2025/08/01 09:40</t>
  </si>
  <si>
    <t>全国特別重点調査及びストックマネジメント計画に関する雨水管渠劣化診断業務委託</t>
  </si>
  <si>
    <t>2025/08/01 09:30</t>
  </si>
  <si>
    <t>新田駅西口地区事業推進業務委託</t>
  </si>
  <si>
    <t>2025/08/01 09:20</t>
  </si>
  <si>
    <t>令和７年度道路台帳補正委託</t>
  </si>
  <si>
    <t>2025/08/01 09:10</t>
  </si>
  <si>
    <t>公共下水道（雨水）事業計画変更業務委託（伝右川左岸第２排水区ほか）</t>
  </si>
  <si>
    <t>2025/08/01 09:00</t>
  </si>
  <si>
    <t>株式会社オリンピアコンサルタント 草加営業所</t>
  </si>
  <si>
    <t>新田駅西口地区新田西口交通広場電線共同溝予備設計業務委託</t>
  </si>
  <si>
    <t>2025/07/30 09:00</t>
  </si>
  <si>
    <t>氷川町土地区画整理事業等見直し検討及び谷際地区燃えないまちづくり推進業務委託</t>
  </si>
  <si>
    <t>2025/07/16 09:10</t>
  </si>
  <si>
    <t>排水施設実施設計業務委託（三ツ橋水門）</t>
  </si>
  <si>
    <t>2025/07/16 09:00</t>
  </si>
  <si>
    <t>松原遊歩道整備実施設計業務委託</t>
  </si>
  <si>
    <t>2025/06/27 09:20</t>
  </si>
  <si>
    <t>株式会社景観設計・東京 埼玉事務所</t>
  </si>
  <si>
    <t>都市計画道路谷塚松原線（草加区間）道路詳細設計等業務委託</t>
  </si>
  <si>
    <t>2025/06/16 09:00</t>
  </si>
  <si>
    <t>橋りょう定期点検業務委託（青北橋ほか）</t>
  </si>
  <si>
    <t>2025/06/11 09:00</t>
  </si>
  <si>
    <t>資材価格特別調査業務委託（下水道課）</t>
  </si>
  <si>
    <t>2025/06/06 09:20</t>
  </si>
  <si>
    <t>新田駅東口地区事業推進業務委託</t>
  </si>
  <si>
    <t>2025/06/02 09:00</t>
  </si>
  <si>
    <t>2025/05/23 09:10</t>
  </si>
  <si>
    <t>柿木フーズサイト公園ビオトープ維持管理業務委託</t>
  </si>
  <si>
    <t>2025/04/21 09:00</t>
  </si>
  <si>
    <t>市街化調整区域生物多様性調査業務委託</t>
  </si>
  <si>
    <t>2025/03/17 09:00</t>
  </si>
  <si>
    <t>株式会社ＰＣＥＲ 埼玉事務所</t>
  </si>
  <si>
    <t>ストックマネジメント計画に関する管渠劣化診断業務委託（R6-2）</t>
  </si>
  <si>
    <t>2025/01/08 09:00</t>
  </si>
  <si>
    <t>道路台帳補正委託</t>
  </si>
  <si>
    <t>2024/11/25 09:00</t>
  </si>
  <si>
    <t>実施設計及び測量業務委託（古綾瀬川左岸第16排水区枝線）</t>
  </si>
  <si>
    <t>2024/11/13 09:10</t>
  </si>
  <si>
    <t>埼玉測量設計株式会社 東部営業所</t>
  </si>
  <si>
    <t>実施設計及び測量業務委託（毛長川左岸第12排水区枝線）</t>
  </si>
  <si>
    <t>2024/11/13 09:00</t>
  </si>
  <si>
    <t>橋りょう補修設計業務委託（東西橋ほか３橋）</t>
  </si>
  <si>
    <t>2024/11/06 09:10</t>
  </si>
  <si>
    <t>株式会社エービーコンサルタント 埼玉営業所</t>
  </si>
  <si>
    <t>排水施設実施設計業務委託（両新田小学校貯留施設）</t>
  </si>
  <si>
    <t>2024/10/16 09:10</t>
  </si>
  <si>
    <t>毛長川左岸第11，12排水区詳細設計委託（ポンプ施設）</t>
  </si>
  <si>
    <t>2024/10/16 09:00</t>
  </si>
  <si>
    <t>株式会社水工技建コンサルタント 草加営業所</t>
  </si>
  <si>
    <t>ストックマネジメント計画に関する管渠劣化診断業務委託（R6-1）</t>
  </si>
  <si>
    <t>2024/10/07 09:10</t>
  </si>
  <si>
    <t>電線共同溝修正設計業務委託（市道２０７８号線）</t>
  </si>
  <si>
    <t>2024/09/30 09:00</t>
  </si>
  <si>
    <t>維持・水路・道路台帳管理システム更新等業務委託</t>
  </si>
  <si>
    <t>2024/09/04 09:00</t>
  </si>
  <si>
    <t>公共下水道全体計画（汚水）及び事業計画変更業務委託</t>
  </si>
  <si>
    <t>2024/08/26 09:00</t>
  </si>
  <si>
    <t>新田駅東口駅前交通広場実施設計業務委託</t>
  </si>
  <si>
    <t>2024/08/23 09:20</t>
  </si>
  <si>
    <t>橋りょう及び横断歩道橋定期点検業務委託（蒲生大橋ほか）</t>
  </si>
  <si>
    <t>2024/08/23 09:10</t>
  </si>
  <si>
    <t>草加市公共下水道第２期ストックマネジメント計画策定業務委託（雨水管渠、排水機場）</t>
  </si>
  <si>
    <t>排水施設基本設計業務委託（第３号樋管ゲートポンプ（仮称））</t>
  </si>
  <si>
    <t>2024/08/09 09:10</t>
  </si>
  <si>
    <t>株式会社日本水工コンサルタント 草加営業所</t>
  </si>
  <si>
    <t>草加市公共下水道事業（汚水）第２期ストックマネジメント計画策定業務委託</t>
  </si>
  <si>
    <t>2024/08/09 09:00</t>
  </si>
  <si>
    <t>2024/08/02 09:00</t>
  </si>
  <si>
    <t>新田駅西口地区函渠実施設計業務委託</t>
  </si>
  <si>
    <t>2024/07/29 09:10</t>
  </si>
  <si>
    <t>水路台帳管理システム更新・改良等業務委託</t>
  </si>
  <si>
    <t>2024/07/29 09:00</t>
  </si>
  <si>
    <t>公共下水道（雨水）排水計画検討業務委託</t>
  </si>
  <si>
    <t>2024/07/17 09:20</t>
  </si>
  <si>
    <t>新田駅東口地区1号街区公園実施設計業務委託</t>
  </si>
  <si>
    <t>2024/07/17 09:10</t>
  </si>
  <si>
    <t>2024/07/12 09:10</t>
  </si>
  <si>
    <t>実施設計業務委託（金明町ゲートポンプ）</t>
  </si>
  <si>
    <t>2024/07/12 09:00</t>
  </si>
  <si>
    <t>令和６年度そうか公園リニューアル基本構想（骨子）策定業務委託 ※見直し後</t>
  </si>
  <si>
    <t>2024/07/08 09:20</t>
  </si>
  <si>
    <t>公共下水道第1-2処理分区実施設計業務委託</t>
  </si>
  <si>
    <t>2024/07/01 09:10</t>
  </si>
  <si>
    <t>道路台帳補正調査業務委託</t>
  </si>
  <si>
    <t>新田駅東口地区街路築造実施設計等業務委託</t>
  </si>
  <si>
    <t>2024/06/14 09:00</t>
  </si>
  <si>
    <t>2024/06/05 09:20</t>
  </si>
  <si>
    <t>市街化調整区域（柿木地区）可能性調査業務委託</t>
  </si>
  <si>
    <t>2024/06/05 09:00</t>
  </si>
  <si>
    <t>氷川町土地区画整理事業等見直し検討業務委託</t>
  </si>
  <si>
    <t>2024/05/31 09:00</t>
  </si>
  <si>
    <t>新田駅西口地区街路築造実施設計業務委託</t>
  </si>
  <si>
    <t>2024/05/27 09:10</t>
  </si>
  <si>
    <t>2024/05/24 09:20</t>
  </si>
  <si>
    <t>公共下水道設計積算業務委託（その2）</t>
  </si>
  <si>
    <t>2024/05/24 09:10</t>
  </si>
  <si>
    <t>株式会社関東工社 草加出張所</t>
  </si>
  <si>
    <t>2024/05/13 09:10</t>
  </si>
  <si>
    <t>2024/05/09 09:20</t>
  </si>
  <si>
    <t>株式会社総合環境計画 北関東事務所</t>
  </si>
  <si>
    <t>公共下水道設計積算業務委託（その１）</t>
  </si>
  <si>
    <t>2024/05/09 09:16</t>
  </si>
  <si>
    <t>2024/04/24 09:00</t>
  </si>
  <si>
    <t>株式会社ＣＴＩリード 本店</t>
  </si>
  <si>
    <t>越谷市</t>
  </si>
  <si>
    <t>老人福祉センターくすのき荘施設状況調査業務委託</t>
  </si>
  <si>
    <t>2026/02/10 09:36</t>
  </si>
  <si>
    <t>越谷市 総務部 契約課</t>
  </si>
  <si>
    <t>2025/11/26 09:32</t>
  </si>
  <si>
    <t>新川都市下水路事業認可業務委託</t>
  </si>
  <si>
    <t>2025/11/11 09:59</t>
  </si>
  <si>
    <t>越谷市公共下水道ポンプ場施設耐水化詳細設計業務委託（東越谷雨水ポンプ場）７－１</t>
  </si>
  <si>
    <t>2025/10/15 10:09</t>
  </si>
  <si>
    <t>越谷市雨天時浸入水対策計画策定業務委託</t>
  </si>
  <si>
    <t>2025/09/26 10:21</t>
  </si>
  <si>
    <t>第二古川第１８号雨水幹線に伴う設計業務委託</t>
  </si>
  <si>
    <t>2025/08/05 13:36</t>
  </si>
  <si>
    <t>越谷市河川排水機場施設耐水化計画策定業務委託（コスモス排水機場外１７か所）</t>
  </si>
  <si>
    <t>2025/08/05 11:53</t>
  </si>
  <si>
    <t>電気設備改築実施設計業務委託（外野合ポンプ場 東町ポンプ場）７－１</t>
  </si>
  <si>
    <t>2025/07/23 11:53</t>
  </si>
  <si>
    <t>軟弱地盤対策工調査設計業務委託（健康福祉村大袋線）</t>
  </si>
  <si>
    <t>2025/07/23 10:57</t>
  </si>
  <si>
    <t>電気設備改築実施設計業務委託（鷺高ポンプ場）７－１</t>
  </si>
  <si>
    <t>2025/07/08 11:37</t>
  </si>
  <si>
    <t>東越谷調整池流入施設改築実施設計業務委託</t>
  </si>
  <si>
    <t>2025/07/08 11:25</t>
  </si>
  <si>
    <t>耐震補強実施設計業務委託（間久里ポンプ場）７－１</t>
  </si>
  <si>
    <t>2025/07/08 11:20</t>
  </si>
  <si>
    <t>千間台雨水貯留施設実施設計業務委託</t>
  </si>
  <si>
    <t>2025/07/08 10:48</t>
  </si>
  <si>
    <t>橋梁補修設計業務委託（鷹匠橋外２橋）</t>
  </si>
  <si>
    <t>2025/07/08 10:15</t>
  </si>
  <si>
    <t>橋梁耐震補強修正設計業務委託（不動橋外１橋）</t>
  </si>
  <si>
    <t>2025/06/24 09:41</t>
  </si>
  <si>
    <t>橋梁定期点検業務委託（〆切橋外４５橋）</t>
  </si>
  <si>
    <t>2025/06/17 09:32</t>
  </si>
  <si>
    <t>越谷市雨水管理総合計画策定業務委託</t>
  </si>
  <si>
    <t>2025/06/10 10:21</t>
  </si>
  <si>
    <t>道路舗装設計業務委託（市道６０２６９号線外１路線）</t>
  </si>
  <si>
    <t>2025/06/10 10:08</t>
  </si>
  <si>
    <t>越谷市立小中学校特別教室等空調整備ＰＦＩ導入可能性調査業務委託（越ケ谷小学校外４２校）</t>
  </si>
  <si>
    <t>2025/06/03 10:14</t>
  </si>
  <si>
    <t>越谷市公共下水道事業官民連携における基礎調査業務委託</t>
  </si>
  <si>
    <t>2025/06/03 09:59</t>
  </si>
  <si>
    <t>自転車通行環境整備詳細設計業務委託（市道２１７１号線外１路線）</t>
  </si>
  <si>
    <t>2025/06/03 09:41</t>
  </si>
  <si>
    <t>新川都市下水路築造工事に伴う修正設計業務委託</t>
  </si>
  <si>
    <t>2025/05/27 09:59</t>
  </si>
  <si>
    <t>平方公園設計再検討業務委託</t>
  </si>
  <si>
    <t>2025/05/20 10:25</t>
  </si>
  <si>
    <t>株式会社緑景 北関東事務所</t>
  </si>
  <si>
    <t>平新川改修工事に伴う詳細設計業務委託</t>
  </si>
  <si>
    <t>2024/11/12 10:28</t>
  </si>
  <si>
    <t>越谷市雨水流出抑制施設技術基準策定支援業務委託</t>
  </si>
  <si>
    <t>2024/11/06 10:31</t>
  </si>
  <si>
    <t>浸水対策計画策定業務委託（元荒川第１－１、第１－２排水区）</t>
  </si>
  <si>
    <t>2024/10/16 10:10</t>
  </si>
  <si>
    <t>橋梁定期点検業務委託（御道橋外５橋）</t>
  </si>
  <si>
    <t>2024/09/25 10:02</t>
  </si>
  <si>
    <t>2024/09/25 09:32</t>
  </si>
  <si>
    <t>2024/08/27 09:45</t>
  </si>
  <si>
    <t>平新川排水機場増強概略検討業務委託</t>
  </si>
  <si>
    <t>2024/08/06 10:28</t>
  </si>
  <si>
    <t>道路舗装設計業務委託（市道１１０１号線外２路線）</t>
  </si>
  <si>
    <t>2024/07/09 09:52</t>
  </si>
  <si>
    <t>越谷市公共下水道管路施設実施設計業務委託６－１</t>
  </si>
  <si>
    <t>2024/06/04 10:04</t>
  </si>
  <si>
    <t>橋梁定期点検業務委託（新平和橋外４橋）</t>
  </si>
  <si>
    <t>2024/05/21 09:45</t>
  </si>
  <si>
    <t>価格調査業務委託（左敷田ポンプ場増強工事）</t>
  </si>
  <si>
    <t>2024/05/08 09:42</t>
  </si>
  <si>
    <t>蕨市</t>
  </si>
  <si>
    <t>駅前通り整備工事実施設計等委託</t>
  </si>
  <si>
    <t>2026/05/20 14:10</t>
  </si>
  <si>
    <t>蕨市 総務部 財政課</t>
  </si>
  <si>
    <t>錦町雨水管渠築造工事設計業務委託（その１）</t>
  </si>
  <si>
    <t>2026/05/20 13:30</t>
  </si>
  <si>
    <t>橋りょう点検調査委託</t>
  </si>
  <si>
    <t>2026/05/13 13:31</t>
  </si>
  <si>
    <t>R8年度蕨西部排水区下水道工事発注支援業務委託</t>
  </si>
  <si>
    <t>2026/05/12 14:01</t>
  </si>
  <si>
    <t>自家用発電設備改築実施設計業務委託（南町ポンプ場）</t>
  </si>
  <si>
    <t>2026/03/10 13:44</t>
  </si>
  <si>
    <t>水路改修工事設計業務委託</t>
  </si>
  <si>
    <t>2026/01/28 13:30</t>
  </si>
  <si>
    <t>下水道管路調査業務委託（路面下空洞調査）</t>
  </si>
  <si>
    <t>2025/12/17 13:31</t>
  </si>
  <si>
    <t>橋りょう点検調査委託（丁張跨線人道橋）</t>
  </si>
  <si>
    <t>配水管設計業務委託</t>
  </si>
  <si>
    <t>2025/07/03 13:32</t>
  </si>
  <si>
    <t>蕨市 水道部 業務課</t>
  </si>
  <si>
    <t>蕨市公共施設太陽光発電設備等導入調査委託</t>
  </si>
  <si>
    <t>蕨市公園施設長寿命化計画改定委託</t>
  </si>
  <si>
    <t>2025/06/25 13:30</t>
  </si>
  <si>
    <t>塚越グラウンド改修基本設計委託</t>
  </si>
  <si>
    <t>蕨市民公園ボール広場実施設計委託</t>
  </si>
  <si>
    <t>2025/06/05 13:41</t>
  </si>
  <si>
    <t>錦町1号公園実施設計委託</t>
  </si>
  <si>
    <t>蕨市下水道ポンプ場ストックマネジメント基本計画策定業務委託（南町ポンプ場・塚越ポンプ場）</t>
  </si>
  <si>
    <t>2025/05/26 13:40</t>
  </si>
  <si>
    <t>蕨西部排水区下水道工事設計業務委託（その１）</t>
  </si>
  <si>
    <t>2025/05/26 13:30</t>
  </si>
  <si>
    <t>管路耐震化基本計画策定業務委託</t>
  </si>
  <si>
    <t>2025/05/14 13:56</t>
  </si>
  <si>
    <t>原水・浄水設備維持業務設計委託</t>
  </si>
  <si>
    <t>2025/05/14 13:31</t>
  </si>
  <si>
    <t>都計道錦町松原線舗装新設工事設計業務委託</t>
  </si>
  <si>
    <t>2025/04/25 14:01</t>
  </si>
  <si>
    <t>水路点検調査委託</t>
  </si>
  <si>
    <t>2025/04/25 13:50</t>
  </si>
  <si>
    <t>道路付属施設点検委託</t>
  </si>
  <si>
    <t>2025/04/25 13:40</t>
  </si>
  <si>
    <t>駅前通り整備基本設計委託</t>
  </si>
  <si>
    <t>2025/04/25 13:30</t>
  </si>
  <si>
    <t>都市計画等変更委託</t>
  </si>
  <si>
    <t>2024/07/10 13:30</t>
  </si>
  <si>
    <t>2024/06/24 13:31</t>
  </si>
  <si>
    <t>2024/06/21 13:42</t>
  </si>
  <si>
    <t>配水設備設計業務委託</t>
  </si>
  <si>
    <t>2024/06/06 13:32</t>
  </si>
  <si>
    <t>水源・浄水設備設計業務委託</t>
  </si>
  <si>
    <t>錦町1号公園基本設計委託</t>
  </si>
  <si>
    <t>2024/05/23 13:40</t>
  </si>
  <si>
    <t>下水道管路改築修繕工事設計業務委託</t>
  </si>
  <si>
    <t>2024/05/23 13:30</t>
  </si>
  <si>
    <t>配水・給水設備維持業務設計委託</t>
  </si>
  <si>
    <t>2024/05/21 13:32</t>
  </si>
  <si>
    <t>中央第一地区公園2号外実施設計委託</t>
  </si>
  <si>
    <t>2024/05/07 13:30</t>
  </si>
  <si>
    <t>橋りょう改修工事設計委託（塚越跨線人道橋）</t>
  </si>
  <si>
    <t>2024/04/25 14:31</t>
  </si>
  <si>
    <t>事業計画変更申請書等作成業務委託</t>
  </si>
  <si>
    <t>2024/04/25 13:40</t>
  </si>
  <si>
    <t>路面性状調査委託</t>
  </si>
  <si>
    <t>戸田市</t>
  </si>
  <si>
    <t>笹目第１０排水区堤防嵩上げ設計業務</t>
  </si>
  <si>
    <t>2026/05/13 11:03</t>
  </si>
  <si>
    <t>戸田市 水安全部 総務課</t>
  </si>
  <si>
    <t>株式会社日本水工コンサルタント 戸田営業所</t>
  </si>
  <si>
    <t>令和８年度水質検査業務</t>
  </si>
  <si>
    <t>2026/03/17 09:03</t>
  </si>
  <si>
    <t>特定事業場等排出水水質検査業務</t>
  </si>
  <si>
    <t>2026/03/05 09:03</t>
  </si>
  <si>
    <t>令和８年度上戸田川水質調査業務</t>
  </si>
  <si>
    <t>2026/02/19 09:58</t>
  </si>
  <si>
    <t>戸田市 総務部 管財入札課</t>
  </si>
  <si>
    <t>新曽第二地区 仮換地修正及び街区点測量等業務</t>
  </si>
  <si>
    <t>2026/02/19 09:33</t>
  </si>
  <si>
    <t>太平洋航業株式会社 戸田支店</t>
  </si>
  <si>
    <t>新曽第一地区 仮換地修正及び街区点測量等業務</t>
  </si>
  <si>
    <t>2026/02/19 09:10</t>
  </si>
  <si>
    <t>令和８年度自然保全区域管理等業務</t>
  </si>
  <si>
    <t>2026/02/10 09:53</t>
  </si>
  <si>
    <t>令和７年度資材価格特別調査業務（施設）</t>
  </si>
  <si>
    <t>2025/11/26 09:12</t>
  </si>
  <si>
    <t>流域下水道接続箇所採水水質検査業務</t>
  </si>
  <si>
    <t>2025/11/06 14:32</t>
  </si>
  <si>
    <t>令和７年度下水道事業に伴う配水管布設替え設計業務</t>
  </si>
  <si>
    <t>2025/11/06 14:06</t>
  </si>
  <si>
    <t>株式会社彩都コンサルタント 戸田支社</t>
  </si>
  <si>
    <t>令和７年度土地区画整理事業に伴う配水管布設設計業務</t>
  </si>
  <si>
    <t>2025/11/06 13:36</t>
  </si>
  <si>
    <t>株式会社水建コンサルタント 本店</t>
  </si>
  <si>
    <t>社会資本総合整備計画（新曽中央地区・川岸地区）事後評価等策定支援業務</t>
  </si>
  <si>
    <t>2025/09/03 09:11</t>
  </si>
  <si>
    <t>令和７年度河川事業に伴う配水管布設替え設計業務</t>
  </si>
  <si>
    <t>2025/07/22 11:30</t>
  </si>
  <si>
    <t>令和７年度１号・２号・９号取水井取水ポンプ及び現場盤更新工事設計業務</t>
  </si>
  <si>
    <t>2025/07/22 11:04</t>
  </si>
  <si>
    <t>【鋼橋上部工及び橋梁下部工・基礎構造】聖下橋補修工事実施設計業務委託</t>
  </si>
  <si>
    <t>2025/07/15 09:46</t>
  </si>
  <si>
    <t>【鋼橋上部工及び橋梁下部工・基礎構造】横断歩道橋等点検業務委託</t>
  </si>
  <si>
    <t>2025/07/15 09:13</t>
  </si>
  <si>
    <t>令和７年度舗装たわみ量（FWD）調査等業務委託</t>
  </si>
  <si>
    <t>2025/07/04 10:11</t>
  </si>
  <si>
    <t>新曽第一地区 北戸田駅西環状線道路及び電線共同溝築造工事に伴う資材価格特別調査業務</t>
  </si>
  <si>
    <t>2025/07/03 10:41</t>
  </si>
  <si>
    <t>令和７年度公共下水道汚水実施設計（その２）業務</t>
  </si>
  <si>
    <t>2025/07/01 10:42</t>
  </si>
  <si>
    <t>株式会社オリンピアコンサルタント 戸田営業所</t>
  </si>
  <si>
    <t>第２期戸田市下水道ストックマネジメント計画策定業務</t>
  </si>
  <si>
    <t>2025/07/01 09:31</t>
  </si>
  <si>
    <t>令和７年度西部浄水場更新事業場内配水管詳細設計業務</t>
  </si>
  <si>
    <t>2025/07/01 09:03</t>
  </si>
  <si>
    <t>新曽第一土地区画整理事業事業計画及び実施計画変更修正業務</t>
  </si>
  <si>
    <t>2025/06/26 10:43</t>
  </si>
  <si>
    <t>令和７年度さくら川護岸整備工事設計業務委託</t>
  </si>
  <si>
    <t>2025/06/17 09:11</t>
  </si>
  <si>
    <t>新曽ポンプ場外壁等仕上塗材アスベスト含有調査業務</t>
  </si>
  <si>
    <t>2025/06/04 10:35</t>
  </si>
  <si>
    <t>令和７年度公共下水道汚水改築設計業務</t>
  </si>
  <si>
    <t>2025/06/04 10:20</t>
  </si>
  <si>
    <t>トーカイテック株式会社 戸田営業所</t>
  </si>
  <si>
    <t>市道第３１１７号線自転車通行空間設計業務</t>
  </si>
  <si>
    <t>2025/05/29 10:14</t>
  </si>
  <si>
    <t>【河川又は下水管渠】令和７年度水路構造物健全度調査業務（その２）</t>
  </si>
  <si>
    <t>2025/05/29 09:42</t>
  </si>
  <si>
    <t>【河川又は下水管渠】令和７年度水路構造物健全度調査業務（その１）</t>
  </si>
  <si>
    <t>2025/05/29 09:11</t>
  </si>
  <si>
    <t>新曽第一地区 道路築造等工事設計業務</t>
  </si>
  <si>
    <t>（仮称）里地公園設計業務</t>
  </si>
  <si>
    <t>2025/05/21 09:43</t>
  </si>
  <si>
    <t>【都市施設及び道路】戸田市ウォーカブル推進業務及び北戸田駅周辺ウォ－カブル歩道整備工事設計業務</t>
  </si>
  <si>
    <t>2025/05/14 09:12</t>
  </si>
  <si>
    <t>前谷馬場線事業に伴う配水管布設替え設計業務</t>
  </si>
  <si>
    <t>2025/05/13 09:30</t>
  </si>
  <si>
    <t>令和７年度マンホール耐震化設計業務</t>
  </si>
  <si>
    <t>2025/05/13 09:00</t>
  </si>
  <si>
    <t>株式会社水工技建コンサルタント 戸田営業所</t>
  </si>
  <si>
    <t>令和７年度東部浄水場電気・機械設備更新工事監理業務</t>
  </si>
  <si>
    <t>2025/05/09 10:30</t>
  </si>
  <si>
    <t>笹目第８排水区浸水対策基本設計業務</t>
  </si>
  <si>
    <t>2025/05/09 10:04</t>
  </si>
  <si>
    <t>令和７年度公共下水道汚水実施設計（その１）業務</t>
  </si>
  <si>
    <t>2025/05/09 09:32</t>
  </si>
  <si>
    <t>令和７年度公共下水道雨水実施設計業務</t>
  </si>
  <si>
    <t>2025/05/09 09:00</t>
  </si>
  <si>
    <t>株式会社光エンジニアリング 戸田営業所</t>
  </si>
  <si>
    <t>令和７年度水質検査業務</t>
  </si>
  <si>
    <t>2025/03/19 09:08</t>
  </si>
  <si>
    <t>新曽第二地区 仮換地及び画地確定測量修正等業務</t>
  </si>
  <si>
    <t>2025/03/06 13:50</t>
  </si>
  <si>
    <t>新曽第一地区 仮換地及び画地確定測量修正等業務</t>
  </si>
  <si>
    <t>2025/03/06 13:32</t>
  </si>
  <si>
    <t>内水浸水想定区域図作成業務</t>
  </si>
  <si>
    <t>2025/03/04 09:33</t>
  </si>
  <si>
    <t>北戸田駅西環状線道路及び電線共同溝整備に伴う配水管支障移設設計業務（ゼロ債務負担）</t>
  </si>
  <si>
    <t>2025/02/26 10:09</t>
  </si>
  <si>
    <t>国道１７号電線共同溝整備に伴う配水管支障移設設計業務（ゼロ債務負担）</t>
  </si>
  <si>
    <t>2025/02/26 09:30</t>
  </si>
  <si>
    <t>株式会社エース 戸田営業所</t>
  </si>
  <si>
    <t>2025/02/26 09:05</t>
  </si>
  <si>
    <t>交通安全施設台帳更新業務委託</t>
  </si>
  <si>
    <t>2024/12/19 10:11</t>
  </si>
  <si>
    <t>株式会社旭測量設計 戸田支店</t>
  </si>
  <si>
    <t>令和６年度土地区画整理事業に伴う配水管布設設計業務</t>
  </si>
  <si>
    <t>2024/11/20 10:01</t>
  </si>
  <si>
    <t>令和６年度下水道事業に伴う配水管布設替え設計業務</t>
  </si>
  <si>
    <t>2024/11/20 09:31</t>
  </si>
  <si>
    <t>下笹目バスターミナル再整備設計等業務委託</t>
  </si>
  <si>
    <t>2024/10/31 09:13</t>
  </si>
  <si>
    <t>令和６年度公共下水道汚水実施設計（その２）業務</t>
  </si>
  <si>
    <t>2024/10/25 10:30</t>
  </si>
  <si>
    <t>株式会社東都コンサルタント 戸田支店</t>
  </si>
  <si>
    <t>令和６年度上戸田川護岸改修設計業務委託</t>
  </si>
  <si>
    <t>2024/10/23 09:34</t>
  </si>
  <si>
    <t>道路標識点検業務委託</t>
  </si>
  <si>
    <t>2024/09/04 10:14</t>
  </si>
  <si>
    <t>2024/09/02 10:02</t>
  </si>
  <si>
    <t>公園リニューアル計画モデル公園設計業務</t>
  </si>
  <si>
    <t>2024/08/20 11:43</t>
  </si>
  <si>
    <t>【鋼橋上部工及び橋梁下部工・基礎構造】喜沢第一歩道橋撤去工事実施設計業務委託</t>
  </si>
  <si>
    <t>2024/07/30 10:12</t>
  </si>
  <si>
    <t>下戸田・新曽ポンプ場設備等更新設計業務</t>
  </si>
  <si>
    <t>2024/07/30 09:05</t>
  </si>
  <si>
    <t>令和６年度舗装たわみ量（FWD）調査等業務委託</t>
  </si>
  <si>
    <t>2024/07/02 10:17</t>
  </si>
  <si>
    <t>令和６年度SY-3水路調査設計業務委託</t>
  </si>
  <si>
    <t>2024/07/01 10:11</t>
  </si>
  <si>
    <t>市道第３０１２号線歩行者自転車設計業務</t>
  </si>
  <si>
    <t>2024/06/12 10:12</t>
  </si>
  <si>
    <t>令和6年度前谷馬場線（第二工区）道路整備工事等詳細設計業務</t>
  </si>
  <si>
    <t>2024/06/04 11:35</t>
  </si>
  <si>
    <t>株式会社日本設計コンサルタント 戸田営業所</t>
  </si>
  <si>
    <t>令和６年度資材価格特別調査業務（施設）</t>
  </si>
  <si>
    <t>2024/06/04 10:06</t>
  </si>
  <si>
    <t>新曽ポンプ場建築設備耐水化設計業務</t>
  </si>
  <si>
    <t>2024/06/04 09:31</t>
  </si>
  <si>
    <t>令和６年度公共下水道改築設計業務</t>
  </si>
  <si>
    <t>2024/05/31 10:01</t>
  </si>
  <si>
    <t>令和６年度さくら川護岸整備工事設計業務委託</t>
  </si>
  <si>
    <t>2024/05/22 10:12</t>
  </si>
  <si>
    <t>笹目第７排水区排水ゲート施設設計業務</t>
  </si>
  <si>
    <t>2024/05/15 14:01</t>
  </si>
  <si>
    <t>令和６年度公共下水道汚水実施設計業務</t>
  </si>
  <si>
    <t>2024/05/15 13:45</t>
  </si>
  <si>
    <t>戸田市公共下水道事業計画変更図書作成業務</t>
  </si>
  <si>
    <t>2024/05/15 11:34</t>
  </si>
  <si>
    <t>令和６年度配水管更新設計業務</t>
  </si>
  <si>
    <t>2024/05/15 10:39</t>
  </si>
  <si>
    <t>2024/05/15 10:38</t>
  </si>
  <si>
    <t>新曽第二地区 道路築造等工事設計業務</t>
  </si>
  <si>
    <t>2024/05/15 10:10</t>
  </si>
  <si>
    <t>令和６年度東部浄水場電気・機械設備更新工事詳細設計業務</t>
  </si>
  <si>
    <t>2024/05/15 10:03</t>
  </si>
  <si>
    <t>入間市</t>
  </si>
  <si>
    <t>漏水調査業務委託</t>
  </si>
  <si>
    <t>2026/05/15 09:50</t>
  </si>
  <si>
    <t>入間市 上下水道部 上下水道経営課（総務担当）</t>
  </si>
  <si>
    <t>株式会社日本漏防コンサルタント 関東営業所</t>
  </si>
  <si>
    <t>特定事業場等排出水水質調査業務委託</t>
  </si>
  <si>
    <t>2026/05/15 09:30</t>
  </si>
  <si>
    <t>洗管業務委託</t>
  </si>
  <si>
    <t>2026/04/22 09:32</t>
  </si>
  <si>
    <t>株式会社荒井工業所 本店</t>
  </si>
  <si>
    <t>公共下水道管路施設耐震化工事（R8-2）に伴う修正設計業務委託</t>
  </si>
  <si>
    <t>2026/04/15 09:50</t>
  </si>
  <si>
    <t>公共下水道管路施設耐震化工事（R8-1）に伴う修正設計業務委託</t>
  </si>
  <si>
    <t>2026/04/15 09:32</t>
  </si>
  <si>
    <t>公共下水道管路施設耐震診断調査（詳細診断）業務委託（R8- 2）</t>
  </si>
  <si>
    <t>2026/04/09 09:50</t>
  </si>
  <si>
    <t>トーカイテック株式会社 入間営業所</t>
  </si>
  <si>
    <t>公共下水道管路施設耐震診断調査（詳細診断）業務委託（R8-1）</t>
  </si>
  <si>
    <t>2026/04/09 09:30</t>
  </si>
  <si>
    <t>下水道施設中長期改築改修計画策定業務委託</t>
  </si>
  <si>
    <t>2026/02/26 09:30</t>
  </si>
  <si>
    <t>入間市コミュニティバス再編検討及びデマンド交通導入検討業務委託</t>
  </si>
  <si>
    <t>2026/01/29 09:16</t>
  </si>
  <si>
    <t>入間市 総務部 管財課</t>
  </si>
  <si>
    <t>小中学校煤煙測定業務委託</t>
  </si>
  <si>
    <t>2025/12/18 10:36</t>
  </si>
  <si>
    <t>北口地区北口中央通り線詳細設計業務委託</t>
  </si>
  <si>
    <t>2025/12/18 09:31</t>
  </si>
  <si>
    <t>市道幹19号線外5路線汚水管清掃業務委託</t>
  </si>
  <si>
    <t>2025/12/16 10:50</t>
  </si>
  <si>
    <t>市道幹47号線汚水管清掃等業務委託</t>
  </si>
  <si>
    <t>2025/12/05 09:33</t>
  </si>
  <si>
    <t>株式会社創成 本店</t>
  </si>
  <si>
    <t>北口地区６街区宅地造成修正設計業務委託</t>
  </si>
  <si>
    <t>2025/11/20 09:18</t>
  </si>
  <si>
    <t>北口地区１号街区公園詳細設計業務委託</t>
  </si>
  <si>
    <t>2025/10/30 09:16</t>
  </si>
  <si>
    <t>公共下水道管路施設耐震化詳細設計業務委託（R7-1）</t>
  </si>
  <si>
    <t>2025/10/28 09:32</t>
  </si>
  <si>
    <t>株式会社光エンジニアリング 入間営業所</t>
  </si>
  <si>
    <t>水管橋塗膜調査業務委託</t>
  </si>
  <si>
    <t>2025/09/25 10:10</t>
  </si>
  <si>
    <t>林川清掃業務委託</t>
  </si>
  <si>
    <t>2025/09/25 09:50</t>
  </si>
  <si>
    <t>株式会社山口商会 本店</t>
  </si>
  <si>
    <t>西武支所線バックアップ管整備（第三工区）実施修正設計業務委託</t>
  </si>
  <si>
    <t>2025/07/30 09:50</t>
  </si>
  <si>
    <t>株式会社コーセツコンサルタント 入間事務所</t>
  </si>
  <si>
    <t>下水道管路特別重点調査業務委託</t>
  </si>
  <si>
    <t>2025/07/25 10:36</t>
  </si>
  <si>
    <t>市役所線整備（第四・五工区）実施設計業務委託</t>
  </si>
  <si>
    <t>2025/07/25 09:50</t>
  </si>
  <si>
    <t>東金子西武第一送水管整備工事（第三工区）実施設計業務委託</t>
  </si>
  <si>
    <t>2025/07/25 09:30</t>
  </si>
  <si>
    <t>橋梁点検業務委託</t>
  </si>
  <si>
    <t>2025/07/24 10:01</t>
  </si>
  <si>
    <t>北口地区２５街区宅地造成設計業務委託</t>
  </si>
  <si>
    <t>2025/07/24 09:16</t>
  </si>
  <si>
    <t>入間市駅北口駅前広場等詳細設計業務委託</t>
  </si>
  <si>
    <t>仏子駅構内跨線人道橋点検業務委託</t>
  </si>
  <si>
    <t>2025/07/17 09:01</t>
  </si>
  <si>
    <t>入間ビレッジ内汚水管渠改築に伴う管渠TVカメラ調査業務委託</t>
  </si>
  <si>
    <t>2025/06/04 09:50</t>
  </si>
  <si>
    <t>公共下水道管路施設耐震診断調査（詳細診断）業務委託（R7-1）</t>
  </si>
  <si>
    <t>2025/06/04 09:30</t>
  </si>
  <si>
    <t>千代橋補修設計業務委託</t>
  </si>
  <si>
    <t>2025/05/29 11:06</t>
  </si>
  <si>
    <t>公共下水道管路施設耐震診断調査（詳細診断）業務委託（R7-2）</t>
  </si>
  <si>
    <t>2025/05/29 09:30</t>
  </si>
  <si>
    <t>令和７年度総合クリーンセンター精密機能検査業務委託</t>
  </si>
  <si>
    <t>2025/05/29 08:56</t>
  </si>
  <si>
    <t>株式会社環境施設コンサルタント 本店</t>
  </si>
  <si>
    <t>林川及び管路敷地内除草等業務委託</t>
  </si>
  <si>
    <t>2025/05/22 10:30</t>
  </si>
  <si>
    <t>有限会社丸明造園 入間営業所</t>
  </si>
  <si>
    <t>荒川右岸流域関連入間公共下水道事業 全体計画調整業務委託</t>
  </si>
  <si>
    <t>公共下水道管路施設調査業務委託</t>
  </si>
  <si>
    <t>2025/05/22 09:30</t>
  </si>
  <si>
    <t>2025/05/14 10:10</t>
  </si>
  <si>
    <t>2025/05/14 09:50</t>
  </si>
  <si>
    <t>株式会社極東技工コンサルタント 埼玉事務所</t>
  </si>
  <si>
    <t>2025/04/24 13:20</t>
  </si>
  <si>
    <t>2025/04/24 09:52</t>
  </si>
  <si>
    <t>2025/01/16 10:01</t>
  </si>
  <si>
    <t>北口地区38街区宅地造成設計業務委託</t>
  </si>
  <si>
    <t>2025/01/16 09:17</t>
  </si>
  <si>
    <t>自動車交通騒音常時監視（面的評価）業務委託</t>
  </si>
  <si>
    <t>2024/12/19 10:56</t>
  </si>
  <si>
    <t>大気環境調査業務委託</t>
  </si>
  <si>
    <t>2024/12/19 10:42</t>
  </si>
  <si>
    <t>下水道施設管理計画策定業務委託</t>
  </si>
  <si>
    <t>2024/12/19 10:40</t>
  </si>
  <si>
    <t>入間市駅北口駅前広場電線共同溝予備設計業務委託</t>
  </si>
  <si>
    <t>2024/12/19 10:34</t>
  </si>
  <si>
    <t>2024/12/19 10:00</t>
  </si>
  <si>
    <t>北口地区 33、34街区宅地造成設計業務委託</t>
  </si>
  <si>
    <t>2024/11/07 10:16</t>
  </si>
  <si>
    <t>公共下水道管路施設耐震化詳細設計（修正）業務委託</t>
  </si>
  <si>
    <t>2024/10/02 11:20</t>
  </si>
  <si>
    <t>北口地区 区6-11号線道路詳細設計業務委託</t>
  </si>
  <si>
    <t>2024/09/26 10:01</t>
  </si>
  <si>
    <t>扇台地区３４ＢＬ－１２、－１４擁壁設計業務委託</t>
  </si>
  <si>
    <t>2024/08/22 10:16</t>
  </si>
  <si>
    <t>新霞橋補修設計業務委託</t>
  </si>
  <si>
    <t>2024/07/25 10:02</t>
  </si>
  <si>
    <t>株式会社日本設計コンサルタント 入間営業所</t>
  </si>
  <si>
    <t>北口地区 １号街区公園計画・基本設計業務委託</t>
  </si>
  <si>
    <t>2024/07/11 10:16</t>
  </si>
  <si>
    <t>2024/07/04 10:02</t>
  </si>
  <si>
    <t>橋梁塗膜調査業務委託</t>
  </si>
  <si>
    <t>2024/06/27 10:51</t>
  </si>
  <si>
    <t>北口地区エレベーター実施設計及び歩道橋修正設計業務委託</t>
  </si>
  <si>
    <t>2024/06/27 10:01</t>
  </si>
  <si>
    <t>32街区擁壁詳細設計及び宅地造成設計業務委託</t>
  </si>
  <si>
    <t>西武支所線整備（第六・七工区）実施設計業務委託</t>
  </si>
  <si>
    <t>2024/06/21 09:50</t>
  </si>
  <si>
    <t>入間市コミュニティバス（てぃーワゴン）利用実態調査業務委託</t>
  </si>
  <si>
    <t>2024/06/20 11:03</t>
  </si>
  <si>
    <t>南峯橋・木蓮寺大久保橋補修設計業務委託</t>
  </si>
  <si>
    <t>2024/06/20 10:16</t>
  </si>
  <si>
    <t>荒川右岸流域関連入間公共下水道事業計画変更図書等作成業務委託</t>
  </si>
  <si>
    <t>2024/05/17 09:50</t>
  </si>
  <si>
    <t>橋梁長寿命化修繕計画策定更新業務委託</t>
  </si>
  <si>
    <t>2024/05/16 10:32</t>
  </si>
  <si>
    <t>入間市マンション管理実態調査業務委託</t>
  </si>
  <si>
    <t>2024/05/16 10:16</t>
  </si>
  <si>
    <t>狭山台地区近隣公園パークＰＦＩ事業支援業務委託</t>
  </si>
  <si>
    <t>2024/05/16 10:02</t>
  </si>
  <si>
    <t>2024/05/10 11:30</t>
  </si>
  <si>
    <t>公共下水道管路施設調査業務委託（R6-1）</t>
  </si>
  <si>
    <t>2024/05/10 11:10</t>
  </si>
  <si>
    <t>2024/04/24 09:51</t>
  </si>
  <si>
    <t>公共下水道管路施設耐震診断調査（詳細診断）業務委託（R6-1）</t>
  </si>
  <si>
    <t>2024/04/12 11:50</t>
  </si>
  <si>
    <t>朝霞市</t>
  </si>
  <si>
    <t>黒目橋改修工事設計業務委託</t>
  </si>
  <si>
    <t>2026/05/14 10:06</t>
  </si>
  <si>
    <t>朝霞市 総務部 契約検査課</t>
  </si>
  <si>
    <t>東橋改修工事設計業務委託</t>
  </si>
  <si>
    <t>2026/05/14 09:58</t>
  </si>
  <si>
    <t>都市基本図等修正業務委託</t>
  </si>
  <si>
    <t>2026/05/14 09:53</t>
  </si>
  <si>
    <t>新盛橋添架管詳細設計業務委託</t>
  </si>
  <si>
    <t>2026/05/14 09:50</t>
  </si>
  <si>
    <t>橋梁（東武鉄道跨線橋）点検業務委託</t>
  </si>
  <si>
    <t>2026/04/27 09:56</t>
  </si>
  <si>
    <t>東日本総合計画株式会社 新座支店</t>
  </si>
  <si>
    <t>花ノ木橋・新高橋添架管更新詳細設計業務委託</t>
  </si>
  <si>
    <t>2026/02/18 09:04</t>
  </si>
  <si>
    <t>朝霞都市計画道路事業変更認可図書作成業務委託</t>
  </si>
  <si>
    <t>2025/09/25 09:05</t>
  </si>
  <si>
    <t>笹橋添架管詳細設計業務委託</t>
  </si>
  <si>
    <t>2025/08/27 09:26</t>
  </si>
  <si>
    <t>市道５号線道路改良工事設計業務委託</t>
  </si>
  <si>
    <t>2025/08/27 09:22</t>
  </si>
  <si>
    <t>トーカイテック株式会社 朝霞営業所</t>
  </si>
  <si>
    <t>黒目第５処理分区口径検証業務委託</t>
  </si>
  <si>
    <t>2025/06/11 09:11</t>
  </si>
  <si>
    <t>東橋側道橋補修設計業務委託</t>
  </si>
  <si>
    <t>2024/06/26 09:42</t>
  </si>
  <si>
    <t>流域関連朝霞公共下水道事業計画変更等業務委託</t>
  </si>
  <si>
    <t>2024/06/26 09:37</t>
  </si>
  <si>
    <t>笹橋添架管基本設計業務委託</t>
  </si>
  <si>
    <t>2024/06/26 09:34</t>
  </si>
  <si>
    <t>新盛橋添架管基本設計業務委託</t>
  </si>
  <si>
    <t>2024/06/26 09:31</t>
  </si>
  <si>
    <t>膝折町１丁目地内貯留施設実施設計に伴う調査検討業務委託</t>
  </si>
  <si>
    <t>2024/06/26 09:25</t>
  </si>
  <si>
    <t>株式会社松尾設計 新座事務所</t>
  </si>
  <si>
    <t>新河岸第１６－４－２処理分区口径検証業務委託</t>
  </si>
  <si>
    <t>2024/06/12 09:05</t>
  </si>
  <si>
    <t>第五小学校前歩道橋他改修工事設計業務委託</t>
  </si>
  <si>
    <t>2024/05/16 09:20</t>
  </si>
  <si>
    <t>志木市</t>
  </si>
  <si>
    <t>宗岡第4水源地導水管布設替工事実施設計業務委託</t>
  </si>
  <si>
    <t>2025/10/27 09:39</t>
  </si>
  <si>
    <t>志木市 総合行政部 行政管理課</t>
  </si>
  <si>
    <t>市道2119号線道路詳細設計業務委託</t>
  </si>
  <si>
    <t>2025/09/26 10:18</t>
  </si>
  <si>
    <t>株式会社サンケイコンサルタント 本店</t>
  </si>
  <si>
    <t>雨水浸透井戸設置検討業務委託</t>
  </si>
  <si>
    <t>2025/09/26 10:15</t>
  </si>
  <si>
    <t>ひばり児童公園トイレ及び園路改修設計業務委託</t>
  </si>
  <si>
    <t>2025/07/29 09:26</t>
  </si>
  <si>
    <t>埼玉測量設計株式会社 西部営業所</t>
  </si>
  <si>
    <t>志木市ウォーターPPP導入事前検討業務委託</t>
  </si>
  <si>
    <t>2025/07/28 09:18</t>
  </si>
  <si>
    <t>国道254号バイパス整備に伴う下水道（汚水）実施設計業務委託</t>
  </si>
  <si>
    <t>2025/07/28 09:13</t>
  </si>
  <si>
    <t>（都）中央通停車場線配水管布設替工事（その3）実施設計業務委託</t>
  </si>
  <si>
    <t>2025/06/25 09:46</t>
  </si>
  <si>
    <t>R8－1工区（雨水）下水道工事実施設計業務委託</t>
  </si>
  <si>
    <t>2025/06/25 09:37</t>
  </si>
  <si>
    <t>上下水道耐震化計画策定業務委託</t>
  </si>
  <si>
    <t>2025/06/25 09:17</t>
  </si>
  <si>
    <t>宗岡浄水場監視制御設備外更新工事設計業務委託</t>
  </si>
  <si>
    <t>2025/06/23 09:35</t>
  </si>
  <si>
    <t>処理区域内事業場等水質検査業務委託</t>
  </si>
  <si>
    <t>2025/05/29 09:36</t>
  </si>
  <si>
    <t>志木駅東口地下駐車場等安全・安心化修繕計画改定業務委託</t>
  </si>
  <si>
    <t>道路橋定期点検業務委託</t>
  </si>
  <si>
    <t>2025/05/29 09:26</t>
  </si>
  <si>
    <t>志木市雨水管理総合計画（段階的対策計画）等作成業務委託</t>
  </si>
  <si>
    <t>水道管工事設計標準仕様書等作成業務委託</t>
  </si>
  <si>
    <t>2025/04/28 09:15</t>
  </si>
  <si>
    <t>県道川越新座線配水本管撤去工事に伴う詳細設計業務委託</t>
  </si>
  <si>
    <t>2025/04/28 09:12</t>
  </si>
  <si>
    <t>県道川越新座線給水管等撤去工事実施設計業務委託</t>
  </si>
  <si>
    <t>2024/12/18 09:12</t>
  </si>
  <si>
    <t>道路台帳補正業務委託</t>
  </si>
  <si>
    <t>2024/10/23 09:03</t>
  </si>
  <si>
    <t>宗岡浄水場着水井基本設計業務委託</t>
  </si>
  <si>
    <t>2024/09/19 09:14</t>
  </si>
  <si>
    <t>市道2255-2号線道路詳細設計業務委託</t>
  </si>
  <si>
    <t>2024/09/17 09:02</t>
  </si>
  <si>
    <t>志木市地域計画策定支援業務委託</t>
  </si>
  <si>
    <t>2024/08/07 09:12</t>
  </si>
  <si>
    <t>東電用地株式会社 埼玉支社</t>
  </si>
  <si>
    <t>第R7-1工区（雨水）下水道工事実施設計業務委託</t>
  </si>
  <si>
    <t>2024/07/25 09:18</t>
  </si>
  <si>
    <t>国道２５４バイパス仮配水管布設工事詳細設計業務委託</t>
  </si>
  <si>
    <t>2024/07/25 09:12</t>
  </si>
  <si>
    <t>2024/07/18 09:42</t>
  </si>
  <si>
    <t>橋梁長寿命化修繕計画改定業務委託</t>
  </si>
  <si>
    <t>2024/06/26 09:09</t>
  </si>
  <si>
    <t>管きょ改築・修繕実施設計業務委託</t>
  </si>
  <si>
    <t>志木駅東口ペデストリアンデッキ整備利活用基本構想検討業務委託</t>
  </si>
  <si>
    <t>2024/06/25 09:21</t>
  </si>
  <si>
    <t>市道１２１１号線道路詳細設計業務委託</t>
  </si>
  <si>
    <t>2024/05/23 09:43</t>
  </si>
  <si>
    <t>市道２１４３号線道路詳細設計業務委託</t>
  </si>
  <si>
    <t>2024/05/23 09:27</t>
  </si>
  <si>
    <t>富士見橋補修設計業務委託</t>
  </si>
  <si>
    <t>2024/04/26 10:01</t>
  </si>
  <si>
    <t>志木市雨水管理方針策定業務委託</t>
  </si>
  <si>
    <t>2024/04/26 09:58</t>
  </si>
  <si>
    <t>下水道事業全体計画等作成業務委託</t>
  </si>
  <si>
    <t>2024/04/26 09:54</t>
  </si>
  <si>
    <t>和光市</t>
  </si>
  <si>
    <t>路面下空洞化調査業務委託</t>
  </si>
  <si>
    <t>2025/11/25 10:30</t>
  </si>
  <si>
    <t>和光市 企画部 財政課</t>
  </si>
  <si>
    <t>市道281号線・市道2106号線他配水管布設替え工事に伴う設計業務委託</t>
  </si>
  <si>
    <t>2025/11/25 10:21</t>
  </si>
  <si>
    <t>株式会社日本水工コンサルタント 新座営業所</t>
  </si>
  <si>
    <t>市道226号線・市道230号線他・市道251号線配水管布設替え工事に伴う設計業務委託</t>
  </si>
  <si>
    <t>2025/11/25 10:09</t>
  </si>
  <si>
    <t>外環側道安全対策検討業務委託</t>
  </si>
  <si>
    <t>2025/10/24 10:52</t>
  </si>
  <si>
    <t>中央土地区画整理事業施行区域におけるまちづくりの方向性検討業務委託</t>
  </si>
  <si>
    <t>2025/10/24 10:44</t>
  </si>
  <si>
    <t>25下水道事業耐震対策実施設計業務委託</t>
  </si>
  <si>
    <t>2025/06/25 10:15</t>
  </si>
  <si>
    <t>25和光北インター東部地区区画整理事業に伴う放流管実施設計業務委託</t>
  </si>
  <si>
    <t>2025/05/26 10:43</t>
  </si>
  <si>
    <t>株式会社サポート 和光営業所</t>
  </si>
  <si>
    <t>南浄水場配水ポンプ施設更新工事設計業務委託</t>
  </si>
  <si>
    <t>2025/05/26 10:39</t>
  </si>
  <si>
    <t>和光市橋梁及び横断歩道橋長寿命化修繕計画更新業務委託</t>
  </si>
  <si>
    <t>2025/05/26 10:35</t>
  </si>
  <si>
    <t>都市計画道路諏訪越四ツ木線道路構造物検討及び交差点計画業務委託</t>
  </si>
  <si>
    <t>2025/05/26 10:29</t>
  </si>
  <si>
    <t>和光市地域公共交通計画推進支援業務委託</t>
  </si>
  <si>
    <t>株式会社ケー・シー・エス 東京支社</t>
  </si>
  <si>
    <t>焼却処理施設修繕見積査定業務</t>
  </si>
  <si>
    <t>2025/04/25 10:15</t>
  </si>
  <si>
    <t>ごみ焼却処理施設精密機能検査業務委託</t>
  </si>
  <si>
    <t>2025/04/25 10:12</t>
  </si>
  <si>
    <t>和光国際高校・和光特別支援学校公共汚水桝設置工事に伴う設計業務委託</t>
  </si>
  <si>
    <t>2024/12/23 09:28</t>
  </si>
  <si>
    <t>24中央分区枝線設計業務委託（市道490号線）</t>
  </si>
  <si>
    <t>2024/11/26 09:55</t>
  </si>
  <si>
    <t>市道1号線・市道145号線・市道430号線配水管布設替え工事に伴う設計業務委託</t>
  </si>
  <si>
    <t>2024/11/26 09:50</t>
  </si>
  <si>
    <t>国道254号・市道224号線・市道485号線配水管布設替え工事に伴う設計業務委託</t>
  </si>
  <si>
    <t>市道431号線・市道429号線・市道21号線他配水管布設替え工事に伴う設計業務委託</t>
  </si>
  <si>
    <t>2024/11/26 09:42</t>
  </si>
  <si>
    <t>2024/10/28 09:42</t>
  </si>
  <si>
    <t>2024/08/30 09:21</t>
  </si>
  <si>
    <t>橋梁添架管点検調査業務委託</t>
  </si>
  <si>
    <t>2024/08/30 09:18</t>
  </si>
  <si>
    <t>道路調査業務委託</t>
  </si>
  <si>
    <t>2024/07/26 10:07</t>
  </si>
  <si>
    <t>東部第一号汚水幹線不明水対策方法検討業務委託</t>
  </si>
  <si>
    <t>2024/07/26 10:03</t>
  </si>
  <si>
    <t>白子三丁目中央土地区画整理事業地区内公園整備設計業務委託</t>
  </si>
  <si>
    <t>2024/07/26 09:58</t>
  </si>
  <si>
    <t>和光市駅北口地区汚水幹線現況能力確認業務委託</t>
  </si>
  <si>
    <t>2024/06/28 08:36</t>
  </si>
  <si>
    <t>末端監視装置更新工事設計業務委託</t>
  </si>
  <si>
    <t>2024/06/26 10:11</t>
  </si>
  <si>
    <t>和光市ストックマネジメント計画及び経営戦略策定業務委託</t>
  </si>
  <si>
    <t>2024/06/04 09:10</t>
  </si>
  <si>
    <t>酒井浄水場配水池改修工事設計業務委託</t>
  </si>
  <si>
    <t>2024/05/28 09:50</t>
  </si>
  <si>
    <t>中央第一号汚水幹線他現況能力確認及び対策方法検討業務委託</t>
  </si>
  <si>
    <t>2024/05/28 09:26</t>
  </si>
  <si>
    <t>和光都市計画下水道事業計画見直し他業務委託</t>
  </si>
  <si>
    <t>2024/04/26 09:50</t>
  </si>
  <si>
    <t>都市計画道路諏訪越四ツ木線地質等調査業務委託</t>
  </si>
  <si>
    <t>2024/04/26 09:45</t>
  </si>
  <si>
    <t>株式会社ジー・アイ・シー 本店</t>
  </si>
  <si>
    <t>都市計画道路諏訪越四ツ木線道路予備設計業務委託（その２）</t>
  </si>
  <si>
    <t>2024/04/26 09:40</t>
  </si>
  <si>
    <t>大規模盛土造成地第二次スクリーニング業務委託（その４）</t>
  </si>
  <si>
    <t>2024/04/26 09:35</t>
  </si>
  <si>
    <t>2024/04/26 09:30</t>
  </si>
  <si>
    <t>新座市</t>
  </si>
  <si>
    <t>消火栓修繕実施設計業務委託</t>
  </si>
  <si>
    <t>2026/05/13 09:18</t>
  </si>
  <si>
    <t>新座市 財政部 管財契約課</t>
  </si>
  <si>
    <t>中野一丁目地内配水管布設替実施設計業務委託</t>
  </si>
  <si>
    <t>2026/04/22 09:37</t>
  </si>
  <si>
    <t>中野二丁目地内ほか１か所配水管布設替基本設計業務委託</t>
  </si>
  <si>
    <t>2026/04/22 09:34</t>
  </si>
  <si>
    <t>街路樹台帳及び街路樹マネジメント方針作成業務委託</t>
  </si>
  <si>
    <t>2026/04/22 09:27</t>
  </si>
  <si>
    <t>新座都市計画道路３・４・１１放射７号線（新堀工区）整備に伴う配水管切廻し実施設計業務委託</t>
  </si>
  <si>
    <t>池田上橋長寿命化修繕工事実施設計業務委託</t>
  </si>
  <si>
    <t>2026/01/21 09:00</t>
  </si>
  <si>
    <t>新座駅北口土地区画整理事業 区４．２－１号線推進管布設実施設計業務委託</t>
  </si>
  <si>
    <t>新座市公共下水道汚水管調査業務委託</t>
  </si>
  <si>
    <t>2025/12/17 09:00</t>
  </si>
  <si>
    <t>新座市大規模下水道管路特別重点調査に伴う改築実施設計業務委託</t>
  </si>
  <si>
    <t>2025/12/10 09:13</t>
  </si>
  <si>
    <t>新座駅北口土地区画整理事業 特６－１号線・新座駅北口駅前広場道路築造等実施設計業務委託</t>
  </si>
  <si>
    <t>2025/12/10 09:07</t>
  </si>
  <si>
    <t>西堀・片山送水管布設替基本設計業務委託</t>
  </si>
  <si>
    <t>2025/11/26 09:00</t>
  </si>
  <si>
    <t>新座市公共下水道既設雨水管調査業務委託</t>
  </si>
  <si>
    <t>2025/11/19 09:00</t>
  </si>
  <si>
    <t>新座市公共下水道新座一丁目地区ほか５か所汚水枝線改築実施設計業務委託</t>
  </si>
  <si>
    <t>2025/10/22 09:17</t>
  </si>
  <si>
    <t>新座市公共下水道汚水ストックマネジメントに伴う下水道施設調査業務委託</t>
  </si>
  <si>
    <t>2025/10/22 09:00</t>
  </si>
  <si>
    <t>新座市公共下水道野火止七丁目地内雨水枝線改良実施設計業務委託</t>
  </si>
  <si>
    <t>2025/09/10 09:09</t>
  </si>
  <si>
    <t>貯留管布設実施設計業務委託</t>
  </si>
  <si>
    <t>2025/08/20 09:15</t>
  </si>
  <si>
    <t>新座市公共下水道管路ストックマネジメント計画策定業務委託</t>
  </si>
  <si>
    <t>2025/08/20 09:14</t>
  </si>
  <si>
    <t>新座駅北口土地区画整理事業 １１街区Ｌ型擁壁実施設計業務委託</t>
  </si>
  <si>
    <t>2025/08/20 09:07</t>
  </si>
  <si>
    <t>新座市道路台帳補正等業務委託</t>
  </si>
  <si>
    <t>2025/08/06 09:15</t>
  </si>
  <si>
    <t>新座市汚水施設地震対策方針に伴う人孔耐震化実施設計業務委託</t>
  </si>
  <si>
    <t>2025/07/30 09:10</t>
  </si>
  <si>
    <t>新座市公共下水道三芳町本多幹線改築実施設計業務委託</t>
  </si>
  <si>
    <t>2025/07/16 09:11</t>
  </si>
  <si>
    <t>新座駅北口土地区画整理事業 新座駅北口駅前広場ほか２路線雨水管布設実施設計業務委託</t>
  </si>
  <si>
    <t>2025/07/16 09:06</t>
  </si>
  <si>
    <t>橋梁点検調査業務委託</t>
  </si>
  <si>
    <t>新座市公共下水道新座駅北口土地区画整理地区汚水枝線実施設計業務委託</t>
  </si>
  <si>
    <t>2025/07/09 09:15</t>
  </si>
  <si>
    <t>新座市公共下水道都市計画道路放射７号線に伴う下水道管路施設基本設計業務委託</t>
  </si>
  <si>
    <t>2025/06/18 09:06</t>
  </si>
  <si>
    <t>新座駅北口土地区画整理事業 区６－２１号線雨水管布設実施設計業務委託</t>
  </si>
  <si>
    <t>西堀浄水場揚水ポンプ及び制御盤更新工事実施設計業務委託</t>
  </si>
  <si>
    <t>2025/06/04 09:15</t>
  </si>
  <si>
    <t>西堀浄水場ろ過機更新工事実施設計業務委託</t>
  </si>
  <si>
    <t>2025/06/04 09:00</t>
  </si>
  <si>
    <t>中沢川補修工事予備設計業務委託</t>
  </si>
  <si>
    <t>2025/05/28 10:06</t>
  </si>
  <si>
    <t>新座市公共下水道石神四丁目地内雨水枝線基本設計業務委託</t>
  </si>
  <si>
    <t>2025/05/28 09:19</t>
  </si>
  <si>
    <t>新座市公共下水道平林寺第三枝線実施設計業務委託</t>
  </si>
  <si>
    <t>2025/05/28 09:07</t>
  </si>
  <si>
    <t>2025/05/21 10:08</t>
  </si>
  <si>
    <t>馬場三丁目地内配水管布設替実施設計業務委託</t>
  </si>
  <si>
    <t>片山二・三丁目、野寺三・四丁目地内配水管布設実施設計業務委託</t>
  </si>
  <si>
    <t>2025/05/21 09:29</t>
  </si>
  <si>
    <t>トーカイテック株式会社 新座営業所</t>
  </si>
  <si>
    <t>中沢川改修工事実施設計業務委託</t>
  </si>
  <si>
    <t>2025/05/21 09:25</t>
  </si>
  <si>
    <t>新座市上水道第８次施設整備事業計画策定業務委託</t>
  </si>
  <si>
    <t>2025/05/14 10:05</t>
  </si>
  <si>
    <t>宮上橋ほか２橋長寿命化修繕工事実施設計業務委託</t>
  </si>
  <si>
    <t>2025/05/14 09:30</t>
  </si>
  <si>
    <t>新座駅北口土地区画整理事業 変更事業計画書等作成業務委託</t>
  </si>
  <si>
    <t>2025/05/14 09:01</t>
  </si>
  <si>
    <t>新座駅北口土地区画整理事業 新座駅北口駅前広場基本計画及び基本設計等業務委託</t>
  </si>
  <si>
    <t>2025/05/07 14:06</t>
  </si>
  <si>
    <t>新座市公共下水道新座二丁目地区汚水管実施設計業務委託</t>
  </si>
  <si>
    <t>2025/04/23 09:17</t>
  </si>
  <si>
    <t>新都市設計株式会社 新座営業所</t>
  </si>
  <si>
    <t>新座駅北口土地区画整理地内北口通線ほか２路線配水管布設実施設計業務委託</t>
  </si>
  <si>
    <t>2025/04/23 09:11</t>
  </si>
  <si>
    <t>2025/01/15 09:00</t>
  </si>
  <si>
    <t>新座駅北口土地区画整理事業 区６－２２号線道路築造等実施設計業務委託</t>
  </si>
  <si>
    <t>2024/12/25 09:06</t>
  </si>
  <si>
    <t>新座駅北口土地区画整理事業 区６－３６号線道路築造工事実施設計業務委託</t>
  </si>
  <si>
    <t>2024/11/20 09:27</t>
  </si>
  <si>
    <t>2024/11/20 09:17</t>
  </si>
  <si>
    <t>新座一丁目地内配水管布設替実施設計業務委託</t>
  </si>
  <si>
    <t>2024/11/13 09:14</t>
  </si>
  <si>
    <t>新座市汚水施設地震対策方針に伴う特殊人孔耐震診断調査業務委託</t>
  </si>
  <si>
    <t>2024/11/13 09:07</t>
  </si>
  <si>
    <t>新座駅北口土地区画整理事業 １号街区公園擁壁予備設計業務委託</t>
  </si>
  <si>
    <t>2024/10/30 09:07</t>
  </si>
  <si>
    <t>新座市公共下水道雨水ストックマネジメント計画策定に向けた既設管調査業務委託</t>
  </si>
  <si>
    <t>2024/08/21 09:07</t>
  </si>
  <si>
    <t>2024/08/21 09:06</t>
  </si>
  <si>
    <t>新座駅北口土地区画整理事業 区１０．５－１号線道路築造工事実施設計業務委託その２</t>
  </si>
  <si>
    <t>2024/08/21 09:00</t>
  </si>
  <si>
    <t>新座駅北口土地区画整理事業 ３４街区Ｌ型擁壁実施設計業務委託</t>
  </si>
  <si>
    <t>2024/07/31 09:00</t>
  </si>
  <si>
    <t>都市計画道路東久留米志木線基本設計業務委託</t>
  </si>
  <si>
    <t>2024/07/24 09:00</t>
  </si>
  <si>
    <t>新座市公共下水道新座都市計画道路３・４・１号保谷朝霞線に伴う雨水管整備検討業務委託</t>
  </si>
  <si>
    <t>2024/07/03 09:12</t>
  </si>
  <si>
    <t>新座市公共下水道野火止中央枝線実施設計業務委託</t>
  </si>
  <si>
    <t>2024/06/26 09:06</t>
  </si>
  <si>
    <t>2024/06/19 09:13</t>
  </si>
  <si>
    <t>新座市公共下水道新座駅北口土地区画整理地内雨水枝線実施設計業務委託</t>
  </si>
  <si>
    <t>2024/06/19 09:09</t>
  </si>
  <si>
    <t>新座市公共下水道改築工法検討業務委託</t>
  </si>
  <si>
    <t>2024/06/05 09:07</t>
  </si>
  <si>
    <t>新座市公共下水道畑中一丁目、東一丁目、野火止七丁目地区汚水枝線改築実施設計業務委託</t>
  </si>
  <si>
    <t>2024/05/22 09:49</t>
  </si>
  <si>
    <t>市道第８号線歩道整備工事実施設計業務委託</t>
  </si>
  <si>
    <t>2024/05/22 09:45</t>
  </si>
  <si>
    <t>中沢川河川構造物予備設計業務委託</t>
  </si>
  <si>
    <t>2024/05/22 09:41</t>
  </si>
  <si>
    <t>野火止用水法面整備工事実施設計業務委託</t>
  </si>
  <si>
    <t>2024/05/22 09:38</t>
  </si>
  <si>
    <t>管路耐震化計画策定業務委託</t>
  </si>
  <si>
    <t>2024/05/08 09:00</t>
  </si>
  <si>
    <t>片山一丁目、道場一丁目地内配水管布設替実施設計業務委託</t>
  </si>
  <si>
    <t>2024/04/24 09:42</t>
  </si>
  <si>
    <t>西堀二丁目地内配水管布設替実施設計業務委託</t>
  </si>
  <si>
    <t>中郷橋長寿命化修繕工事実施設計業務委託</t>
  </si>
  <si>
    <t>2024/04/24 09:31</t>
  </si>
  <si>
    <t>隅屋敷橋長寿命化修繕工事実施設計業務委託</t>
  </si>
  <si>
    <t>2024/04/24 09:27</t>
  </si>
  <si>
    <t>栗原一丁目地内配水管布設替実施設計業務委託</t>
  </si>
  <si>
    <t>2024/04/24 09:05</t>
  </si>
  <si>
    <t>桶川市</t>
  </si>
  <si>
    <t>管渠実施設計委託（Ｒ７ー１汚・雨４）</t>
  </si>
  <si>
    <t>2025/07/24 09:20</t>
  </si>
  <si>
    <t>桶川市 総務部 契約管財課</t>
  </si>
  <si>
    <t>桶川西小学校校庭遊具等移設工事設計業務委託</t>
  </si>
  <si>
    <t>2025/06/23 11:20</t>
  </si>
  <si>
    <t>埼玉コンサルタント株式会社 上尾支社</t>
  </si>
  <si>
    <t>市道６３－１号線道路詳細設計業務委託</t>
  </si>
  <si>
    <t>2025/06/23 11:00</t>
  </si>
  <si>
    <t>株式会社二和 桶川支店</t>
  </si>
  <si>
    <t>下水道管路施設ストックマネジメント実施計画変更委託（Ｒ７）</t>
  </si>
  <si>
    <t>2025/06/23 09:40</t>
  </si>
  <si>
    <t>2025/06/23 09:30</t>
  </si>
  <si>
    <t>市道６３３４－１号橋外１橋修繕設計業務委託</t>
  </si>
  <si>
    <t>2025/06/23 09:21</t>
  </si>
  <si>
    <t>殿山公園設計業務委託</t>
  </si>
  <si>
    <t>2025/06/23 09:11</t>
  </si>
  <si>
    <t>桶川市生活排水処理基本計画策定業務委託</t>
  </si>
  <si>
    <t>2025/05/22 11:30</t>
  </si>
  <si>
    <t>市道5377・5379号線道路詳細設計業務委託</t>
  </si>
  <si>
    <t>株式会社オカマツエンヂニアリング 桶川支店</t>
  </si>
  <si>
    <t>下日出谷西１号調整池改修工事実施設計業務委託</t>
  </si>
  <si>
    <t>橋梁長寿命化修繕計画修正業務委託</t>
  </si>
  <si>
    <t>資材価格調査委託（Ｒ７－１汚４）</t>
  </si>
  <si>
    <t>2025/04/22 09:31</t>
  </si>
  <si>
    <t>南小跡地接続道路道路詳細設計業務委託</t>
  </si>
  <si>
    <t>2025/04/22 09:12</t>
  </si>
  <si>
    <t>管渠実施設計委託（Ｒ６－３汚４）</t>
  </si>
  <si>
    <t>2024/12/20 10:50</t>
  </si>
  <si>
    <t>市道４２４４－１号線道路詳細設計業務委託</t>
  </si>
  <si>
    <t>2024/10/22 09:30</t>
  </si>
  <si>
    <t>株式会社ヤマト測建 本店</t>
  </si>
  <si>
    <t>市道3717号橋補修設計業務委託</t>
  </si>
  <si>
    <t>2024/06/26 14:10</t>
  </si>
  <si>
    <t>目沢排水路調節池詳細設計業務委託</t>
  </si>
  <si>
    <t>2024/06/26 14:00</t>
  </si>
  <si>
    <t>北ニ路上ポンプ場改築基本計画策定委託（R6汚）</t>
  </si>
  <si>
    <t>2024/05/23 10:30</t>
  </si>
  <si>
    <t>管渠実施設計委託（R6-2汚）</t>
  </si>
  <si>
    <t>公共下水道事業計画変更業務委託（R6）</t>
  </si>
  <si>
    <t>2024/04/19 09:30</t>
  </si>
  <si>
    <t>桶川市緑のまちづくり基本計画策定業務委託</t>
  </si>
  <si>
    <t>2024/04/19 09:16</t>
  </si>
  <si>
    <t>管渠実施設計委託（R6-1）</t>
  </si>
  <si>
    <t>2024/04/19 09:01</t>
  </si>
  <si>
    <t>久喜市</t>
  </si>
  <si>
    <t>久喜駅西口周辺まちづくり事業化検討パートナー選定支援業務委託</t>
  </si>
  <si>
    <t>2026/04/23 09:36</t>
  </si>
  <si>
    <t>久喜市 まちづくり推進部 まちづくり推進部</t>
  </si>
  <si>
    <t>橋梁修繕設計業務委託（上内谷橋）</t>
  </si>
  <si>
    <t>久喜市 建設部 建設部</t>
  </si>
  <si>
    <t>橋梁PCB含有調査業務委託</t>
  </si>
  <si>
    <t>2025/10/31 09:01</t>
  </si>
  <si>
    <t>橋梁点検業務委託（鷲宮地区、橋長５m以上１０m未満）</t>
  </si>
  <si>
    <t>2025/10/21 09:02</t>
  </si>
  <si>
    <t>舗装本復旧工事に伴う設計業務委託（Ｒ７その２）</t>
  </si>
  <si>
    <t>2025/10/20 09:00</t>
  </si>
  <si>
    <t>久喜市 上下水道部 上下水道部</t>
  </si>
  <si>
    <t>橋梁点検業務委託（久喜・栗橋地区、橋長２m以上15m未満）</t>
  </si>
  <si>
    <t>2025/09/05 09:00</t>
  </si>
  <si>
    <t>久喜市公園施設長寿命化計画改定業務委託</t>
  </si>
  <si>
    <t>2025/08/29 09:33</t>
  </si>
  <si>
    <t>橋梁長寿命化修繕計画策定（修正）業務委託</t>
  </si>
  <si>
    <t>2025/08/29 09:00</t>
  </si>
  <si>
    <t>基幹管路更新設計業務委託（R7鷲宮地区）</t>
  </si>
  <si>
    <t>2025/08/04 09:01</t>
  </si>
  <si>
    <t>株式会社コーセツコンサルタント 久喜事務所</t>
  </si>
  <si>
    <t>2025/07/22 13:38</t>
  </si>
  <si>
    <t>久喜駅西口周辺まちづくり事業化方策検討業務委託</t>
  </si>
  <si>
    <t>2025/07/22 10:15</t>
  </si>
  <si>
    <t>舗装本復旧工事設計業務委託（栗橋地区）</t>
  </si>
  <si>
    <t>2025/07/18 09:03</t>
  </si>
  <si>
    <t>橋梁点検業務委託（栗橋地区、橋長10m以上15m未満）</t>
  </si>
  <si>
    <t>橋梁点検業務委託（久喜地区、橋長10m以上15m未満）</t>
  </si>
  <si>
    <t>2025/06/24 09:21</t>
  </si>
  <si>
    <t>橋梁点検業務委託（久喜地区、橋長15m以上）</t>
  </si>
  <si>
    <t>2025/06/24 09:02</t>
  </si>
  <si>
    <t>北中継ポンプ場吐出口状況調査業務委託</t>
  </si>
  <si>
    <t>2025/06/20 09:22</t>
  </si>
  <si>
    <t>農業振興拠点（道の駅）管理運営計画策定支援業務委託</t>
  </si>
  <si>
    <t>2025/06/20 09:21</t>
  </si>
  <si>
    <t>久喜市 総合政策部 財政課</t>
  </si>
  <si>
    <t>基幹管路布設基本設計業務委託（R7菖蒲地区）</t>
  </si>
  <si>
    <t>2025/06/20 09:02</t>
  </si>
  <si>
    <t>下水道管布設工事実施設計業務委託（久喜地区）</t>
  </si>
  <si>
    <t>株式会社ジェーエステック 久喜営業所</t>
  </si>
  <si>
    <t>舗装本復旧工事に伴う設計業務委託（Ｒ７その１）</t>
  </si>
  <si>
    <t>2025/06/11 09:10</t>
  </si>
  <si>
    <t>久喜菖蒲工業団地雨水排水ポンプ場耐震診断・耐震補強設計及び機械・電気更新詳細設計業務委託</t>
  </si>
  <si>
    <t>久喜市新ごみ処理施設整備に伴う道路整備工事測量・設計業務委託</t>
  </si>
  <si>
    <t>2025/06/06 09:16</t>
  </si>
  <si>
    <t>上内中継ポンプ場耐震診断・耐震補強設計及び機械・電気更新詳細設計業務委託</t>
  </si>
  <si>
    <t>2025/06/06 09:04</t>
  </si>
  <si>
    <t>八甫浄水場自家発電機更新工事設計業務委託</t>
  </si>
  <si>
    <t>2025/06/04 09:01</t>
  </si>
  <si>
    <t>市道久喜2037号線他冠水調査業務委託</t>
  </si>
  <si>
    <t>久喜市一般廃棄物（生活排水）処理基本計画改定業務委託</t>
  </si>
  <si>
    <t>2025/05/23 10:01</t>
  </si>
  <si>
    <t>2025/05/23 09:48</t>
  </si>
  <si>
    <t>下水道管布設替工事実施設計業務委託</t>
  </si>
  <si>
    <t>2025/05/23 09:36</t>
  </si>
  <si>
    <t>基幹管路更新基本設計業務委託（R7久喜地区）</t>
  </si>
  <si>
    <t>2025/05/23 09:18</t>
  </si>
  <si>
    <t>下水道管布設工事実施設計業務委託（栗橋地区）</t>
  </si>
  <si>
    <t>2025/05/23 09:16</t>
  </si>
  <si>
    <t>下水道管布設工事実施設計業務委託（菖蒲地区）</t>
  </si>
  <si>
    <t>株式会社関東工社 久喜出張所</t>
  </si>
  <si>
    <t>配水管布設替設計業務委託（R7栗橋地区）</t>
  </si>
  <si>
    <t>株式会社日本水工コンサルタント 久喜営業所</t>
  </si>
  <si>
    <t>南栗橋近隣公園改修設計業務委託（第２工区）</t>
  </si>
  <si>
    <t>2025/05/20 09:16</t>
  </si>
  <si>
    <t>配水管布設替設計業務委託（R7久喜地区）</t>
  </si>
  <si>
    <t>2025/05/08 09:47</t>
  </si>
  <si>
    <t>久喜市水道料金算定等業務委託</t>
  </si>
  <si>
    <t>2025/05/07 09:03</t>
  </si>
  <si>
    <t>下新井中継ポンプ場機械・電気設備更新工事施工監理業務委託</t>
  </si>
  <si>
    <t>2025/02/21 09:04</t>
  </si>
  <si>
    <t>株式会社光エンジニアリング 久喜営業所</t>
  </si>
  <si>
    <t>（仮称）久喜市立鷲宮義務教育学校テニスコート整備工事設計業務委託</t>
  </si>
  <si>
    <t>2025/02/07 09:00</t>
  </si>
  <si>
    <t>高柳地区北側交差点詳細設計業務委託</t>
  </si>
  <si>
    <t>2025/02/06 09:00</t>
  </si>
  <si>
    <t>地下水モニタリング業務委託</t>
  </si>
  <si>
    <t>2025/01/24 09:04</t>
  </si>
  <si>
    <t>市道鷲宮308号線冠水調査業務委託</t>
  </si>
  <si>
    <t>2025/01/22 09:02</t>
  </si>
  <si>
    <t>株式会社塩崎テクノブレイン 本店</t>
  </si>
  <si>
    <t>久喜市立地域交流センター石綿含有建材調査業務委託</t>
  </si>
  <si>
    <t>2025/01/17 11:20</t>
  </si>
  <si>
    <t>2025/01/17 09:03</t>
  </si>
  <si>
    <t>配水管布設修正設計業務委託（R6久喜・栗橋・鷲宮地区）</t>
  </si>
  <si>
    <t>2024/11/13 09:03</t>
  </si>
  <si>
    <t>舗装本復旧工事に伴う設計業務委託（R6鷲宮・栗橋・菖蒲・久喜地区）（その２）</t>
  </si>
  <si>
    <t>2024/10/29 09:02</t>
  </si>
  <si>
    <t>久喜駅西口周辺まちづくり調査設計業務委託</t>
  </si>
  <si>
    <t>2024/10/22 09:42</t>
  </si>
  <si>
    <t>栗橋駅東口周辺まちづくり整備方針検討等業務委託</t>
  </si>
  <si>
    <t>日本都市技術株式会社 埼玉事務所</t>
  </si>
  <si>
    <t>橋梁点検業務委託（古久喜公園歩行者専用橋）</t>
  </si>
  <si>
    <t>2024/09/06 09:06</t>
  </si>
  <si>
    <t>久喜駅西口周辺まちづくり協議会運営支援等業務委託</t>
  </si>
  <si>
    <t>2024/08/21 10:10</t>
  </si>
  <si>
    <t>2024/08/02 09:18</t>
  </si>
  <si>
    <t>令和６年度桜田雨水ポンプ場更新工事施工監理業務委託</t>
  </si>
  <si>
    <t>2024/07/22 13:05</t>
  </si>
  <si>
    <t>舗装本復旧設計業務委託（栗橋地区）</t>
  </si>
  <si>
    <t>2024/07/22 09:41</t>
  </si>
  <si>
    <t>橋梁点検業務委託（鷲宮地区、橋長15m以上）</t>
  </si>
  <si>
    <t>2024/07/22 09:01</t>
  </si>
  <si>
    <t>久喜駅西口駅前広場ペデストリアンデッキ補修工事設計業務委託</t>
  </si>
  <si>
    <t>2024/07/17 10:03</t>
  </si>
  <si>
    <t>橋梁点検業務委託（栗橋、鷲宮地区、橋長2m以上5m未満）</t>
  </si>
  <si>
    <t>2024/06/21 09:41</t>
  </si>
  <si>
    <t>橋梁点検業務委託（栗橋地区、橋長5m以上10m未満）</t>
  </si>
  <si>
    <t>2024/06/21 09:22</t>
  </si>
  <si>
    <t>橋梁点検業務委託（菖蒲地区、橋長15m以上）</t>
  </si>
  <si>
    <t>2024/06/21 09:02</t>
  </si>
  <si>
    <t>久喜高柳地区産業団地整備事業に伴う配水管布設設計業務委託</t>
  </si>
  <si>
    <t>2024/06/20 09:54</t>
  </si>
  <si>
    <t>久喜市浄水場電気設備等更新工事設計業務委託</t>
  </si>
  <si>
    <t>2024/06/20 09:33</t>
  </si>
  <si>
    <t>森下浄水場太陽光発電設備工事設計業務委託</t>
  </si>
  <si>
    <t>2024/06/20 09:27</t>
  </si>
  <si>
    <t>配水管布設替設計業務委託（R６菖蒲地区）</t>
  </si>
  <si>
    <t>2024/06/20 09:07</t>
  </si>
  <si>
    <t>舗装本復旧工事に伴う設計業務委託（R6久喜・菖蒲・鷲宮地区）</t>
  </si>
  <si>
    <t>2024/06/07 09:34</t>
  </si>
  <si>
    <t>配水管布設替設計業務委託（R6久喜地区）</t>
  </si>
  <si>
    <t>栗橋・鷲宮間補強連絡管他整備基本設計業務委託（R6栗橋及び鷲宮地区）</t>
  </si>
  <si>
    <t>2024/05/31 09:18</t>
  </si>
  <si>
    <t>下新井中継ポンプ場機械・電気設備更新工事に伴う資材価格実態調査業務委託</t>
  </si>
  <si>
    <t>2024/05/31 09:06</t>
  </si>
  <si>
    <t>配水管布設替設計業務委託（R6栗橋地区）</t>
  </si>
  <si>
    <t>ふれあいセンター久喜石綿含有建材調査業務委託</t>
  </si>
  <si>
    <t>2024/05/23 11:01</t>
  </si>
  <si>
    <t>久喜市新ごみ処理施設整備に伴う道路整備工事測量・設計・補償業務委託</t>
  </si>
  <si>
    <t>2024/05/23 09:20</t>
  </si>
  <si>
    <t>下水道管布設工事実施設計業務委託（北青柳地区農業集落排水接続）</t>
  </si>
  <si>
    <t>2024/05/23 09:19</t>
  </si>
  <si>
    <t>下水道管布設工事実施設計業務委託（塚田地区農業集落排水接続）</t>
  </si>
  <si>
    <t>2024/05/23 09:03</t>
  </si>
  <si>
    <t>大中落川流域雨水貯留施設（桜田小学校）設計業務委託</t>
  </si>
  <si>
    <t>2024/05/23 09:01</t>
  </si>
  <si>
    <t>南栗橋近隣公園改修設計業務委託（第１工区）</t>
  </si>
  <si>
    <t>2024/05/20 09:01</t>
  </si>
  <si>
    <t>古利根川流域関連久喜公共下水道事業計画変更及び久喜都市計画下水道事業認可変更業務委託</t>
  </si>
  <si>
    <t>2024/05/10 10:09</t>
  </si>
  <si>
    <t>北本市</t>
  </si>
  <si>
    <t>都市計画変更図書作成業務委託</t>
  </si>
  <si>
    <t>2025/10/23 09:45</t>
  </si>
  <si>
    <t>北本市 政策推進部 財政課</t>
  </si>
  <si>
    <t>雨水対策設計業務委託</t>
  </si>
  <si>
    <t>2025/07/18 09:50</t>
  </si>
  <si>
    <t>橋梁長寿命化修繕計画策定業務委託</t>
  </si>
  <si>
    <t>2025/07/18 09:45</t>
  </si>
  <si>
    <t>北本駅東口駅前広場シェルター整備工事監理業務委託</t>
  </si>
  <si>
    <t>2025/06/10 09:35</t>
  </si>
  <si>
    <t>2025/05/30 11:00</t>
  </si>
  <si>
    <t>市道６３３４号線詳細設計業務委託</t>
  </si>
  <si>
    <t>2025/05/30 10:50</t>
  </si>
  <si>
    <t>総交下水道施設耐震対策工事実施設計業務委託</t>
  </si>
  <si>
    <t>2025/05/30 10:40</t>
  </si>
  <si>
    <t>市道２３０５・３２６９号線詳細設計業務委託</t>
  </si>
  <si>
    <t>2025/05/30 10:35</t>
  </si>
  <si>
    <t>道路および雨水管路詳細設計業務委託</t>
  </si>
  <si>
    <t>2025/05/30 10:25</t>
  </si>
  <si>
    <t>区６－１号線街路築造工事実施設計業務委託</t>
  </si>
  <si>
    <t>2025/05/30 09:45</t>
  </si>
  <si>
    <t>区６－２４号線他雨水管渠実施設計業務委託</t>
  </si>
  <si>
    <t>2025/05/30 09:35</t>
  </si>
  <si>
    <t>土地区画整理事業見直しに係る路線価・概略換地等業務委託</t>
  </si>
  <si>
    <t>2025/05/30 09:30</t>
  </si>
  <si>
    <t>下水道管渠実施設計業務委託</t>
  </si>
  <si>
    <t>2025/05/16 10:30</t>
  </si>
  <si>
    <t>勝林雨水３号幹線実施設計業務委託</t>
  </si>
  <si>
    <t>2025/05/16 10:25</t>
  </si>
  <si>
    <t>水質分析調査業務委託</t>
  </si>
  <si>
    <t>2025/04/28 10:30</t>
  </si>
  <si>
    <t>換地設計等業務委託</t>
  </si>
  <si>
    <t>2025/04/28 10:00</t>
  </si>
  <si>
    <t>北本市都市計画マスタープラン見直し業務委託</t>
  </si>
  <si>
    <t>2025/04/28 09:31</t>
  </si>
  <si>
    <t>街路築造工事実施設計業務委託</t>
  </si>
  <si>
    <t>2024/08/02 09:35</t>
  </si>
  <si>
    <t>2024/07/18 09:45</t>
  </si>
  <si>
    <t>台原地区・中丸南地区土地利用可能性検討調査業務委託</t>
  </si>
  <si>
    <t>2024/05/29 10:40</t>
  </si>
  <si>
    <t>北本公共下水道事業計画変更業務委託</t>
  </si>
  <si>
    <t>2024/05/29 10:30</t>
  </si>
  <si>
    <t>総交北本市内水ハザードマップ作成業務委託</t>
  </si>
  <si>
    <t>2024/05/29 10:25</t>
  </si>
  <si>
    <t>久保大通線街路築造工事実施設計業務委託</t>
  </si>
  <si>
    <t>2024/05/29 09:40</t>
  </si>
  <si>
    <t>土地区画整理事業見直しに係る基準地積検証等業務委託</t>
  </si>
  <si>
    <t>2024/05/29 09:35</t>
  </si>
  <si>
    <t>中央通線延伸整備計画協議資料作成業務委託</t>
  </si>
  <si>
    <t>2024/05/17 10:20</t>
  </si>
  <si>
    <t>西仲通線道路測量予備設計業務委託</t>
  </si>
  <si>
    <t>2024/05/17 10:15</t>
  </si>
  <si>
    <t>事業計画（変更）作成業務委託</t>
  </si>
  <si>
    <t>2024/04/26 10:40</t>
  </si>
  <si>
    <t>八潮市</t>
  </si>
  <si>
    <t>流域関連公共下水道事業６－下水道事業施工監理（６－西・雨水管渠築造）業務委託</t>
  </si>
  <si>
    <t>2025/09/10 13:36</t>
  </si>
  <si>
    <t>八潮市 総務部 契約検査課</t>
  </si>
  <si>
    <t>流域関連公共下水道事業７－下水道事業施工監理（７－４処理分区枝線管渠築造その６）業務委託</t>
  </si>
  <si>
    <t>2025/09/10 13:34</t>
  </si>
  <si>
    <t>県道平方東京線他配水管布設替工事施工監理業務委託</t>
  </si>
  <si>
    <t>2025/08/27 13:44</t>
  </si>
  <si>
    <t>東京技研設計株式会社 八潮営業所</t>
  </si>
  <si>
    <t>大古－７・調整池（第６公園）基本設計追加検討業務委託</t>
  </si>
  <si>
    <t>2025/08/27 13:41</t>
  </si>
  <si>
    <t>東－７・公共下水道雨水・汚水管渠築造工事実施設計業務委託</t>
  </si>
  <si>
    <t>2025/08/27 13:39</t>
  </si>
  <si>
    <t>株式会社ピーシーレールウェイコンサルタント 八潮営業所</t>
  </si>
  <si>
    <t>流域関連公共下水道事業７－下水道事業施工監理（７－３処理分区枝線管渠築造その２外）業務委託</t>
  </si>
  <si>
    <t>2025/08/27 13:36</t>
  </si>
  <si>
    <t>八潮市公共下水道古新田ポンプ場場内整備実施設計業務委託</t>
  </si>
  <si>
    <t>2025/07/23 13:43</t>
  </si>
  <si>
    <t>流域関連公共下水道事業７－下水道事業施工監理（７－３処理分区枝線管渠築造その４外）業務委託</t>
  </si>
  <si>
    <t>2025/07/23 13:40</t>
  </si>
  <si>
    <t>2025/07/23 13:37</t>
  </si>
  <si>
    <t>木曽根地内他浸水対策調査業務委託</t>
  </si>
  <si>
    <t>2025/07/23 13:35</t>
  </si>
  <si>
    <t>南部西配水管新設工事施工監理業務委託（その１）</t>
  </si>
  <si>
    <t>2025/07/09 13:58</t>
  </si>
  <si>
    <t>西ルート相互連絡管布設工事実施設計業務委託</t>
  </si>
  <si>
    <t>2025/07/09 13:55</t>
  </si>
  <si>
    <t>浄配水場テレメータ更新基本設計業務委託</t>
  </si>
  <si>
    <t>2025/07/09 13:53</t>
  </si>
  <si>
    <t>東－７・家屋事前調査（区６－８８号線他）業務委託</t>
  </si>
  <si>
    <t>2025/07/09 13:51</t>
  </si>
  <si>
    <t>富士測地株式会社 八潮支店</t>
  </si>
  <si>
    <t>流域関連公共下水道事業中央２３号接続ゲート調査業務委託</t>
  </si>
  <si>
    <t>2025/07/09 13:44</t>
  </si>
  <si>
    <t>流域関連公共下水道事業７－西・雨水管渠実施設計業務委託</t>
  </si>
  <si>
    <t>2025/07/09 13:41</t>
  </si>
  <si>
    <t>ウォーターPPP導入事前検討業務委託</t>
  </si>
  <si>
    <t>2025/07/09 13:39</t>
  </si>
  <si>
    <t>流域関連公共下水道事業７－下水道事業設計積算補助業務委託</t>
  </si>
  <si>
    <t>2025/07/09 13:37</t>
  </si>
  <si>
    <t>市道０７４０号線他道路維持工事実施設計業務委託</t>
  </si>
  <si>
    <t>2025/07/09 13:34</t>
  </si>
  <si>
    <t>中川遊歩道施設改修基本設計業務委託</t>
  </si>
  <si>
    <t>2025/06/11 13:37</t>
  </si>
  <si>
    <t>県道松戸草加線基幹管路等耐震化（第７、８期）工事実施設計業務委託</t>
  </si>
  <si>
    <t>2025/05/28 13:42</t>
  </si>
  <si>
    <t>大古－７・八潮金町線予備設計修正業務委託</t>
  </si>
  <si>
    <t>2025/05/28 13:39</t>
  </si>
  <si>
    <t>西上－７・街路築造及び宅地造成工事等実施設計業務委託</t>
  </si>
  <si>
    <t>2025/05/28 13:30</t>
  </si>
  <si>
    <t>芝測量建築設計株式会社 八潮営業所</t>
  </si>
  <si>
    <t>流域関連公共下水道事業７－４処理分区実施設計業務委託</t>
  </si>
  <si>
    <t>2025/05/28 13:28</t>
  </si>
  <si>
    <t>市道７０６８号線他配水管布設替工事施工監理業務委託</t>
  </si>
  <si>
    <t>2025/05/14 13:46</t>
  </si>
  <si>
    <t>鶴二－７・雨水排水施設実施設計業務委託</t>
  </si>
  <si>
    <t>2025/05/14 13:39</t>
  </si>
  <si>
    <t>大古－７・街路築造及び宅地造成工事等実施設計業務委託</t>
  </si>
  <si>
    <t>2025/05/14 13:33</t>
  </si>
  <si>
    <t>公園遊具施設改修実施設計業務委託</t>
  </si>
  <si>
    <t>（仮称）道の駅やしお基礎調査業務委託</t>
  </si>
  <si>
    <t>2025/05/14 13:28</t>
  </si>
  <si>
    <t>流域関連公共下水道事業７－下水道事業施工監理（（ゼロ債務）７－４処理分区枝線管渠築造その３外）業務委託</t>
  </si>
  <si>
    <t>2025/05/14 13:24</t>
  </si>
  <si>
    <t>流域関連公共下水道事業７－６処理分区外実施設計業務委託</t>
  </si>
  <si>
    <t>2025/05/14 13:22</t>
  </si>
  <si>
    <t>南部東配水管新設工事実施設計業務委託（その１）</t>
  </si>
  <si>
    <t>2025/04/23 14:20</t>
  </si>
  <si>
    <t>西上配水管新設等工事実施設計業務委託</t>
  </si>
  <si>
    <t>2025/04/23 14:18</t>
  </si>
  <si>
    <t>南部西配水管新設工事実施設計業務委託（その１）</t>
  </si>
  <si>
    <t>2025/04/23 14:15</t>
  </si>
  <si>
    <t>西上－７・排水施設築造（区９－３号線）修正設計業務委託</t>
  </si>
  <si>
    <t>2025/04/23 14:11</t>
  </si>
  <si>
    <t>東－７・街路築造・宅地造成実施設計及び工事台帳作成業務委託</t>
  </si>
  <si>
    <t>2025/04/23 14:02</t>
  </si>
  <si>
    <t>スケートボード練習広場実施設計業務委託</t>
  </si>
  <si>
    <t>2025/04/23 14:00</t>
  </si>
  <si>
    <t>上二西児童公園整備実施設計業務委託</t>
  </si>
  <si>
    <t>2025/04/23 13:58</t>
  </si>
  <si>
    <t>昭和株式会社 八潮営業所</t>
  </si>
  <si>
    <t>八潮市緑の基本計画改訂業務委託</t>
  </si>
  <si>
    <t>2025/04/23 13:56</t>
  </si>
  <si>
    <t>古新田第７公園整備実施設計業務委託</t>
  </si>
  <si>
    <t>2025/04/23 13:54</t>
  </si>
  <si>
    <t>第２期八潮市まちの景観と空家等対策計画策定支援業務委託</t>
  </si>
  <si>
    <t>2025/04/23 13:47</t>
  </si>
  <si>
    <t>八潮越谷線路線測量及び道路詳細設計業務委託</t>
  </si>
  <si>
    <t>2025/04/23 13:44</t>
  </si>
  <si>
    <t>県道松戸草加線基幹管路等耐震化（第６期）工事施工監理業務委託</t>
  </si>
  <si>
    <t>2025/03/19 13:16</t>
  </si>
  <si>
    <t>流域関連公共下水道事業６－現況水路三次元モデル作成業務委託</t>
  </si>
  <si>
    <t>2025/02/05 11:02</t>
  </si>
  <si>
    <t>流域関連公共下水道事業６－下水道事業設計積算補助業務委託その２</t>
  </si>
  <si>
    <t>2025/01/22 13:28</t>
  </si>
  <si>
    <t>流域関連公共下水道事業６－下水道事業施工監理（６－西・汚水管渠築造その４）業務委託</t>
  </si>
  <si>
    <t>2025/01/22 13:25</t>
  </si>
  <si>
    <t>市道５０８６号線他配水管布設替工事実施設計業務委託</t>
  </si>
  <si>
    <t>2024/12/04 13:32</t>
  </si>
  <si>
    <t>県道平方東京線他配水管布設替工事実施設計業務委託</t>
  </si>
  <si>
    <t>2024/11/21 10:03</t>
  </si>
  <si>
    <t>2024/11/20 13:31</t>
  </si>
  <si>
    <t>３３－１－７号水路切廻し工事施工監理業務委託</t>
  </si>
  <si>
    <t>2024/11/20 13:26</t>
  </si>
  <si>
    <t>外環八潮スマートＩＣアクセス線・入谷東西線詳細設計業務委託</t>
  </si>
  <si>
    <t>2024/11/06 13:29</t>
  </si>
  <si>
    <t>大古－６・排水施設築造（区６－１１号線）工事実施設計業務委託</t>
  </si>
  <si>
    <t>2024/10/23 14:22</t>
  </si>
  <si>
    <t>東－６・垳三郷線交差点設計業務委託</t>
  </si>
  <si>
    <t>2024/10/23 14:20</t>
  </si>
  <si>
    <t>鶴二－６・雨水排水施設調査検討業務委託</t>
  </si>
  <si>
    <t>2024/10/23 14:15</t>
  </si>
  <si>
    <t>流域関連公共下水道事業６－下水道事業施工監理（６－西・汚水管渠築造）業務委託</t>
  </si>
  <si>
    <t>2024/10/23 14:12</t>
  </si>
  <si>
    <t>流域関連公共下水道事業６－４処理分区外舗装本復旧実施設計業務委託</t>
  </si>
  <si>
    <t>2024/10/09 13:46</t>
  </si>
  <si>
    <t>西上－６・公共下水道汚水管渠築造工事実施設計業務委託</t>
  </si>
  <si>
    <t>2024/10/09 13:44</t>
  </si>
  <si>
    <t>新庁舎周辺環境整備（東側歩道）工事施工監理業務委託</t>
  </si>
  <si>
    <t>2024/10/09 13:40</t>
  </si>
  <si>
    <t>流域関連公共下水道事業６－５処理分区実施設計業務委託</t>
  </si>
  <si>
    <t>2024/09/11 15:16</t>
  </si>
  <si>
    <t>１６号水路改修工事実施設計業務委託</t>
  </si>
  <si>
    <t>2024/09/11 15:12</t>
  </si>
  <si>
    <t>東－６・公共下水道雨水・汚水管渠築造工事実施設計業務委託</t>
  </si>
  <si>
    <t>2024/08/21 13:39</t>
  </si>
  <si>
    <t>八潮市公共下水道ストックマネジメント（第２期）計画策定業務委託</t>
  </si>
  <si>
    <t>2024/08/21 13:36</t>
  </si>
  <si>
    <t>橋梁定期点検業務委託</t>
  </si>
  <si>
    <t>2024/08/07 16:11</t>
  </si>
  <si>
    <t>西上－６・街路築造及び宅地造成工事等実施設計業務委託</t>
  </si>
  <si>
    <t>2024/07/24 13:39</t>
  </si>
  <si>
    <t>流域関連公共下水道事業６－下水道事業施工監理（６－４処理分区枝線管渠築造その３外）業務委託</t>
  </si>
  <si>
    <t>地盤変動影響事前調査業務委託</t>
  </si>
  <si>
    <t>2024/07/24 13:31</t>
  </si>
  <si>
    <t>2024/07/10 13:52</t>
  </si>
  <si>
    <t>2024/07/10 13:50</t>
  </si>
  <si>
    <t>大古－６・排水施設築造（区６－１２号線他）工事実施設計業務委託</t>
  </si>
  <si>
    <t>2024/07/10 13:48</t>
  </si>
  <si>
    <t>大古－６・家屋事後調査（区６－３６号線）業務委託</t>
  </si>
  <si>
    <t>2024/07/10 13:45</t>
  </si>
  <si>
    <t>東－６・家屋事前調査（区６－４８号線）業務委託</t>
  </si>
  <si>
    <t>2024/07/10 13:43</t>
  </si>
  <si>
    <t>八潮市空家等実態調査業務委託</t>
  </si>
  <si>
    <t>2024/07/10 13:40</t>
  </si>
  <si>
    <t>流域関連公共下水道事業６－６処理分区実施設計業務委託</t>
  </si>
  <si>
    <t>2024/07/10 13:38</t>
  </si>
  <si>
    <t>道路改良（市道０４２０号線他）工事実施設計業務委託</t>
  </si>
  <si>
    <t>2024/07/10 13:35</t>
  </si>
  <si>
    <t>市道６０９３号線橋補修設計業務委託</t>
  </si>
  <si>
    <t>2024/07/10 13:33</t>
  </si>
  <si>
    <t>市道２１３１号線他配水管布設替工事施工監理業務委託</t>
  </si>
  <si>
    <t>2024/06/12 13:59</t>
  </si>
  <si>
    <t>流域関連公共下水道事業６－３処理分区実施設計業務委託</t>
  </si>
  <si>
    <t>2024/06/12 13:51</t>
  </si>
  <si>
    <t>株式会社シーエスエンジニアズ 越谷営業所</t>
  </si>
  <si>
    <t>流域関連公共下水道事業６－下水道事業設計積算補助業務委託</t>
  </si>
  <si>
    <t>2024/06/12 13:49</t>
  </si>
  <si>
    <t>流域関連公共下水道事業６－下水道事業施工監理（６－４処理分区枝線管渠築造外）業務委託</t>
  </si>
  <si>
    <t>2024/06/12 13:46</t>
  </si>
  <si>
    <t>流域関連公共下水道事業６－マンホールトイレシステム実施設計業務委託</t>
  </si>
  <si>
    <t>2024/06/12 13:43</t>
  </si>
  <si>
    <t>６号水路（新堀落し）改修協議図書作成業務委託</t>
  </si>
  <si>
    <t>2024/06/12 13:40</t>
  </si>
  <si>
    <t>道路維持（市道４００１号線他）工事実施設計業務委託</t>
  </si>
  <si>
    <t>2024/06/12 13:38</t>
  </si>
  <si>
    <t>市道６２２１号線他配水管布設替工事施工監理業務委託</t>
  </si>
  <si>
    <t>2024/05/29 13:32</t>
  </si>
  <si>
    <t>大古－６・調整池築造（第６公園）工事基本設計業務委託</t>
  </si>
  <si>
    <t>2024/05/29 13:29</t>
  </si>
  <si>
    <t>流域関連公共下水道事業６－３処理分区外実施設計業務委託</t>
  </si>
  <si>
    <t>2024/05/29 13:27</t>
  </si>
  <si>
    <t>流域関連公共下水道事業６－４処理分区実施設計業務委託その３</t>
  </si>
  <si>
    <t>2024/05/29 13:24</t>
  </si>
  <si>
    <t>トーカイテック株式会社 八潮営業所</t>
  </si>
  <si>
    <t>市道６０５９号線配水管布設替工事施工監理業務委託</t>
  </si>
  <si>
    <t>2024/05/22 14:03</t>
  </si>
  <si>
    <t>西上－６・宅地造成工事実施設計業務委託</t>
  </si>
  <si>
    <t>2024/05/22 13:58</t>
  </si>
  <si>
    <t>大瀬運動公園整備基本設計業務委託</t>
  </si>
  <si>
    <t>2024/05/22 13:46</t>
  </si>
  <si>
    <t>流域関連公共下水道事業６－４処理分区実施設計業務委託その２</t>
  </si>
  <si>
    <t>2024/05/22 13:41</t>
  </si>
  <si>
    <t>流域関連公共下水道事業６－西・汚水雨水管渠実施設計業務委託</t>
  </si>
  <si>
    <t>2024/05/22 13:39</t>
  </si>
  <si>
    <t>流域関連公共下水道事業６－草加都市計画事業認可変更申請図書作成業務委託</t>
  </si>
  <si>
    <t>2024/05/22 13:36</t>
  </si>
  <si>
    <t>南部東配水管新設工事施工監理業務委託（その１）</t>
  </si>
  <si>
    <t>2024/05/08 13:37</t>
  </si>
  <si>
    <t>八潮市水道事業ビジョン・経営戦略策定業務委託</t>
  </si>
  <si>
    <t>2024/05/08 13:35</t>
  </si>
  <si>
    <t>東－６・街路築造・宅地造成実施設計及び工事台帳作成業務委託</t>
  </si>
  <si>
    <t>2024/05/08 13:33</t>
  </si>
  <si>
    <t>八潮中央公園整備実施設計業務委託</t>
  </si>
  <si>
    <t>2024/05/08 13:30</t>
  </si>
  <si>
    <t>上二西・鶴塚児童公園基本設計業務委託</t>
  </si>
  <si>
    <t>2024/05/08 13:27</t>
  </si>
  <si>
    <t>2024/05/08 13:25</t>
  </si>
  <si>
    <t>都市計画変更図書等作成業務委託</t>
  </si>
  <si>
    <t>2024/05/08 13:23</t>
  </si>
  <si>
    <t>株式会社双葉 埼玉営業所</t>
  </si>
  <si>
    <t>八潮越谷線権利再調査及び事業認可申請図書作成業務委託</t>
  </si>
  <si>
    <t>2024/05/08 13:18</t>
  </si>
  <si>
    <t>和耕排水施設発電機更新実施設計業務委託</t>
  </si>
  <si>
    <t>2024/05/08 13:15</t>
  </si>
  <si>
    <t>大古－６・街路築造及び宅地造成工事等実施設計業務委託</t>
  </si>
  <si>
    <t>2024/04/17 14:09</t>
  </si>
  <si>
    <t>大古－６・家屋事前調査（区７－８０号線他）業務委託</t>
  </si>
  <si>
    <t>2024/04/17 14:02</t>
  </si>
  <si>
    <t>八潮市立地適正化計画策定業務委託</t>
  </si>
  <si>
    <t>2024/04/17 13:57</t>
  </si>
  <si>
    <t>流域関連公共下水道事業６－下水道事業施工監理（６－３処理分区枝線管渠築造外）業務委託</t>
  </si>
  <si>
    <t>2024/04/17 13:52</t>
  </si>
  <si>
    <t>富士見市</t>
  </si>
  <si>
    <t>南畑橋水管橋下部橋台耐震診断調査業務委託</t>
  </si>
  <si>
    <t>2026/04/16 09:00</t>
  </si>
  <si>
    <t>富士見市 総務部 総務課</t>
  </si>
  <si>
    <t>換地処分等業務委託（西７）（ゼロ債務）</t>
  </si>
  <si>
    <t>2026/02/10 09:10</t>
  </si>
  <si>
    <t>歩行者専用道路等整備に係る業務委託（西７）</t>
  </si>
  <si>
    <t>2026/02/06 09:00</t>
  </si>
  <si>
    <t>護岸改修詳細設計業務委託（その２）</t>
  </si>
  <si>
    <t>2025/10/17 09:20</t>
  </si>
  <si>
    <t>東大久保浄水場県水受水流量計室内配管等更新実施設計業務委託</t>
  </si>
  <si>
    <t>2025/09/09 09:30</t>
  </si>
  <si>
    <t>山室ポンプ場更新実施設計業務委託</t>
  </si>
  <si>
    <t>2025/09/09 09:20</t>
  </si>
  <si>
    <t>雨天時浸入水対策スクリーニング調査業務委託</t>
  </si>
  <si>
    <t>2025/09/08 09:00</t>
  </si>
  <si>
    <t>ペンタフ株式会社 ペンタフ東京</t>
  </si>
  <si>
    <t>護岸詳細設計業務委託（その１）</t>
  </si>
  <si>
    <t>富士見市生活排水処理基本計画見直し業務委託</t>
  </si>
  <si>
    <t>施設更新詳細設計業務委託</t>
  </si>
  <si>
    <t>2025/08/27 09:00</t>
  </si>
  <si>
    <t>管路施設耐震診断調査業務委託</t>
  </si>
  <si>
    <t>2025/08/20 09:20</t>
  </si>
  <si>
    <t>路面性状調査及び個別施設計画策定業務委託</t>
  </si>
  <si>
    <t>2025/08/20 09:00</t>
  </si>
  <si>
    <t>擁壁詳細設計業務委託</t>
  </si>
  <si>
    <t>2025/07/22 09:20</t>
  </si>
  <si>
    <t>下水道施設耐水化計画更新業務委託</t>
  </si>
  <si>
    <t>2025/07/22 09:10</t>
  </si>
  <si>
    <t>富士見市内水ハザードマップ等作成業務委託</t>
  </si>
  <si>
    <t>2025/07/22 09:00</t>
  </si>
  <si>
    <t>工事実施設計業務委託（東７）</t>
  </si>
  <si>
    <t>2025/07/10 09:20</t>
  </si>
  <si>
    <t>配・給水管布設替（Ｒ２１４３外）実施設計業務委託</t>
  </si>
  <si>
    <t>2025/07/10 09:10</t>
  </si>
  <si>
    <t>富士見市下水道ストックマネジメント実施計画（第２期）更新業務委託（管路施設）</t>
  </si>
  <si>
    <t>2025/06/12 09:30</t>
  </si>
  <si>
    <t>公共下水道事業における官民連携導入可能性調査業務委託</t>
  </si>
  <si>
    <t>2025/06/12 09:20</t>
  </si>
  <si>
    <t>配水管布設替（県道三芳富士見線外）実施設計業務委託</t>
  </si>
  <si>
    <t>2025/06/12 09:10</t>
  </si>
  <si>
    <t>2025/05/28 09:30</t>
  </si>
  <si>
    <t>公共下水道事業計画等申請図書作成業務委託（その１）</t>
  </si>
  <si>
    <t>2025/05/28 09:20</t>
  </si>
  <si>
    <t>史跡水子貝塚保存整備基本設計業務委託</t>
  </si>
  <si>
    <t>2025/05/26 09:40</t>
  </si>
  <si>
    <t>株式会社歴史環境計画研究所 本店</t>
  </si>
  <si>
    <t>江川水管橋塗装実施設計業務委託</t>
  </si>
  <si>
    <t>2025/05/16 09:20</t>
  </si>
  <si>
    <t>富士見市公共下水道事業経営戦略改定業務委託（ゼロ債務）</t>
  </si>
  <si>
    <t>2025/02/28 09:00</t>
  </si>
  <si>
    <t>水路移設詳細設計等業務委託（ゼロ債務）</t>
  </si>
  <si>
    <t>2025/02/20 09:00</t>
  </si>
  <si>
    <t>公共施設用地引継図書作成業務委託（西６－その２）</t>
  </si>
  <si>
    <t>2024/11/22 09:10</t>
  </si>
  <si>
    <t>公共下水道実施設計業務委託</t>
  </si>
  <si>
    <t>2024/11/08 09:00</t>
  </si>
  <si>
    <t>擁壁予備設計業務委託</t>
  </si>
  <si>
    <t>2024/11/05 09:30</t>
  </si>
  <si>
    <t>河川詳細点検業務委託</t>
  </si>
  <si>
    <t>2024/10/30 09:00</t>
  </si>
  <si>
    <t>地質調査業務委託</t>
  </si>
  <si>
    <t>2024/10/22 09:00</t>
  </si>
  <si>
    <t>服部地質調査株式会社 本店</t>
  </si>
  <si>
    <t>樋管改修検討業務委託</t>
  </si>
  <si>
    <t>2024/10/04 09:20</t>
  </si>
  <si>
    <t>鶴瀬西中継ポンプ場等更新設計業務委託</t>
  </si>
  <si>
    <t>2024/10/03 09:10</t>
  </si>
  <si>
    <t>富士見市水道ビジョン（改訂版）等作成業務委託</t>
  </si>
  <si>
    <t>2024/10/03 09:00</t>
  </si>
  <si>
    <t>2024/09/24 09:10</t>
  </si>
  <si>
    <t>流域下水道流入水水質及び水量調査業務委託</t>
  </si>
  <si>
    <t>2024/09/13 09:10</t>
  </si>
  <si>
    <t>水路改修詳細設計業務委託</t>
  </si>
  <si>
    <t>2024/08/21 09:20</t>
  </si>
  <si>
    <t>雨天時侵入水対策スクリーニング調査業務委託</t>
  </si>
  <si>
    <t>2024/08/21 09:10</t>
  </si>
  <si>
    <t>ペンタフ株式会社 東京支店</t>
  </si>
  <si>
    <t>排水機場施設更新基本計画策定業務委託</t>
  </si>
  <si>
    <t>2024/08/06 09:10</t>
  </si>
  <si>
    <t>排水機場施設更新詳細設計業務委託（その2）</t>
  </si>
  <si>
    <t>2024/07/18 09:00</t>
  </si>
  <si>
    <t>2024/07/05 09:00</t>
  </si>
  <si>
    <t>道路実施設計業務委託（その1）</t>
  </si>
  <si>
    <t>公共下水道事業における官民連携基礎調査業務委託</t>
  </si>
  <si>
    <t>2024/07/03 09:00</t>
  </si>
  <si>
    <t>工事実施設計業務委託（東6－その4）</t>
  </si>
  <si>
    <t>2024/07/02 09:20</t>
  </si>
  <si>
    <t>排水機場施設更新詳細設計業務委託（その1）</t>
  </si>
  <si>
    <t>2024/06/27 09:40</t>
  </si>
  <si>
    <t>公共下水道事業計画等申請図書作成業務委託</t>
  </si>
  <si>
    <t>2024/06/27 09:30</t>
  </si>
  <si>
    <t>換地処分等業務委託（西6）</t>
  </si>
  <si>
    <t>2024/06/27 09:10</t>
  </si>
  <si>
    <t>市立富士見台中学校擁壁・法面点検調査委託</t>
  </si>
  <si>
    <t>2024/06/18 09:30</t>
  </si>
  <si>
    <t>工事実施設計業務委託（東6）</t>
  </si>
  <si>
    <t>2024/06/07 09:00</t>
  </si>
  <si>
    <t>令和６年度公害分析調査業務委託</t>
  </si>
  <si>
    <t>2024/05/28 09:40</t>
  </si>
  <si>
    <t>三郷市</t>
  </si>
  <si>
    <t>三郷中央駅周辺地区実施設計業務委託</t>
  </si>
  <si>
    <t>2026/04/27 10:15</t>
  </si>
  <si>
    <t>三郷市 総務部 契約課</t>
  </si>
  <si>
    <t>株式会社大洋画地 三郷営業所</t>
  </si>
  <si>
    <t>防火水槽撤去工事に伴う実施設計業務委託</t>
  </si>
  <si>
    <t>2026/03/23 09:25</t>
  </si>
  <si>
    <t>都市下水路空洞調査業務委託</t>
  </si>
  <si>
    <t>2026/03/23 09:20</t>
  </si>
  <si>
    <t>公共下水道築造工事に伴う設計積算補助（Ｒ８－１）業務委託</t>
  </si>
  <si>
    <t>2026/02/27 09:56</t>
  </si>
  <si>
    <t>三郷中央駅前広場改修（Ｒ７）施工監理業務委託</t>
  </si>
  <si>
    <t>2025/12/02 09:25</t>
  </si>
  <si>
    <t>都市下水路特別重点調査業務委託</t>
  </si>
  <si>
    <t>2025/10/28 10:45</t>
  </si>
  <si>
    <t>下水道整備に伴う配水管設計（Ｒ７－１）業務委託</t>
  </si>
  <si>
    <t>2025/10/16 10:20</t>
  </si>
  <si>
    <t>三郷市 水道部 業務課</t>
  </si>
  <si>
    <t>公共下水道築造実施設計に伴う設計積算（Ｒ７－１）業務委託</t>
  </si>
  <si>
    <t>2025/09/24 09:40</t>
  </si>
  <si>
    <t>公共下水道築造（栄地区）に伴う実施設計（Ｒ７－３）業務委託</t>
  </si>
  <si>
    <t>2025/09/24 09:36</t>
  </si>
  <si>
    <t>トーカイテック株式会社 三郷営業所</t>
  </si>
  <si>
    <t>配水管設計（Ｒ７－１）業務委託</t>
  </si>
  <si>
    <t>2025/09/03 10:27</t>
  </si>
  <si>
    <t>早稲田地区配水管設計（Ｒ７－１）業務委託</t>
  </si>
  <si>
    <t>2025/08/20 10:07</t>
  </si>
  <si>
    <t>公共下水道管路施設耐震診断調査業務委託</t>
  </si>
  <si>
    <t>2025/08/01 11:06</t>
  </si>
  <si>
    <t>三郷市下水道ウォーターＰＰＰ導入検討基礎調査業務委託</t>
  </si>
  <si>
    <t>2025/08/01 11:01</t>
  </si>
  <si>
    <t>南通り橋ほか橋梁定期点検業務委託</t>
  </si>
  <si>
    <t>2025/08/01 10:32</t>
  </si>
  <si>
    <t>市道５０１２号線道路改良実施設計業務委託</t>
  </si>
  <si>
    <t>2025/08/01 10:25</t>
  </si>
  <si>
    <t>株式会社東都コンサルタント 東部営業所</t>
  </si>
  <si>
    <t>市道１０５０号線道路改良実施設計業務委託</t>
  </si>
  <si>
    <t>2025/08/01 10:21</t>
  </si>
  <si>
    <t>二郷半歩道橋橋梁補修設計業務委託</t>
  </si>
  <si>
    <t>2025/07/14 10:40</t>
  </si>
  <si>
    <t>仁蔵隧道擁壁点検調査業務委託</t>
  </si>
  <si>
    <t>2025/07/14 10:31</t>
  </si>
  <si>
    <t>市道０１０９号線道路改良実施設計業務委託</t>
  </si>
  <si>
    <t>2025/07/14 10:22</t>
  </si>
  <si>
    <t>排水基本計画策定（Ｒ７）業務委託</t>
  </si>
  <si>
    <t>2025/06/20 11:06</t>
  </si>
  <si>
    <t>道路擁壁補修設計業務委託</t>
  </si>
  <si>
    <t>2025/06/20 10:50</t>
  </si>
  <si>
    <t>都市計画道路駒形線整備に伴う実施設計（７－１）業務委託</t>
  </si>
  <si>
    <t>2025/06/20 10:45</t>
  </si>
  <si>
    <t>北部浄水場中継ポンプ井改修工事実施設計等業務委託</t>
  </si>
  <si>
    <t>2025/06/18 10:17</t>
  </si>
  <si>
    <t>谷中ほか水路改修工事に伴う実施設計業務委託</t>
  </si>
  <si>
    <t>2025/06/09 10:10</t>
  </si>
  <si>
    <t>小学校遊具更新工事設計業務委託</t>
  </si>
  <si>
    <t>2025/05/26 11:20</t>
  </si>
  <si>
    <t>番匠免一丁目水路改修工事に伴う実施設計業務委託</t>
  </si>
  <si>
    <t>2025/05/26 10:55</t>
  </si>
  <si>
    <t>都市計画道路新和高須線道路整備に伴う実施設計（７－１）業務委託</t>
  </si>
  <si>
    <t>2025/05/26 10:21</t>
  </si>
  <si>
    <t>2025/05/26 10:17</t>
  </si>
  <si>
    <t>配水管布設に伴う舗装復旧工事設計（Ｒ７－１）業務委託</t>
  </si>
  <si>
    <t>2025/05/14 10:29</t>
  </si>
  <si>
    <t>公共下水道築造工事に伴う設計積算補助（Ｒ７－１）業務委託</t>
  </si>
  <si>
    <t>2025/02/28 10:31</t>
  </si>
  <si>
    <t>公共下水道築造（谷口地区）に伴う実施設計（Ｒ７－２）業務委託</t>
  </si>
  <si>
    <t>2025/02/28 10:25</t>
  </si>
  <si>
    <t>公共下水道築造（谷口地区）に伴う実施設計（Ｒ７－１）業務委託</t>
  </si>
  <si>
    <t>2025/02/28 10:20</t>
  </si>
  <si>
    <t>都市公園遊具更新修正実施設計業務委託</t>
  </si>
  <si>
    <t>2025/02/04 09:51</t>
  </si>
  <si>
    <t>配水管設計（Ｒ６－１）業務委託</t>
  </si>
  <si>
    <t>2024/12/17 10:11</t>
  </si>
  <si>
    <t>早稲田地区配水管設計（Ｒ６－１）業務委託</t>
  </si>
  <si>
    <t>2024/12/17 10:06</t>
  </si>
  <si>
    <t>下水道整備に伴う配水管設計（Ｒ６－１）業務委託</t>
  </si>
  <si>
    <t>2024/12/17 10:02</t>
  </si>
  <si>
    <t>早稲田三丁目水路改修工事に伴う実施設計業務委託</t>
  </si>
  <si>
    <t>2024/10/28 11:06</t>
  </si>
  <si>
    <t>中川堤防整備に伴う排水樋管等修正設計業務委託</t>
  </si>
  <si>
    <t>2024/10/28 11:01</t>
  </si>
  <si>
    <t>公共下水道築造実施設計に伴う設計積算（Ｒ６－１）業務委託</t>
  </si>
  <si>
    <t>2024/09/24 09:35</t>
  </si>
  <si>
    <t>三郷駅南口周辺交通環境改善整備計画検討業務委託</t>
  </si>
  <si>
    <t>2024/09/05 10:55</t>
  </si>
  <si>
    <t>市道５０３２号線ほか道路改良実施設計業務委託</t>
  </si>
  <si>
    <t>2024/09/05 10:50</t>
  </si>
  <si>
    <t>ストックマネジメント計画に基づくマンホール蓋取替詳細設計（Ｒ６－１）業務委託</t>
  </si>
  <si>
    <t>2024/08/29 10:01</t>
  </si>
  <si>
    <t>三郷料金所スマートＩＣ供用関連設計業務委託</t>
  </si>
  <si>
    <t>2024/08/01 10:51</t>
  </si>
  <si>
    <t>三郷中央駅前広場シェルター等改修詳細設計業務委託</t>
  </si>
  <si>
    <t>2024/08/01 10:46</t>
  </si>
  <si>
    <t>下水道施設（上彦名地区）改築基本設計（Ｒ６－１）業務委託</t>
  </si>
  <si>
    <t>2024/08/01 10:37</t>
  </si>
  <si>
    <t>丹後橋ほか橋梁定期点検業務委託</t>
  </si>
  <si>
    <t>2024/08/01 10:10</t>
  </si>
  <si>
    <t>都市公園遊具更新実施設計業務委託</t>
  </si>
  <si>
    <t>2024/07/11 10:15</t>
  </si>
  <si>
    <t>大膳歩道橋橋梁補修設計業務委託</t>
  </si>
  <si>
    <t>2024/07/11 10:00</t>
  </si>
  <si>
    <t>半田橋ほか橋梁補修設計業務委託</t>
  </si>
  <si>
    <t>2024/07/11 09:56</t>
  </si>
  <si>
    <t>北部地区１号公園実施設計業務委託</t>
  </si>
  <si>
    <t>2024/06/20 10:30</t>
  </si>
  <si>
    <t>三郷市公共下水道事業計画変更業務委託</t>
  </si>
  <si>
    <t>2024/06/20 10:23</t>
  </si>
  <si>
    <t>上口隧道ほか擁壁点検調査業務委託</t>
  </si>
  <si>
    <t>2024/06/20 10:05</t>
  </si>
  <si>
    <t>市道０１１４号線安全対策基本設計業務委託</t>
  </si>
  <si>
    <t>2024/06/20 10:01</t>
  </si>
  <si>
    <t>排水機場中央監視設備実施設計業務委託</t>
  </si>
  <si>
    <t>2024/06/07 10:25</t>
  </si>
  <si>
    <t>高州小学校校庭貯留施設整備に伴う実施設計業務委託</t>
  </si>
  <si>
    <t>2024/06/07 10:20</t>
  </si>
  <si>
    <t>高州三丁目水路改修工事に伴う実施設計業務委託</t>
  </si>
  <si>
    <t>2024/06/07 10:17</t>
  </si>
  <si>
    <t>三郷北部地区緑地照明灯実施設計業務委託</t>
  </si>
  <si>
    <t>2024/06/07 10:00</t>
  </si>
  <si>
    <t>北部浄水場監視制御設備更新工事実施設計業務委託</t>
  </si>
  <si>
    <t>2024/05/30 10:19</t>
  </si>
  <si>
    <t>コンクリート構造物定期診断業務委託</t>
  </si>
  <si>
    <t>2024/05/23 11:46</t>
  </si>
  <si>
    <t>ボール広場設置検討及び実施設計業務委託</t>
  </si>
  <si>
    <t>2024/05/23 11:15</t>
  </si>
  <si>
    <t>排水基本計画策定業務委託（Ｒ６彦江地区）</t>
  </si>
  <si>
    <t>上口一丁目水路改修工事に伴う実施設計業務委託</t>
  </si>
  <si>
    <t>2024/05/23 10:46</t>
  </si>
  <si>
    <t>下第二大場川護岸構造等検討業務委託</t>
  </si>
  <si>
    <t>2024/05/23 10:43</t>
  </si>
  <si>
    <t>都市計画道路新和高須線道路整備に伴う実施設計（６－１）業務委託</t>
  </si>
  <si>
    <t>都市計画道路計画変更協議資料作成業務委託</t>
  </si>
  <si>
    <t>2024/05/23 10:22</t>
  </si>
  <si>
    <t>（仮称）南部地域拠点防災コミュニティ施設整備に伴う道水路工事設計業務委託</t>
  </si>
  <si>
    <t>2024/05/23 09:55</t>
  </si>
  <si>
    <t>配水管布設に伴う舗装復旧工事設計（Ｒ６－１）業務委託</t>
  </si>
  <si>
    <t>2024/05/15 10:15</t>
  </si>
  <si>
    <t>蓮田市</t>
  </si>
  <si>
    <t>県道行田蓮田線地質調査及び道路詳細設計業務委託</t>
  </si>
  <si>
    <t>2026/03/18 09:34</t>
  </si>
  <si>
    <t>蓮田市 総合政策部 契約財政課</t>
  </si>
  <si>
    <t>配水管布設替工事実施設計業務委託（市道841号線外）</t>
  </si>
  <si>
    <t>2026/02/05 10:17</t>
  </si>
  <si>
    <t>水管橋橋脚撤去実施設計業務委託</t>
  </si>
  <si>
    <t>2026/02/05 09:59</t>
  </si>
  <si>
    <t>令和7年度 漏水修理工事等単価表及び水道資材単価表作成業務委託</t>
  </si>
  <si>
    <t>2025/12/04 09:45</t>
  </si>
  <si>
    <t>鯨岡設計株式会社 本店</t>
  </si>
  <si>
    <t>令和7年度 路面下空洞調査業務委託</t>
  </si>
  <si>
    <t>2025/11/25 09:58</t>
  </si>
  <si>
    <t>令和7年度 第二の一～L1号外汚水管渠修正設計委託</t>
  </si>
  <si>
    <t>令和7年度 第一～465-1号外汚水管渠実施設計委託</t>
  </si>
  <si>
    <t>2025/11/10 09:53</t>
  </si>
  <si>
    <t>令和7年度 仕切弁更新工事実施設計業務委託</t>
  </si>
  <si>
    <t>2025/10/30 09:41</t>
  </si>
  <si>
    <t>令和7年度 蓮田市下水道事業官民連携導入可能性調査業務委託（再1）</t>
  </si>
  <si>
    <t>2025/09/10 09:44</t>
  </si>
  <si>
    <t>令和7年度 西新宿地区第一排水機場ゲート新設に伴う樋管詳細設計業務委託（再1）</t>
  </si>
  <si>
    <t>2025/07/23 10:25</t>
  </si>
  <si>
    <t>令和7年度 浄化槽台帳補正等業務委託</t>
  </si>
  <si>
    <t>2025/07/23 10:18</t>
  </si>
  <si>
    <t>令和7年度 雨水管等基本調査測量業務委託</t>
  </si>
  <si>
    <t>2025/07/23 10:06</t>
  </si>
  <si>
    <t>令和7年度 橋りょう長寿命化修繕計画策定業務委託（161橋）（再1）</t>
  </si>
  <si>
    <t>2025/07/23 09:55</t>
  </si>
  <si>
    <t>令和7年度 橋りょう点検業務委託（再1）</t>
  </si>
  <si>
    <t>2025/07/23 09:44</t>
  </si>
  <si>
    <t>蓮田市防災行政無線固定系施設更新工事施工監理業務委託</t>
  </si>
  <si>
    <t>2025/06/10 10:16</t>
  </si>
  <si>
    <t>パブリック設計株式会社 東京事務所</t>
  </si>
  <si>
    <t>令和7年度 8号井取水ポンプ更新工事実施設計業務委託</t>
  </si>
  <si>
    <t>2025/06/10 09:39</t>
  </si>
  <si>
    <t>令和7年度 橋りょう長寿命化修繕計画策定業務委託（161橋）</t>
  </si>
  <si>
    <t>2025/05/28 10:15</t>
  </si>
  <si>
    <t>令和7年度 西新宿地区第一排水機場ゲート新設に伴う樋管詳細設計業務委託</t>
  </si>
  <si>
    <t>2025/05/28 10:07</t>
  </si>
  <si>
    <t>令和7年度 市道1453号線道路整備事業詳細設計業務委託</t>
  </si>
  <si>
    <t>2025/05/28 09:57</t>
  </si>
  <si>
    <t>令和7年度 橋りょう点検業務委託</t>
  </si>
  <si>
    <t>2025/05/28 09:50</t>
  </si>
  <si>
    <t>浄水場中央監視操作施設更新工事監理業務委託</t>
  </si>
  <si>
    <t>2025/05/16 10:14</t>
  </si>
  <si>
    <t>令和7年度 消防救急デジタル無線及び高機能消防指令センター設備更新事業実施設計業務委託</t>
  </si>
  <si>
    <t>2025/05/16 10:10</t>
  </si>
  <si>
    <t>ビーム計画設計株式会社 東京支店</t>
  </si>
  <si>
    <t>令和6年度 雨水管等基本調査測量業務委託（再1）</t>
  </si>
  <si>
    <t>2025/01/21 16:00</t>
  </si>
  <si>
    <t>令和6年度 蓮田市防災行政無線設計業務委託</t>
  </si>
  <si>
    <t>2024/12/11 10:03</t>
  </si>
  <si>
    <t>蓮田市 総合政策部 契約検査課</t>
  </si>
  <si>
    <t>令和6年度 マンホール蓋交換実施設計委託</t>
  </si>
  <si>
    <t>2024/12/11 09:55</t>
  </si>
  <si>
    <t>令和6年度 西新宿汚水中継ポンプ場破砕機交換実施設計委託</t>
  </si>
  <si>
    <t>令和6年度 漏水修理工事等単価表及び水道資材単価表作成業務委託</t>
  </si>
  <si>
    <t>2024/11/21 09:49</t>
  </si>
  <si>
    <t>令和6年度 雨水管等基本調査測量業務委託</t>
  </si>
  <si>
    <t>2024/11/14 16:00</t>
  </si>
  <si>
    <t>令和6年度 市道1546号線外道路詳細設計業務委託</t>
  </si>
  <si>
    <t>2024/11/01 09:58</t>
  </si>
  <si>
    <t>令和6年度 区画道路7号測量設計業務委託</t>
  </si>
  <si>
    <t>2024/11/01 09:48</t>
  </si>
  <si>
    <t>埼玉コンサルタント株式会社 東部支社</t>
  </si>
  <si>
    <t>令和6年度 市道53号線歩道整備工事実施設計業務委託</t>
  </si>
  <si>
    <t>2024/09/04 09:51</t>
  </si>
  <si>
    <t>蓮田市水道ビジョン・経営戦略策定業務委託</t>
  </si>
  <si>
    <t>2024/08/21 09:49</t>
  </si>
  <si>
    <t>令和6年度 市道4号線外歩道整備工事実施設計業務委託</t>
  </si>
  <si>
    <t>2024/08/01 10:43</t>
  </si>
  <si>
    <t>令和6年度 椿山地区取付管閉塞実施設計委託</t>
  </si>
  <si>
    <t>2024/08/01 10:39</t>
  </si>
  <si>
    <t>令和6年度 浄水場中央監視操作施設更新工事監理業務委託</t>
  </si>
  <si>
    <t>令和6年度 県道行田蓮田線測量及び予備設計業務委託</t>
  </si>
  <si>
    <t>2024/07/23 10:29</t>
  </si>
  <si>
    <t>令和6年度 浄化槽台帳補正等業務委託</t>
  </si>
  <si>
    <t>令和6年度 蓮田市下水道事業官民連携基礎調査業務委託</t>
  </si>
  <si>
    <t>令和6年度 黒浜地内雨水管概略設計業務委託</t>
  </si>
  <si>
    <t>2024/07/23 10:06</t>
  </si>
  <si>
    <t>令和6年度 椿山跨線橋点検業務委託</t>
  </si>
  <si>
    <t>2024/06/24 10:17</t>
  </si>
  <si>
    <t>令和6年度 剥落対策工事設計業務委託（宿浦橋）</t>
  </si>
  <si>
    <t>2024/06/24 10:10</t>
  </si>
  <si>
    <t>令和6年度 蓮田市地域公共交通体系調査等業務委託</t>
  </si>
  <si>
    <t>2024/06/11 09:37</t>
  </si>
  <si>
    <t>令和6年度 西新宿地区第一排水機場ゲート新設に伴う雨水管検討業務委託</t>
  </si>
  <si>
    <t>2024/05/31 16:01</t>
  </si>
  <si>
    <t>令和6年度 東城沼擁壁改修詳細設計業務委託</t>
  </si>
  <si>
    <t>2024/05/31 09:59</t>
  </si>
  <si>
    <t>令和6年度 老朽管更新工事実施設計業務委託（主要地方道行田・蓮田線）</t>
  </si>
  <si>
    <t>2024/05/31 09:47</t>
  </si>
  <si>
    <t>令和6年度 老朽管更新工事実施設計業務委託（市道7号線外）</t>
  </si>
  <si>
    <t>2024/05/31 09:30</t>
  </si>
  <si>
    <t>令和6年度 蓮田都市計画公共下水道事業事業計画変更業務委託</t>
  </si>
  <si>
    <t>2024/04/23 16:00</t>
  </si>
  <si>
    <t>令和6年度 生活排水処理基本計画見直し業務委託</t>
  </si>
  <si>
    <t>2024/04/23 10:35</t>
  </si>
  <si>
    <t>令和6年度 第二の一～L3号外汚水管渠修正設計委託</t>
  </si>
  <si>
    <t>2024/04/23 10:12</t>
  </si>
  <si>
    <t>令和6年度 高虫西部土地区画整理事業内汚水管渠実施設計委託</t>
  </si>
  <si>
    <t>2024/04/23 09:43</t>
  </si>
  <si>
    <t>坂戸市</t>
  </si>
  <si>
    <t>橋梁定期点検調査業務委託</t>
  </si>
  <si>
    <t>2025/11/28 09:10</t>
  </si>
  <si>
    <t>坂戸市 総合政策部 財政課</t>
  </si>
  <si>
    <t>葛川護岸点検業務委託</t>
  </si>
  <si>
    <t>2025/10/28 09:50</t>
  </si>
  <si>
    <t>道路照明灯点検調査業務委託</t>
  </si>
  <si>
    <t>2025/10/28 09:45</t>
  </si>
  <si>
    <t>中富町排水調査等業務委託</t>
  </si>
  <si>
    <t>2025/09/19 09:40</t>
  </si>
  <si>
    <t>伊豆の山町（第３８４１号）道路詳細設計等業務委託</t>
  </si>
  <si>
    <t>2025/08/04 09:22</t>
  </si>
  <si>
    <t>舗装たわみ量調査等業務委託</t>
  </si>
  <si>
    <t>2025/07/18 09:30</t>
  </si>
  <si>
    <t>片柳土地区画整理事業 道路実施設計等業務委託（第二工区）</t>
  </si>
  <si>
    <t>2025/06/16 09:17</t>
  </si>
  <si>
    <t>石井土地区画整理事業 区画街路変更等路線測量等業務委託</t>
  </si>
  <si>
    <t>2025/06/16 09:12</t>
  </si>
  <si>
    <t>旧城山小学校跡地活用基本計画策定支援業務委託</t>
  </si>
  <si>
    <t>2025/06/02 10:00</t>
  </si>
  <si>
    <t>片柳土地区画整理事業 道路実施設計等業務委託（第一工区）</t>
  </si>
  <si>
    <t>2025/06/02 09:41</t>
  </si>
  <si>
    <t>市民バス運行計画策定業務委託</t>
  </si>
  <si>
    <t>2025/06/02 09:30</t>
  </si>
  <si>
    <t>株式会社日本能率協会総合研究所 埼玉事務所</t>
  </si>
  <si>
    <t>2025/06/02 09:20</t>
  </si>
  <si>
    <t>石井土地区画整理事業 選挙人名簿作成業務委託</t>
  </si>
  <si>
    <t>2025/04/28 09:50</t>
  </si>
  <si>
    <t>2024/12/19 09:02</t>
  </si>
  <si>
    <t>桜中学校テニスコート改修工事設計業務委託</t>
  </si>
  <si>
    <t>2024/11/29 09:58</t>
  </si>
  <si>
    <t>2024/10/25 10:20</t>
  </si>
  <si>
    <t>2024/09/03 09:13</t>
  </si>
  <si>
    <t>森戸歩道整備事業交差点詳細設計等業務委託</t>
  </si>
  <si>
    <t>2024/06/11 09:51</t>
  </si>
  <si>
    <t>石井土地区画整理事業 事業計画及び実施計画変更図書作成等業務委託</t>
  </si>
  <si>
    <t>2024/06/11 09:24</t>
  </si>
  <si>
    <t>坂戸市立中央図書館石綿（アスベスト）含有調査業務委託</t>
  </si>
  <si>
    <t>株式会社環境公害分析センター 首都圏支店</t>
  </si>
  <si>
    <t>北坂戸地区都市公園整備実施設計等業務委託</t>
  </si>
  <si>
    <t>2024/04/22 09:20</t>
  </si>
  <si>
    <t>2024/04/22 09:12</t>
  </si>
  <si>
    <t>幸手市</t>
  </si>
  <si>
    <t>第１浄水場PC配水池耐震診断業務</t>
  </si>
  <si>
    <t>2026/05/20 09:34</t>
  </si>
  <si>
    <t>幸手市 水道部 水道管理課</t>
  </si>
  <si>
    <t>天神橋外水管橋架替工事設計業務委託</t>
  </si>
  <si>
    <t>2026/05/20 09:05</t>
  </si>
  <si>
    <t>排水ポンプ場ポンプ整備工事設計業務委託</t>
  </si>
  <si>
    <t>2026/04/23 09:09</t>
  </si>
  <si>
    <t>幸手市 総務部 契約管財課</t>
  </si>
  <si>
    <t>幸手市配給水管施設管理システムデータ更新業務委託</t>
  </si>
  <si>
    <t>2026/04/20 09:10</t>
  </si>
  <si>
    <t>中５丁目下水道工事に伴う配水管布設替工事設計業務委託</t>
  </si>
  <si>
    <t>2025/11/07 09:04</t>
  </si>
  <si>
    <t>市道５２９号線外配水管布設替工事設計業務委託</t>
  </si>
  <si>
    <t>2025/10/21 14:02</t>
  </si>
  <si>
    <t>香日向排水機場設備更新詳細設計業務委託</t>
  </si>
  <si>
    <t>2025/08/29 10:23</t>
  </si>
  <si>
    <t>2025/08/29 09:42</t>
  </si>
  <si>
    <t>幸手駅西口土地区画整理事業 発注図書作成業務委託（令７－１）</t>
  </si>
  <si>
    <t>2025/08/29 09:05</t>
  </si>
  <si>
    <t>幸手市生活排水処理基本計画策定業務</t>
  </si>
  <si>
    <t>2025/07/29 10:24</t>
  </si>
  <si>
    <t>汚水幹線実施設計業務委託</t>
  </si>
  <si>
    <t>2025/07/29 10:03</t>
  </si>
  <si>
    <t>水道施設テレメーター設備更新工事に伴う設計業務委託</t>
  </si>
  <si>
    <t>2025/07/18 09:00</t>
  </si>
  <si>
    <t>都市計画道路杉戸幸手栗橋線詳細設計業務委託</t>
  </si>
  <si>
    <t>2025/06/20 11:03</t>
  </si>
  <si>
    <t>汚水枝線実施設計業務委託</t>
  </si>
  <si>
    <t>幸手駅西口土地区画整理事業 事業計画変更等業務委託（令７）</t>
  </si>
  <si>
    <t>2025/06/20 10:26</t>
  </si>
  <si>
    <t>幸手駅西口土地区画整理事業 換地設計修正等業務委託（令７－単価契約）</t>
  </si>
  <si>
    <t>2025/06/20 09:47</t>
  </si>
  <si>
    <t>幸手駅西口土地区画整理事業 各種資料作成補助等業務委託（令７）</t>
  </si>
  <si>
    <t>2025/06/20 09:24</t>
  </si>
  <si>
    <t>第２浄水場№２PC配水池耐震診断業務</t>
  </si>
  <si>
    <t>2025/05/26 09:02</t>
  </si>
  <si>
    <t>可燃ごみ処理施設整備のあり方等検討業務</t>
  </si>
  <si>
    <t>2025/04/25 10:23</t>
  </si>
  <si>
    <t>2025/04/21 09:01</t>
  </si>
  <si>
    <t>循環型社会形成推進地域計画策定業務</t>
  </si>
  <si>
    <t>2024/10/28 10:44</t>
  </si>
  <si>
    <t>橋りょう修繕設計業務委託（吉田橋・玉子橋）</t>
  </si>
  <si>
    <t>2024/08/23 10:47</t>
  </si>
  <si>
    <t>2024/08/23 10:24</t>
  </si>
  <si>
    <t>市道１７９号線外配水管布設替工事設計業務委託</t>
  </si>
  <si>
    <t>2024/08/20 14:01</t>
  </si>
  <si>
    <t>第２浄水場公団配水ポンプ外更新工事施工監理業務委託</t>
  </si>
  <si>
    <t>2024/08/02 11:01</t>
  </si>
  <si>
    <t>都市計画道路計画変更図書作成業務委託</t>
  </si>
  <si>
    <t>市道３８６号線外測量設計業務委託</t>
  </si>
  <si>
    <t>2024/07/26 09:44</t>
  </si>
  <si>
    <t>香日向排水機場設備更新設計業務委託</t>
  </si>
  <si>
    <t>2024/07/26 09:33</t>
  </si>
  <si>
    <t>幸手駅西口土地区画整理事業 各種資料作成補助等業務委託（令６）</t>
  </si>
  <si>
    <t>2024/06/27 11:03</t>
  </si>
  <si>
    <t>地域農業経営基盤強化促進計画策定業務委託</t>
  </si>
  <si>
    <t>市道１－２６号線連合管布設替工事設計業務委託</t>
  </si>
  <si>
    <t>市道１－１２号線配水管布設替工事設計業務委託</t>
  </si>
  <si>
    <t>2024/06/26 09:03</t>
  </si>
  <si>
    <t>下水道事業変更認可図書作成業務委託</t>
  </si>
  <si>
    <t>2024/05/29 09:44</t>
  </si>
  <si>
    <t>2024/05/29 09:29</t>
  </si>
  <si>
    <t>市街化区域編入等資料作成業務委託</t>
  </si>
  <si>
    <t>2024/04/26 11:28</t>
  </si>
  <si>
    <t>2024/04/17 09:32</t>
  </si>
  <si>
    <t>鶴ヶ島市</t>
  </si>
  <si>
    <t>路面性状調査業務</t>
  </si>
  <si>
    <t>2026/04/27 11:09</t>
  </si>
  <si>
    <t>鶴ヶ島市 総合政策部 財政課</t>
  </si>
  <si>
    <t>つるバス・つるワゴン運行計画見直し業務</t>
  </si>
  <si>
    <t>2025/06/11 09:45</t>
  </si>
  <si>
    <t>市街化調整区域内における住宅地整備適地検討調査</t>
  </si>
  <si>
    <t>2025/06/11 09:30</t>
  </si>
  <si>
    <t>道路詳細設計業務 市道６号線</t>
  </si>
  <si>
    <t>2024/06/12 10:15</t>
  </si>
  <si>
    <t>道路詳細設計業務 市道１４０９号線</t>
  </si>
  <si>
    <t>2024/05/20 10:30</t>
  </si>
  <si>
    <t>日高市</t>
  </si>
  <si>
    <t>日高市地域公共交通計画推進支援業務</t>
  </si>
  <si>
    <t>2026/04/30 13:26</t>
  </si>
  <si>
    <t>日高市 総合政策部 管財課</t>
  </si>
  <si>
    <t>高岡浄水場中央監視制御装置等更新工事実施設計業務</t>
  </si>
  <si>
    <t>2026/04/30 13:16</t>
  </si>
  <si>
    <t>降下ばいじん分析業務委託</t>
  </si>
  <si>
    <t>2026/04/16 15:31</t>
  </si>
  <si>
    <t>用地測量業務（幹線７号外）</t>
  </si>
  <si>
    <t>2026/04/16 15:21</t>
  </si>
  <si>
    <t>日高市一般廃棄物最終処分場水質検査業務委託</t>
  </si>
  <si>
    <t>2026/04/16 15:11</t>
  </si>
  <si>
    <t>日高市水道事業送水管詳細設計業務（Ｒ８-その１）</t>
  </si>
  <si>
    <t>2026/04/16 15:01</t>
  </si>
  <si>
    <t>下水道管路管理システムデータ更新業務（R7）</t>
  </si>
  <si>
    <t>エアロトヨタ株式会社 埼玉支店</t>
  </si>
  <si>
    <t>道路詳細設計修正業務（幹線59号）</t>
  </si>
  <si>
    <t>測量設計業務（幹線10号外）</t>
  </si>
  <si>
    <t>2025/09/26 13:26</t>
  </si>
  <si>
    <t>排水対策予備設計業務委託（高根地区）</t>
  </si>
  <si>
    <t>2025/09/11 14:57</t>
  </si>
  <si>
    <t>横断歩道橋点検業務（高萩並木歩道橋）</t>
  </si>
  <si>
    <t>2025/08/28 13:41</t>
  </si>
  <si>
    <t>管路施設実施設計業務（上鹿山地区）</t>
  </si>
  <si>
    <t>2025/08/28 13:21</t>
  </si>
  <si>
    <t>浸水対策検討業務（旭ケ丘外）</t>
  </si>
  <si>
    <t>2025/07/25 14:31</t>
  </si>
  <si>
    <t>高麗川駅東口交通影響評価業務委託</t>
  </si>
  <si>
    <t>2025/07/25 14:11</t>
  </si>
  <si>
    <t>道路メンテナンス事業交付金（補正分）橋りょう修繕工事等設計業務（富士橋）</t>
  </si>
  <si>
    <t>2025/07/25 14:01</t>
  </si>
  <si>
    <t>道路詳細設計業務（生涯学習センター内）</t>
  </si>
  <si>
    <t>2025/07/11 13:36</t>
  </si>
  <si>
    <t>河川改修詳細設計業務（下小畔川）</t>
  </si>
  <si>
    <t>2025/06/27 13:51</t>
  </si>
  <si>
    <t>日高公共下水道内水浸水想定区域図作成業務（R7）</t>
  </si>
  <si>
    <t>2025/06/27 13:41</t>
  </si>
  <si>
    <t>大谷沢農集公共接続実施設計業務（R7）</t>
  </si>
  <si>
    <t>2025/06/27 13:31</t>
  </si>
  <si>
    <t>高岡浄水場中央監視制御装置等更新工事基本設計業務</t>
  </si>
  <si>
    <t>2025/06/13 14:11</t>
  </si>
  <si>
    <t>2025/05/29 14:27</t>
  </si>
  <si>
    <t>道路詳細設計業務（幹線66号）</t>
  </si>
  <si>
    <t>2025/05/29 14:21</t>
  </si>
  <si>
    <t>小・中・義務教育学校水質分析業務委託</t>
  </si>
  <si>
    <t>2025/05/19 12:01</t>
  </si>
  <si>
    <t>汚泥濃縮設備更新に伴う価格特別調査業務</t>
  </si>
  <si>
    <t>2025/05/16 15:05</t>
  </si>
  <si>
    <t>道路詳細設計業務（幹線7号外）</t>
  </si>
  <si>
    <t>2025/05/16 14:56</t>
  </si>
  <si>
    <t>2025/04/24 15:20</t>
  </si>
  <si>
    <t>2025/04/24 15:10</t>
  </si>
  <si>
    <t>第２次日高市環境基本計画中間見直し支援業務</t>
  </si>
  <si>
    <t>2025/04/24 15:00</t>
  </si>
  <si>
    <t>日高市生活排水処理基本計画策定業務委託</t>
  </si>
  <si>
    <t>2025/04/24 14:51</t>
  </si>
  <si>
    <t>日高市公共施設再編計画（第２期個別施設計画）策定支援業務</t>
  </si>
  <si>
    <t>2025/04/24 14:30</t>
  </si>
  <si>
    <t>日高市学校跡地公募支援業務その２（旧武蔵台中学校及び旧高根中学校）</t>
  </si>
  <si>
    <t>2025/04/24 14:20</t>
  </si>
  <si>
    <t>河川復旧詳細設計業務（聖天谷川）</t>
  </si>
  <si>
    <t>2025/01/16 13:11</t>
  </si>
  <si>
    <t>環境影響評価事後調査業務委託</t>
  </si>
  <si>
    <t>2024/12/04 13:16</t>
  </si>
  <si>
    <t>日高市学校跡地公募支援業務（旧武蔵台中学校及び旧高根中学校）</t>
  </si>
  <si>
    <t>2024/10/24 13:11</t>
  </si>
  <si>
    <t>大谷沢地区農業集落排水施設ポンプ場化基本設計業務</t>
  </si>
  <si>
    <t>2024/10/24 13:02</t>
  </si>
  <si>
    <t>下水道管路管理システムデータ更新業務（R6）</t>
  </si>
  <si>
    <t>2024/10/10 13:16</t>
  </si>
  <si>
    <t>朝日航洋株式会社 埼玉支店</t>
  </si>
  <si>
    <t>中鹿山２号ポンプ施設改築実施設計業務</t>
  </si>
  <si>
    <t>2024/07/25 13:50</t>
  </si>
  <si>
    <t>あいあい橋保守点検委託</t>
  </si>
  <si>
    <t>2024/07/25 13:40</t>
  </si>
  <si>
    <t>清算金徴収交付事務業務</t>
  </si>
  <si>
    <t>2024/07/25 13:10</t>
  </si>
  <si>
    <t>排水対策検討業務（高根地区）</t>
  </si>
  <si>
    <t>2024/07/11 13:14</t>
  </si>
  <si>
    <t>用地測量業務（幹線16号）</t>
  </si>
  <si>
    <t>2024/06/27 14:05</t>
  </si>
  <si>
    <t>路線測量業務（生涯学習センター駐車場内）</t>
  </si>
  <si>
    <t>2024/06/27 13:55</t>
  </si>
  <si>
    <t>路線測量業務（幹線66号）</t>
  </si>
  <si>
    <t>2024/06/27 13:45</t>
  </si>
  <si>
    <t>雨水排水調査業務（旭ケ丘外）</t>
  </si>
  <si>
    <t>2024/06/14 15:20</t>
  </si>
  <si>
    <t>南平沢地内人孔改修設計業務（R６）</t>
  </si>
  <si>
    <t>2024/06/14 15:10</t>
  </si>
  <si>
    <t>路面性状調査業務（幹線56号外34路線）</t>
  </si>
  <si>
    <t>2024/06/14 15:00</t>
  </si>
  <si>
    <t>高萩第2-2号汚水幹線整備に伴う価格調査業務（Ｒ６）</t>
  </si>
  <si>
    <t>2024/05/30 14:26</t>
  </si>
  <si>
    <t>2024/05/30 14:16</t>
  </si>
  <si>
    <t>河川水質・水生生物分析調査</t>
  </si>
  <si>
    <t>2024/05/30 14:09</t>
  </si>
  <si>
    <t>法面動態観測業務（下小畔川）</t>
  </si>
  <si>
    <t>2024/05/16 14:15</t>
  </si>
  <si>
    <t>高麗川駅西口駅前広場等設計委託</t>
  </si>
  <si>
    <t>2024/05/16 13:25</t>
  </si>
  <si>
    <t>道路メンテナンス事業交付金（補正分）橋りょう修繕設計業務（八ツ前側道橋外１橋）</t>
  </si>
  <si>
    <t>2024/05/16 13:15</t>
  </si>
  <si>
    <t>北平沢中継ポンプ場自家発電設備更新工事実施設計業務</t>
  </si>
  <si>
    <t>高萩第三取水場電磁流量計等更新工事実施設計業務</t>
  </si>
  <si>
    <t>2024/04/12 16:20</t>
  </si>
  <si>
    <t>換地計画縦覧立会説明業務</t>
  </si>
  <si>
    <t>2024/04/12 15:21</t>
  </si>
  <si>
    <t>2024/04/12 15:10</t>
  </si>
  <si>
    <t>2024/04/12 15:00</t>
  </si>
  <si>
    <t>吉川市</t>
  </si>
  <si>
    <t>吉川駅北口駅前広場改修修正設計等業務委託</t>
  </si>
  <si>
    <t>2025/11/21 10:32</t>
  </si>
  <si>
    <t>吉川市 総務部 財政課</t>
  </si>
  <si>
    <t>水道台帳補正業務委託（Ｒ７年度）</t>
  </si>
  <si>
    <t>2025/09/16 09:17</t>
  </si>
  <si>
    <t>吉川市 都市建設部 水道課</t>
  </si>
  <si>
    <t>高富隧道ボックスカルバート点検業務委託</t>
  </si>
  <si>
    <t>吉川市道路橋点検業務委託（令和７年度）</t>
  </si>
  <si>
    <t>市街地石綿管布設替設計業務委託（Ｒ７）</t>
  </si>
  <si>
    <t>2025/06/06 09:09</t>
  </si>
  <si>
    <t>中曽根跨線橋アプローチ橋補修設計業務委託</t>
  </si>
  <si>
    <t>2025/06/06 09:02</t>
  </si>
  <si>
    <t>吉川中央第一調整池排水機場他１施設設備更新詳細設計業務委託</t>
  </si>
  <si>
    <t>2025/05/23 10:32</t>
  </si>
  <si>
    <t>市道２－１０５号線外測量設計業務委託</t>
  </si>
  <si>
    <t>2025/05/23 10:17</t>
  </si>
  <si>
    <t>埼玉コンサルタント株式会社 三郷支社</t>
  </si>
  <si>
    <t>（都）越谷総合公園川藤線道路予備設計業務委託</t>
  </si>
  <si>
    <t>2025/05/23 10:03</t>
  </si>
  <si>
    <t>しんきぼり水路整備地盤変動影響事前調査業務委託</t>
  </si>
  <si>
    <t>2025/05/23 09:34</t>
  </si>
  <si>
    <t>吉川市共保雨水ポンプ場増設基本設計業務委託</t>
  </si>
  <si>
    <t>2025/04/25 10:46</t>
  </si>
  <si>
    <t>雨水管渠布設替実施設計業務委託</t>
  </si>
  <si>
    <t>2025/04/25 10:31</t>
  </si>
  <si>
    <t>水防センター引込柱実施設計業務委託</t>
  </si>
  <si>
    <t>2024/12/20 10:04</t>
  </si>
  <si>
    <t>吉川駅北口駅前広場改修修正設計業務委託</t>
  </si>
  <si>
    <t>2024/10/25 09:47</t>
  </si>
  <si>
    <t>水道台帳補正業務委託（Ｒ６年度）</t>
  </si>
  <si>
    <t>2024/10/25 09:33</t>
  </si>
  <si>
    <t>吉川駅北口ロータリー配水管布設替設計業務委託（Ｒ６）</t>
  </si>
  <si>
    <t>2024/10/25 09:09</t>
  </si>
  <si>
    <t>（都）越谷吉川線測量設計業務委託（Ｒ６）</t>
  </si>
  <si>
    <t>2024/07/19 09:17</t>
  </si>
  <si>
    <t>市道1-120号線かちばし外補修設計等業務委託</t>
  </si>
  <si>
    <t>2024/06/21 09:03</t>
  </si>
  <si>
    <t>上第二大場川改修修正設計業務委託</t>
  </si>
  <si>
    <t>2024/06/07 11:01</t>
  </si>
  <si>
    <t>中曽根跨線橋修正設計業務委託</t>
  </si>
  <si>
    <t>市街地石綿管布設替設計業務委託（R6）</t>
  </si>
  <si>
    <t>2024/06/07 09:03</t>
  </si>
  <si>
    <t>南配水場高圧受電設備更新工事実施設計業務委託</t>
  </si>
  <si>
    <t>2024/05/24 09:41</t>
  </si>
  <si>
    <t>会野谷浄水場浄水施設他撤去更新工事実施設計業務委託</t>
  </si>
  <si>
    <t>2024/05/24 09:27</t>
  </si>
  <si>
    <t>位置指定道路配水管布設設計業務委託（Ｒ６）</t>
  </si>
  <si>
    <t>2024/05/24 09:04</t>
  </si>
  <si>
    <t>株式会社昭和設計 埼玉事務所</t>
  </si>
  <si>
    <t>市道２－２１３号線交差点改修測量設計業務委託</t>
  </si>
  <si>
    <t>2024/04/26 10:12</t>
  </si>
  <si>
    <t>管路施設実施設計業務委託（汚水）</t>
  </si>
  <si>
    <t>2024/04/26 09:47</t>
  </si>
  <si>
    <t>ふじみ野市</t>
  </si>
  <si>
    <t>砂川堀第２雨水幹線特別重点調査業務委託</t>
  </si>
  <si>
    <t>2025/10/15 09:30</t>
  </si>
  <si>
    <t>ふじみ野市 総務部 契約・法務課</t>
  </si>
  <si>
    <t>上福岡駅東口駅前広場整備計画策定業務委託</t>
  </si>
  <si>
    <t>2025/09/04 09:30</t>
  </si>
  <si>
    <t>路面性状調査及び舗装維持修繕計画策定業務委託</t>
  </si>
  <si>
    <t>市道Ｆ－５５号線道路拡幅工事詳細設計業務委託</t>
  </si>
  <si>
    <t>2025/08/05 09:45</t>
  </si>
  <si>
    <t>配水管布設替工事設計業務委託（Ｒ７）</t>
  </si>
  <si>
    <t>株式会社シーエスエンジニアズ 川越営業所</t>
  </si>
  <si>
    <t>ストックマネジメント点検調査業務委託</t>
  </si>
  <si>
    <t>2025/07/15 09:45</t>
  </si>
  <si>
    <t>公共下水道（汚水管渠）実施設計業務委託</t>
  </si>
  <si>
    <t>2025/07/09 09:00</t>
  </si>
  <si>
    <t>ふじみ野市内水浸水想定区域図策定業務委託</t>
  </si>
  <si>
    <t>2025/05/26 09:45</t>
  </si>
  <si>
    <t>2024/08/30 09:15</t>
  </si>
  <si>
    <t>橋りょう補修設計業務委託</t>
  </si>
  <si>
    <t>2024/08/26 09:15</t>
  </si>
  <si>
    <t>配水管布設替工事設計業務委託（Ｒ６）</t>
  </si>
  <si>
    <t>2024/07/10 09:30</t>
  </si>
  <si>
    <t>浄水場及び水源施設更新計画基本設計業務委託</t>
  </si>
  <si>
    <t>2024/07/10 09:15</t>
  </si>
  <si>
    <t>ふじみ野市運動公園等再整備基本方針策定業務委託</t>
  </si>
  <si>
    <t>2024/05/14 10:00</t>
  </si>
  <si>
    <t>ふじみ野市下水道全体計画変更策定・公共下水道事業計画変更等業務委託</t>
  </si>
  <si>
    <t>2024/05/10 09:15</t>
  </si>
  <si>
    <t>ふじみ野市運動公園野球場改修工事設計委託</t>
  </si>
  <si>
    <t>2024/04/18 09:00</t>
  </si>
  <si>
    <t>伊奈町</t>
  </si>
  <si>
    <t>令和７年度 配水管布設替工事設計業務委託（その2）</t>
  </si>
  <si>
    <t>2025/08/01 10:05</t>
  </si>
  <si>
    <t>伊奈町 （総務課） 総務課</t>
  </si>
  <si>
    <t>第一測量設計株式会社 伊奈支店</t>
  </si>
  <si>
    <t>伊奈町下水道ストックマネジメント計画更新業務委託</t>
  </si>
  <si>
    <t>2025/07/09 10:08</t>
  </si>
  <si>
    <t>令和7年度下水道管路施設耐震診断（詳細診断）業務委託</t>
  </si>
  <si>
    <t>2025/07/09 10:00</t>
  </si>
  <si>
    <t>都市計画道路上尾伊奈線測量予備設計業務委託</t>
  </si>
  <si>
    <t>2025/06/02 11:01</t>
  </si>
  <si>
    <t>埼玉コンサルタント株式会社 伊奈支社</t>
  </si>
  <si>
    <t>令和７年度下水道管路施設耐震対策実施設計業務委託</t>
  </si>
  <si>
    <t>2025/06/02 09:46</t>
  </si>
  <si>
    <t>令和７年度 配水管布設替工事設計業務委託（その１）</t>
  </si>
  <si>
    <t>センター内環境調査分析業務委託（その２）</t>
  </si>
  <si>
    <t>2025/06/02 09:31</t>
  </si>
  <si>
    <t>令和６年度 下水道管路施設耐震対策実施設計業務委託</t>
  </si>
  <si>
    <t>2024/07/30 10:55</t>
  </si>
  <si>
    <t>公共下水道事業計画変更認可設計業務委託</t>
  </si>
  <si>
    <t>2024/07/04 09:50</t>
  </si>
  <si>
    <t>令和６年度 伊奈町水道事業管路更新計画策定業務委託</t>
  </si>
  <si>
    <t>2024/07/04 09:45</t>
  </si>
  <si>
    <t>令和６年度 配水管布設替工事設計業務委託（その２）</t>
  </si>
  <si>
    <t>2024/07/04 09:40</t>
  </si>
  <si>
    <t>令和６年度 管路施設耐震診断（詳細診断）業務</t>
  </si>
  <si>
    <t>2024/06/05 09:49</t>
  </si>
  <si>
    <t>令和６年度 配水管布設替工事設計業務委託（その１）</t>
  </si>
  <si>
    <t>2024/06/05 09:38</t>
  </si>
  <si>
    <t>三芳町</t>
  </si>
  <si>
    <t>産業基盤整備推進業務委託</t>
  </si>
  <si>
    <t>2025/08/27 10:15</t>
  </si>
  <si>
    <t>三芳町 （施設マネジメント課） 施設マネジメント課</t>
  </si>
  <si>
    <t>三芳町生活排水処理基本計画策定業務委託</t>
  </si>
  <si>
    <t>2025/07/01 09:46</t>
  </si>
  <si>
    <t>排出水分析調査業務委託</t>
  </si>
  <si>
    <t>2025/05/22 16:00</t>
  </si>
  <si>
    <t>国道２５４号配水管布設推進工事実施設計業務委託</t>
  </si>
  <si>
    <t>2025/05/22 15:00</t>
  </si>
  <si>
    <t>町道幹線１７号線配水管布設替工事実施設計業務委託</t>
  </si>
  <si>
    <t>2025/05/22 14:45</t>
  </si>
  <si>
    <t>河川水質調査業務委託</t>
  </si>
  <si>
    <t>ダイオキシン類等測定調査業務委託</t>
  </si>
  <si>
    <t>2025/05/22 10:15</t>
  </si>
  <si>
    <t>交通量調査業務委託</t>
  </si>
  <si>
    <t>2024/12/06 10:11</t>
  </si>
  <si>
    <t>三芳町道路付属施設等点検業務委託</t>
  </si>
  <si>
    <t>2024/07/23 11:11</t>
  </si>
  <si>
    <t>町道上富５１号線地盤調査業務委託</t>
  </si>
  <si>
    <t>2024/06/21 13:30</t>
  </si>
  <si>
    <t>2024/05/23 16:20</t>
  </si>
  <si>
    <t>三芳スマートICフル化整備効果検証業務委託</t>
  </si>
  <si>
    <t>2024/05/23 14:40</t>
  </si>
  <si>
    <t>幹線道路交通量調査業務委託</t>
  </si>
  <si>
    <t>2024/05/23 14:21</t>
  </si>
  <si>
    <t>町道幹線７号線（都市計画道路）道路築造工事設計業務委託</t>
  </si>
  <si>
    <t>2024/05/23 14:00</t>
  </si>
  <si>
    <t>地域防災計画・業務継続計画改訂業務委託</t>
  </si>
  <si>
    <t>一般財団法人ＡＶＣＣ 本店</t>
  </si>
  <si>
    <t>2024/05/23 09:40</t>
  </si>
  <si>
    <t>毛呂山町</t>
  </si>
  <si>
    <t>町道第7号路線設計業務委託</t>
  </si>
  <si>
    <t>2025/10/10 10:20</t>
  </si>
  <si>
    <t>毛呂山町 （管財課） 管財課</t>
  </si>
  <si>
    <t>林道橋梁点検業務委託</t>
  </si>
  <si>
    <t>2025/08/08 10:01</t>
  </si>
  <si>
    <t>2025/06/20 09:20</t>
  </si>
  <si>
    <t>旭台地区雨水排水対策詳細設計業務委託</t>
  </si>
  <si>
    <t>2025/06/18 09:00</t>
  </si>
  <si>
    <t>町営住宅長寿命化計画策定業務委託</t>
  </si>
  <si>
    <t>2025/06/06 13:20</t>
  </si>
  <si>
    <t>第四団地雨水排水対策現況調査委託</t>
  </si>
  <si>
    <t>2024/08/23 10:00</t>
  </si>
  <si>
    <t>司測量設計調査株式会社 毛呂山営業所</t>
  </si>
  <si>
    <t>2024/08/23 09:40</t>
  </si>
  <si>
    <t>旭台地区雨水排水対策概略設計業務委託</t>
  </si>
  <si>
    <t>2024/07/12 11:00</t>
  </si>
  <si>
    <t>苦林浄水場設備棟更新工事実施設計業務委託</t>
  </si>
  <si>
    <t>2024/06/19 09:40</t>
  </si>
  <si>
    <t>町内全般測量設計業務委託（その１）</t>
  </si>
  <si>
    <t>嵐山町</t>
  </si>
  <si>
    <t>第３次水道事業基本計画（水道ビジョン）策定業務委託</t>
  </si>
  <si>
    <t>2025/11/14 08:44</t>
  </si>
  <si>
    <t>嵐山町 （総務課） 総務課</t>
  </si>
  <si>
    <t>ストックマネジメント計画策定業務委託</t>
  </si>
  <si>
    <t>2025/07/11 09:29</t>
  </si>
  <si>
    <t>ため池農法保全防災対策等推進事業 農業用ため池実施計画策定業務委託</t>
  </si>
  <si>
    <t>2025/07/04 08:34</t>
  </si>
  <si>
    <t>マンホール詳細調査・更生実施設計業務委託</t>
  </si>
  <si>
    <t>2025/06/20 09:35</t>
  </si>
  <si>
    <t>下水道管渠TVカメラ調査業務委託</t>
  </si>
  <si>
    <t>2024/09/20 08:41</t>
  </si>
  <si>
    <t>第１浄配水場建設工事積算支援業務委託</t>
  </si>
  <si>
    <t>2024/09/03 08:46</t>
  </si>
  <si>
    <t>株式会社東洋設計 比企営業所</t>
  </si>
  <si>
    <t>2024/06/07 09:57</t>
  </si>
  <si>
    <t>生活排水処理施設整備構想見直し業務委託</t>
  </si>
  <si>
    <t>2024/06/07 09:30</t>
  </si>
  <si>
    <t>下水道管渠ＴＶカメラ調査に係る実施設計業務委託</t>
  </si>
  <si>
    <t>2024/06/07 08:33</t>
  </si>
  <si>
    <t>小川町</t>
  </si>
  <si>
    <t>深田団地雨水調整池点検業務委託</t>
  </si>
  <si>
    <t>2025/08/12 09:30</t>
  </si>
  <si>
    <t>小川町 （政策推進課） 政策推進課</t>
  </si>
  <si>
    <t>小川町橋梁定期点検業務委託</t>
  </si>
  <si>
    <t>2025/08/12 09:00</t>
  </si>
  <si>
    <t>小川公共下水道1-5分区25-1詳細設計業務委託</t>
  </si>
  <si>
    <t>2025/07/10 09:06</t>
  </si>
  <si>
    <t>東小川住宅団地再生地区多目的広場整備工事設計業務委託</t>
  </si>
  <si>
    <t>2025/07/07 09:07</t>
  </si>
  <si>
    <t>小川町生活排水処理基本計画見直し業務委託</t>
  </si>
  <si>
    <t>2025/05/16 09:36</t>
  </si>
  <si>
    <t>町道１１４号線法面測量設計業務委託</t>
  </si>
  <si>
    <t>2024/10/15 11:02</t>
  </si>
  <si>
    <t>森林管理道高谷角山線 林道橋定期点検業務委託</t>
  </si>
  <si>
    <t>2024/09/06 09:01</t>
  </si>
  <si>
    <t>割谷橋補修設計業務委託</t>
  </si>
  <si>
    <t>2024/08/08 09:42</t>
  </si>
  <si>
    <t>大寺橋補修設計業務委託</t>
  </si>
  <si>
    <t>2024/07/16 10:01</t>
  </si>
  <si>
    <t>2024/07/16 09:32</t>
  </si>
  <si>
    <t>川島町</t>
  </si>
  <si>
    <t>令和7年度浅間排水路整備修正設計業務委託</t>
  </si>
  <si>
    <t>2026/02/05 09:01</t>
  </si>
  <si>
    <t>川島町 （政策推進課） 政策推進課</t>
  </si>
  <si>
    <t>株式会社ミカミ・アイエヌジー 川島支店</t>
  </si>
  <si>
    <t>令和7年度町道5581号線外道路詳細設計業務委託</t>
  </si>
  <si>
    <t>2025/10/31 11:31</t>
  </si>
  <si>
    <t>令和7年度町道5113号線脇水路設計・測量業務委託</t>
  </si>
  <si>
    <t>2025/10/31 10:46</t>
  </si>
  <si>
    <t>武州測量株式会社 川島営業所</t>
  </si>
  <si>
    <t>（道メ）令和7年度 川島町橋梁定期点検業務委託</t>
  </si>
  <si>
    <t>2025/10/31 09:02</t>
  </si>
  <si>
    <t>川島町舗装個別施設計画策定業務委託</t>
  </si>
  <si>
    <t>2025/10/10 09:48</t>
  </si>
  <si>
    <t>令和7年度下水道管路改築・更新計画に伴う施設点検調査業務委託（ストックマネジメント）</t>
  </si>
  <si>
    <t>2025/10/10 09:01</t>
  </si>
  <si>
    <t>令和7年度雨天時浸入水対策調査業務委託</t>
  </si>
  <si>
    <t>2025/07/30 15:15</t>
  </si>
  <si>
    <t>（道メ）令和7年度川島町橋梁定期点検業務委託（令和6年度繰越分）</t>
  </si>
  <si>
    <t>2025/07/30 13:02</t>
  </si>
  <si>
    <t>旧中山公民館解体工事事前アスベスト調査業務</t>
  </si>
  <si>
    <t>2025/06/04 10:32</t>
  </si>
  <si>
    <t>作業環境中のダイオキシン類調査業務委託託</t>
  </si>
  <si>
    <t>2025/06/03 15:16</t>
  </si>
  <si>
    <t>令和7年度河川水質調査業務委託</t>
  </si>
  <si>
    <t>2025/06/03 14:30</t>
  </si>
  <si>
    <t>令和7年度内水浸水想定区域図作成業務委託</t>
  </si>
  <si>
    <t>2025/06/03 10:01</t>
  </si>
  <si>
    <t>吹塚浄水場機械設備棟詳細設計業務委託</t>
  </si>
  <si>
    <t>2025/04/30 14:03</t>
  </si>
  <si>
    <t>配水管布設替等工事設計業務委託</t>
  </si>
  <si>
    <t>2025/04/30 13:06</t>
  </si>
  <si>
    <t>川島町環境センター（ごみ処理施設）ダイオキシン類及びばい煙等環境調査業務委託</t>
  </si>
  <si>
    <t>2025/04/22 13:01</t>
  </si>
  <si>
    <t>令和6年度排水整備検討業務委託</t>
  </si>
  <si>
    <t>2024/10/30 13:47</t>
  </si>
  <si>
    <t>令和6年度下水道管路改築・更新計画に伴う施設点検調査業務委託（ストックマネジメント）</t>
  </si>
  <si>
    <t>2024/10/02 10:05</t>
  </si>
  <si>
    <t>（道メ）令和6年度 川島町橋梁定期点検業務委託</t>
  </si>
  <si>
    <t>2024/10/02 09:01</t>
  </si>
  <si>
    <t>令和6年度町道1-12号線外設計測量業務委託</t>
  </si>
  <si>
    <t>2024/09/12 16:46</t>
  </si>
  <si>
    <t>令和６年度雨天時浸入水対策調査業務委託</t>
  </si>
  <si>
    <t>作業環境中のダイオキシン類調査業務委託</t>
  </si>
  <si>
    <t>2024/06/26 13:00</t>
  </si>
  <si>
    <t>東京テクニカル・サービス株式会社 埼玉支店</t>
  </si>
  <si>
    <t>川島町公共下水道事業計画変更業務委託</t>
  </si>
  <si>
    <t>2024/05/29 14:03</t>
  </si>
  <si>
    <t>川島町上下水道事業料金検討支援業務委託</t>
  </si>
  <si>
    <t>2024/05/07 10:03</t>
  </si>
  <si>
    <t>八ツ保公民館解体工事事前アスベスト調査業務</t>
  </si>
  <si>
    <t>2024/04/26 14:09</t>
  </si>
  <si>
    <t>吹塚浄水場機械設備棟設計業務委託</t>
  </si>
  <si>
    <t>2024/04/25 13:00</t>
  </si>
  <si>
    <t>2024/04/25 11:01</t>
  </si>
  <si>
    <t>令和６年度河川水質調査業務委託</t>
  </si>
  <si>
    <t>2024/04/18 09:40</t>
  </si>
  <si>
    <t>2024/04/18 09:14</t>
  </si>
  <si>
    <t>吉見町</t>
  </si>
  <si>
    <t>吉見町公共用水域水質調査業務委託</t>
  </si>
  <si>
    <t>2026/04/27 10:30</t>
  </si>
  <si>
    <t>吉見町 （総合政策課） 総合政策課</t>
  </si>
  <si>
    <t>環境未来株式会社 埼玉営業所</t>
  </si>
  <si>
    <t>実施設計業務委託R８－１</t>
  </si>
  <si>
    <t>2026/03/10 10:10</t>
  </si>
  <si>
    <t>吉見町上水道配水管切廻し工事実施設計業務委託</t>
  </si>
  <si>
    <t>2025/12/09 10:30</t>
  </si>
  <si>
    <t>吉見百穴基礎調査業務委託</t>
  </si>
  <si>
    <t>実施設計業務委託R７－１</t>
  </si>
  <si>
    <t>2025/06/20 10:30</t>
  </si>
  <si>
    <t>2025/05/23 10:50</t>
  </si>
  <si>
    <t>吉見町上水道給水管布設及び布設替工事実施設計業務委託</t>
  </si>
  <si>
    <t>2025/05/23 09:30</t>
  </si>
  <si>
    <t>吉見町上水道配水管布設工事実施設計業務委託（その３）</t>
  </si>
  <si>
    <t>2024/11/11 10:50</t>
  </si>
  <si>
    <t>2024/06/06 09:30</t>
  </si>
  <si>
    <t>八丁湖公園護岸詳細設計業務委託</t>
  </si>
  <si>
    <t>2024/05/24 11:10</t>
  </si>
  <si>
    <t>三協測量設計株式会社 東松山支店</t>
  </si>
  <si>
    <t>吉見町上水道黒岩配水場受配電施設更新工事等実施設計業務委託</t>
  </si>
  <si>
    <t>2024/05/24 10:10</t>
  </si>
  <si>
    <t>吉見町公共下水道全体計画見直し業務委託</t>
  </si>
  <si>
    <t>2024/04/26 11:00</t>
  </si>
  <si>
    <t>吉見町上水道配水管布設替工事実施設計業務委託（その２）</t>
  </si>
  <si>
    <t>2024/04/26 10:00</t>
  </si>
  <si>
    <t>吉見町上水道配水管布設替工事実施設計業務委託（その１）</t>
  </si>
  <si>
    <t>鳩山町</t>
  </si>
  <si>
    <t>道路メンテナンス補助 2308-1橋補修設計業務</t>
  </si>
  <si>
    <t>2025/08/07 10:21</t>
  </si>
  <si>
    <t>鳩山町 （政策財政課） 政策財政課</t>
  </si>
  <si>
    <t>道路メンテナンス補助 鳩山町橋梁長寿命化修繕計画修正業務</t>
  </si>
  <si>
    <t>2025/07/03 13:42</t>
  </si>
  <si>
    <t>鳩川等河川水質検査分析業務</t>
  </si>
  <si>
    <t>2025/07/03 13:02</t>
  </si>
  <si>
    <t>道路メンテナンス補助 鳩山町橋梁定期点検業務</t>
  </si>
  <si>
    <t>2025/06/12 11:54</t>
  </si>
  <si>
    <t>辻川等整備工事その１施工監理業務</t>
  </si>
  <si>
    <t>2025/06/12 10:40</t>
  </si>
  <si>
    <t>2024/08/14 10:40</t>
  </si>
  <si>
    <t>中央監視施設更新工事監理業務</t>
  </si>
  <si>
    <t>2024/07/12 14:05</t>
  </si>
  <si>
    <t>埼玉西部クリーンセンター整備地区土壌調査業務</t>
  </si>
  <si>
    <t>2024/07/12 13:03</t>
  </si>
  <si>
    <t>ゴルフ場農薬水質分析業務</t>
  </si>
  <si>
    <t>2024/07/12 11:45</t>
  </si>
  <si>
    <t>鳩川等河川水質検査等分析業務</t>
  </si>
  <si>
    <t>2024/07/12 11:30</t>
  </si>
  <si>
    <t>道路メンテナンス補助 2239-1橋補修設計業務</t>
  </si>
  <si>
    <t>2024/06/13 13:12</t>
  </si>
  <si>
    <t>辻川整備工事実施設計業務</t>
  </si>
  <si>
    <t>2024/06/13 10:03</t>
  </si>
  <si>
    <t>横瀬町</t>
  </si>
  <si>
    <t>兎沢町有地周辺公園整備概略設計業務委託</t>
  </si>
  <si>
    <t>2025/10/30 13:14</t>
  </si>
  <si>
    <t>横瀬町 （まち経営課） まち経営課</t>
  </si>
  <si>
    <t>ウォーターパーク・シラヤマ右岸園地設計業務委託</t>
  </si>
  <si>
    <t>2025/08/08 13:45</t>
  </si>
  <si>
    <t>横瀬町水質管理センター非常用自家発電設備設置工事詳細設計業務委託</t>
  </si>
  <si>
    <t>2025/06/11 15:02</t>
  </si>
  <si>
    <t>横瀬町下水道事業ストックマネジメント計画策定業務委託</t>
  </si>
  <si>
    <t>2025/06/11 14:57</t>
  </si>
  <si>
    <t>ウォーターパーク・シラヤマ歩道用吊橋設計業務委託</t>
  </si>
  <si>
    <t>2024/11/11 14:01</t>
  </si>
  <si>
    <t>2024/08/23 13:14</t>
  </si>
  <si>
    <t>沢端橋修繕設計業務委託</t>
  </si>
  <si>
    <t>2024/05/27 14:09</t>
  </si>
  <si>
    <t>河川水質・降下ばいじん調査測定業務委託</t>
  </si>
  <si>
    <t>2024/04/23 13:45</t>
  </si>
  <si>
    <t>皆野町</t>
  </si>
  <si>
    <t>橋りょう点検業務委託</t>
  </si>
  <si>
    <t>2025/06/30 10:21</t>
  </si>
  <si>
    <t>皆野町 （総務課） 総務課</t>
  </si>
  <si>
    <t>長瀞町</t>
  </si>
  <si>
    <t>町営駐車場測量設計業務委託</t>
  </si>
  <si>
    <t>2025/07/16 11:00</t>
  </si>
  <si>
    <t>長瀞町 （企画財政課） 企画財政課</t>
  </si>
  <si>
    <t>2025/06/02 11:16</t>
  </si>
  <si>
    <t>幹線２７号線測量設計業務委託</t>
  </si>
  <si>
    <t>2024/08/23 11:00</t>
  </si>
  <si>
    <t>幹線２６号線歩行者通行帯測量設計業務委託</t>
  </si>
  <si>
    <t>2024/05/15 11:00</t>
  </si>
  <si>
    <t>小鹿野町</t>
  </si>
  <si>
    <t>小鹿野町橋梁定期点検業務委託</t>
  </si>
  <si>
    <t>2025/10/24 10:30</t>
  </si>
  <si>
    <t>小鹿野町 （総合政策課） 総合政策課</t>
  </si>
  <si>
    <t>町道１３０号線排水路詳細設計用地調査業務委託</t>
  </si>
  <si>
    <t>2024/06/25 11:30</t>
  </si>
  <si>
    <t>株式会社ヤマホン 小鹿野営業所</t>
  </si>
  <si>
    <t>2024/06/25 10:31</t>
  </si>
  <si>
    <t>町道９１号線函渠詳細設計業務委託（籠関第３橋）</t>
  </si>
  <si>
    <t>美里町</t>
  </si>
  <si>
    <t>美里町水道事業配水管布設工事設計業務委託</t>
  </si>
  <si>
    <t>2026/02/19 09:14</t>
  </si>
  <si>
    <t>美里町 （総合政策課） 総合政策課</t>
  </si>
  <si>
    <t>美里町公共下水道全体計画変更業務委託</t>
  </si>
  <si>
    <t>2025/07/24 10:11</t>
  </si>
  <si>
    <t>美里町生活排水処理基本計画策定業務委託</t>
  </si>
  <si>
    <t>2025/06/23 13:41</t>
  </si>
  <si>
    <t>美里町ハイキングルート（鐘撞堂線）現況把握調査・実施設計業務委託</t>
  </si>
  <si>
    <t>2025/06/23 11:43</t>
  </si>
  <si>
    <t>美里町水道事業配水管布設工事等設計業務委託</t>
  </si>
  <si>
    <t>2025/02/21 09:53</t>
  </si>
  <si>
    <t>2024/09/25 09:48</t>
  </si>
  <si>
    <t>株式会社エフジェン 熊谷営業所</t>
  </si>
  <si>
    <t>防火水槽新設工事設計業務委託</t>
  </si>
  <si>
    <t>2024/07/24 13:42</t>
  </si>
  <si>
    <t>株式会社協同測地開発 本店</t>
  </si>
  <si>
    <t>神川町</t>
  </si>
  <si>
    <t>神川町水道事業送・配水管布設替工事設計業務委託</t>
  </si>
  <si>
    <t>2025/06/13 09:30</t>
  </si>
  <si>
    <t>神川町 （総合政策課） 総合政策課</t>
  </si>
  <si>
    <t>株式会社明水設計 埼玉営業所</t>
  </si>
  <si>
    <t>令和6年度 統合小学校基本構想検討業務委託</t>
  </si>
  <si>
    <t>2024/06/14 10:32</t>
  </si>
  <si>
    <t>令和６年度立地適正化計画策定業務委託.</t>
  </si>
  <si>
    <t>2024/04/25 09:04</t>
  </si>
  <si>
    <t>上里町</t>
  </si>
  <si>
    <t>令和7年度 上里町浄水場・第二浄水場（自家発電設備）第2次（R7.R8.R9）更新工事施工監理業務委託</t>
  </si>
  <si>
    <t>2025/07/11 15:26</t>
  </si>
  <si>
    <t>上里町 （総務課） 総務課</t>
  </si>
  <si>
    <t>令和7年度 上里公共下水道事業神保原町地内管渠修正設計業務委託</t>
  </si>
  <si>
    <t>2025/07/11 15:15</t>
  </si>
  <si>
    <t>令和7年度 上水道配水支管布設工事実施設計業務委託（その2）</t>
  </si>
  <si>
    <t>2025/06/11 10:48</t>
  </si>
  <si>
    <t>令和7年度 駅北東通り線沿道開発等検討業務委託</t>
  </si>
  <si>
    <t>2025/05/15 10:29</t>
  </si>
  <si>
    <t>令和６年度 上水道配水管布設工事実施設計業務委託</t>
  </si>
  <si>
    <t>2024/10/11 14:47</t>
  </si>
  <si>
    <t>令和6年度 上里町浄水場（土木・建築）第２次（R6.R7.R8）改修工事施工監理業務委託</t>
  </si>
  <si>
    <t>2024/07/11 14:51</t>
  </si>
  <si>
    <t>令和6年度 上里町南部浄水場撤去工事実施設計業務委託</t>
  </si>
  <si>
    <t>2024/07/11 14:47</t>
  </si>
  <si>
    <t>令和6年度 上里町第二浄水場自家発電機室煙突改修工事実施設計業務委託</t>
  </si>
  <si>
    <t>2024/07/11 14:42</t>
  </si>
  <si>
    <t>令和６年度 神保原駅北東通り線測量設計業務委託</t>
  </si>
  <si>
    <t>2024/07/11 14:08</t>
  </si>
  <si>
    <t>令和6年度 庁舎西側駐車場雨水対策検討業務委託</t>
  </si>
  <si>
    <t>2024/06/11 15:21</t>
  </si>
  <si>
    <t>令和6年度 箱型函渠詳細設計業務委託</t>
  </si>
  <si>
    <t>2024/06/11 15:07</t>
  </si>
  <si>
    <t>令和６年度 上里公共下水道事業雨水出水浸水想定区域図作成業務委託</t>
  </si>
  <si>
    <t>2024/05/16 15:04</t>
  </si>
  <si>
    <t>令和６年度 利根川右岸流域関連 上里公共下水道浸水対策検討業務委託（その2）</t>
  </si>
  <si>
    <t>2024/05/16 14:59</t>
  </si>
  <si>
    <t>令和6年度 上里サービスエリア周辺地区 水辺ゾーン整備検討業務委託</t>
  </si>
  <si>
    <t>2024/05/16 14:27</t>
  </si>
  <si>
    <t>令和６年度 神保原駅北道路及び用途地域等検討業務委託</t>
  </si>
  <si>
    <t>2024/04/18 14:39</t>
  </si>
  <si>
    <t>寄居町</t>
  </si>
  <si>
    <t>第３次寄居町環境基本計画策定業務委託</t>
  </si>
  <si>
    <t>2026/05/13 10:32</t>
  </si>
  <si>
    <t>寄居町 （企画財政課） 企画財政課</t>
  </si>
  <si>
    <t>汚泥再生処理センター下水道接続に伴う基本計画策定業務委託</t>
  </si>
  <si>
    <t>2026/05/13 10:29</t>
  </si>
  <si>
    <t>寄居町水道事業水質検査業務委託（単価契約）</t>
  </si>
  <si>
    <t>2026/04/14 10:10</t>
  </si>
  <si>
    <t>中心市街地通行量調査業務委託</t>
  </si>
  <si>
    <t>2025/09/29 11:06</t>
  </si>
  <si>
    <t>株式会社技術開発コンサルタント 寄居支店</t>
  </si>
  <si>
    <t>下平橋・諏訪橋修繕設計業務委託</t>
  </si>
  <si>
    <t>2025/08/27 13:46</t>
  </si>
  <si>
    <t>配水管布設工事実施設計業務委託</t>
  </si>
  <si>
    <t>2025/07/31 10:16</t>
  </si>
  <si>
    <t>老朽管更新工事実施設計業務委託</t>
  </si>
  <si>
    <t>2025/07/31 10:11</t>
  </si>
  <si>
    <t>かわせみ河原可動式トイレ設置工事設計業務委託</t>
  </si>
  <si>
    <t>2025/06/26 11:31</t>
  </si>
  <si>
    <t>2025/06/26 10:46</t>
  </si>
  <si>
    <t>寄居町生活排水処理基本計画策定業務委託</t>
  </si>
  <si>
    <t>2025/05/29 11:31</t>
  </si>
  <si>
    <t>象ケ鼻浄水場中央監視装置更新工事設計業務委託</t>
  </si>
  <si>
    <t>2025/05/14 13:44</t>
  </si>
  <si>
    <t>2025/04/10 10:12</t>
  </si>
  <si>
    <t>寄居運動公園野球場ダッグアウト更新実施設計業務委託</t>
  </si>
  <si>
    <t>2024/10/29 10:25</t>
  </si>
  <si>
    <t>寄居町 （財務課） 財務課</t>
  </si>
  <si>
    <t>東洋測地調査株式会社 寄居営業所</t>
  </si>
  <si>
    <t>2024/09/26 10:50</t>
  </si>
  <si>
    <t>2024/08/22 10:45</t>
  </si>
  <si>
    <t>寄居町水道事業施設整備計画・経営戦略改定業務委託</t>
  </si>
  <si>
    <t>2024/07/29 14:12</t>
  </si>
  <si>
    <t>2024/07/29 14:06</t>
  </si>
  <si>
    <t>桜沢駅歩道橋修繕設計業務委託</t>
  </si>
  <si>
    <t>2024/06/27 16:02</t>
  </si>
  <si>
    <t>鷹ノ巣中西水路浸水対策検討業務委託</t>
  </si>
  <si>
    <t>2024/06/27 14:57</t>
  </si>
  <si>
    <t>5003号橋ほか2橋修繕設計業務委託</t>
  </si>
  <si>
    <t>2024/06/27 14:54</t>
  </si>
  <si>
    <t>町道127号線（農免道）道路詳細設計業務委託</t>
  </si>
  <si>
    <t>2024/06/27 14:46</t>
  </si>
  <si>
    <t>浄水設備改良工事実施設計業務委託</t>
  </si>
  <si>
    <t>象ケ鼻浄水場管理棟更新工事設計業務委託</t>
  </si>
  <si>
    <t>2024/06/27 13:40</t>
  </si>
  <si>
    <t>汚泥再生処理センター精密機能検査業務委託</t>
  </si>
  <si>
    <t>寄居都市計画下水道及び流域関連寄居公共下水道事業計画・事業認可変更業務委託</t>
  </si>
  <si>
    <t>2024/04/26 10:31</t>
  </si>
  <si>
    <t>防火水槽解体設計業務委託（県道拡幅関連）</t>
  </si>
  <si>
    <t>2024/04/26 10:17</t>
  </si>
  <si>
    <t>2024/04/10 10:12</t>
  </si>
  <si>
    <t>宮代町</t>
  </si>
  <si>
    <t>第50053号他水路整備に伴う測量設計業務委託</t>
  </si>
  <si>
    <t>2026/04/30 10:45</t>
  </si>
  <si>
    <t>宮代町 企画財政課 企画財政室</t>
  </si>
  <si>
    <t>令和８年度 配水管布設工事設計業務委託</t>
  </si>
  <si>
    <t>2026/04/30 09:57</t>
  </si>
  <si>
    <t>宮代町下水道事業経営戦略の改定及び上下水道料金のあり方検討業務委託</t>
  </si>
  <si>
    <t>2025/10/01 09:31</t>
  </si>
  <si>
    <t>令和７年度 第一中継ポンプ場耐震補強工事設計業務委託</t>
  </si>
  <si>
    <t>2025/07/31 15:05</t>
  </si>
  <si>
    <t>第２浄水場更新工事基本検討業務委託</t>
  </si>
  <si>
    <t>2025/07/31 09:53</t>
  </si>
  <si>
    <t>宮代町水道事業老朽管更新計画２次改訂業務委託</t>
  </si>
  <si>
    <t>2025/07/10 10:22</t>
  </si>
  <si>
    <t>令和７年度配水管布設工事設計業務委託（その２）</t>
  </si>
  <si>
    <t>令和７年度 第一及び第二中継ポンプ場改修工事設計業務委託</t>
  </si>
  <si>
    <t>2025/07/10 09:56</t>
  </si>
  <si>
    <t>第50049号他水路整備に伴う測量設計業務委託</t>
  </si>
  <si>
    <t>2025/06/04 13:01</t>
  </si>
  <si>
    <t>2025/06/04 09:57</t>
  </si>
  <si>
    <t>令和７年度 汚水管きょ布設工事設計業務委託</t>
  </si>
  <si>
    <t>宮代町公共下水道全体計画見直し等業務委託</t>
  </si>
  <si>
    <t>令和7年度配水管布設工事設計業務委託</t>
  </si>
  <si>
    <t>2025/05/09 09:38</t>
  </si>
  <si>
    <t>令和６年度 宮代町産業系土地利用検討業務委託</t>
  </si>
  <si>
    <t>2024/10/30 10:18</t>
  </si>
  <si>
    <t>町道第252号線 道路詳細設計業務委託</t>
  </si>
  <si>
    <t>2024/09/11 10:00</t>
  </si>
  <si>
    <t>宮代町農業集落排水施設広域化検討業務委託</t>
  </si>
  <si>
    <t>2024/07/31 09:59</t>
  </si>
  <si>
    <t>令和６年度 汚水管きょ布設替工事設計業務委託</t>
  </si>
  <si>
    <t>2024/07/31 09:55</t>
  </si>
  <si>
    <t>東武動物公園駅東口駅前広場電線共同溝詳細設計業務委託</t>
  </si>
  <si>
    <t>2024/07/05 10:07</t>
  </si>
  <si>
    <t>令和６年度 路面性状調査業務委託</t>
  </si>
  <si>
    <t>2024/05/29 10:28</t>
  </si>
  <si>
    <t>東武動物公園駅東口駅前広場詳細設計業務委託</t>
  </si>
  <si>
    <t>2024/05/29 10:12</t>
  </si>
  <si>
    <t>流域関連宮代公共下水道事業計画見直し業務委託</t>
  </si>
  <si>
    <t>2024/05/29 09:43</t>
  </si>
  <si>
    <t>桃山台堰ゲート更新に伴う調査設計業務委託</t>
  </si>
  <si>
    <t>2024/05/09 10:40</t>
  </si>
  <si>
    <t>第60004号他水路整備に伴う測量設計業務委託</t>
  </si>
  <si>
    <t>2024/05/09 10:30</t>
  </si>
  <si>
    <t>令和６年度配水管布設工事設計業務委託</t>
  </si>
  <si>
    <t>2024/05/09 09:43</t>
  </si>
  <si>
    <t>杉戸町</t>
  </si>
  <si>
    <t>杉戸町道路舗装修繕計画更新業務委託</t>
  </si>
  <si>
    <t>2026/05/13 09:04</t>
  </si>
  <si>
    <t>杉戸町 （都市施設整備課） 都市施設整備課</t>
  </si>
  <si>
    <t>186号橋外補修工事測量設計業務委託</t>
  </si>
  <si>
    <t>2025/07/18 09:04</t>
  </si>
  <si>
    <t>南側水路整備設計業務委託</t>
  </si>
  <si>
    <t>2025/06/13 09:02</t>
  </si>
  <si>
    <t>県道堤根杉戸線外配水管布設替設計業務委託</t>
  </si>
  <si>
    <t>2025/03/17 09:22</t>
  </si>
  <si>
    <t>杉戸町 （上下水道課） 上下水道課</t>
  </si>
  <si>
    <t>杉戸高野台駅西口駅前広場歩道補修工事測量設計業務委託</t>
  </si>
  <si>
    <t>2024/07/18 10:04</t>
  </si>
  <si>
    <t>公共下水道事業計画変更業務委託</t>
  </si>
  <si>
    <t>2024/06/19 09:07</t>
  </si>
  <si>
    <t>44号橋補修設計業務委託</t>
  </si>
  <si>
    <t>2024/06/14 09:33</t>
  </si>
  <si>
    <t>2024/05/13 09:02</t>
  </si>
  <si>
    <t>公共下水道ストックマネジメント計画策定業務委託</t>
  </si>
  <si>
    <t>2024/04/24 13:36</t>
  </si>
  <si>
    <t>松伏町</t>
  </si>
  <si>
    <t>８６号橋更新詳細設計業務委託</t>
  </si>
  <si>
    <t>松伏町 （企画財政課） 企画財政課</t>
  </si>
  <si>
    <t>宅内桝調査業務委託</t>
  </si>
  <si>
    <t>2024/08/08 09:00</t>
  </si>
  <si>
    <t>下水道事業計画変更図書作成業務委託</t>
  </si>
  <si>
    <t>2024/07/23 11:15</t>
  </si>
  <si>
    <t>株式会社日本水工コンサルタント 東部営業所</t>
  </si>
  <si>
    <t>越谷・松伏水道企業団</t>
  </si>
  <si>
    <t>西部配水場耐震補強詳細設計業務委託</t>
  </si>
  <si>
    <t>2026/05/19 12:01</t>
  </si>
  <si>
    <t>越谷・松伏水道企業団 （総務課） 総務課</t>
  </si>
  <si>
    <t>築比地浄水場場内配管耐震補強基本設計業務委託</t>
  </si>
  <si>
    <t>2026/04/17 09:19</t>
  </si>
  <si>
    <t>浄・配水場耐震診断業務委託</t>
  </si>
  <si>
    <t>2025/05/23 09:19</t>
  </si>
  <si>
    <t>築比地浄水場系基幹管路更新工事詳細設計業務委託（越谷第１工区）</t>
  </si>
  <si>
    <t>2025/04/25 09:09</t>
  </si>
  <si>
    <t>浄・配水場更新計画策定支援業務委託</t>
  </si>
  <si>
    <t>2024/04/19 10:35</t>
  </si>
  <si>
    <t>築比地浄水場系基幹管路更新工事詳細設計業務委託（24-1）</t>
  </si>
  <si>
    <t>2024/04/19 10:15</t>
  </si>
  <si>
    <t>管路更新計画策定支援業務委託</t>
  </si>
  <si>
    <t>2024/04/19 09:51</t>
  </si>
  <si>
    <t>築比地浄水場系基幹管路更新工事詳細設計業務委託（24-2）</t>
  </si>
  <si>
    <t>2024/04/19 09:42</t>
  </si>
  <si>
    <t>秩父広域市町村圏組合</t>
  </si>
  <si>
    <t>汚泥再生処理センター建設に係る生活環境影響調査及び基本設計業務等委託</t>
  </si>
  <si>
    <t>2025/03/12 11:42</t>
  </si>
  <si>
    <t>秩父広域市町村圏組合 事務局 契約検査課</t>
  </si>
  <si>
    <t>新三沢送水ポンプ場築造工事監理業務委託</t>
  </si>
  <si>
    <t>2025/03/12 11:32</t>
  </si>
  <si>
    <t>市道上吉田119号線配水管水管橋設計業務委託（大波見橋）</t>
  </si>
  <si>
    <t>2024/05/29 10:04</t>
  </si>
  <si>
    <t>埼玉西部消防組合</t>
  </si>
  <si>
    <t>消防救急デジタル無線設備全部更新基本設計業務委託</t>
  </si>
  <si>
    <t>2025/05/30 11:15</t>
  </si>
  <si>
    <t>埼玉西部消防組合 企画総務部 契約会計課</t>
  </si>
  <si>
    <t>株式会社イ・エス・エス 本店</t>
  </si>
  <si>
    <t>消防局第二庁舎外３施設アスベスト調査業務委託</t>
  </si>
  <si>
    <t>2025/04/23 13:30</t>
  </si>
  <si>
    <t>落札率</t>
    <rPh sb="0" eb="3">
      <t>ラクサツリツ</t>
    </rPh>
    <phoneticPr fontId="2"/>
  </si>
  <si>
    <t>調査価格率</t>
    <rPh sb="0" eb="4">
      <t>チョウサカカク</t>
    </rPh>
    <rPh sb="4" eb="5">
      <t>リツ</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</si>
</sst>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
      <sz val="11"/>
      <color theme="1"/>
      <name val="ＭＳ Ｐゴシック"/>
      <family val="2"/>
      <scheme val="minor"/>
    </font>
  </fonts>
  <fills count="3">
    <fill>
      <patternFill patternType="none"/>
    </fill>
    <fill>
      <patternFill patternType="gray125"/>
    </fill>
    <fill>
      <patternFill patternType="solid">
        <fgColor rgb="FF7E2F8E"/>
      </patternFill>
    </fill>
  </fills>
  <borders count="1">
    <border>
      <left/>
      <right/>
      <top/>
      <bottom/>
      <diagonal/>
    </border>
  </borders>
  <cellStyleXfs count="3">
    <xf numFmtId="0" fontId="0" fillId="0" borderId="0"/>
    <xf numFmtId="38" fontId="3" fillId="0" borderId="0" applyFont="0" applyFill="0" applyBorder="0" applyAlignment="0" applyProtection="0">
      <alignment vertical="center"/>
    </xf>
    <xf numFmtId="9" fontId="3" fillId="0" borderId="0" applyFont="0" applyFill="0" applyBorder="0" applyAlignment="0" applyProtection="0">
      <alignment vertical="center"/>
    </xf>
  </cellStyleXfs>
  <cellXfs count="7">
    <xf numFmtId="0" fontId="0" fillId="0" borderId="0" xfId="0"/>
    <xf numFmtId="0" fontId="1" fillId="2" borderId="0" xfId="0" applyFont="1" applyFill="1" applyAlignment="1">
      <alignment horizontal="center"/>
    </xf>
    <xf numFmtId="10" fontId="0" fillId="0" borderId="0" xfId="2" applyNumberFormat="1" applyFont="1" applyAlignment="1"/>
    <xf numFmtId="10" fontId="1" fillId="2" borderId="0" xfId="2" applyNumberFormat="1" applyFont="1" applyFill="1" applyAlignment="1">
      <alignment horizontal="center"/>
    </xf>
    <xf numFmtId="3" fontId="0" fillId="0" borderId="0" xfId="0" applyNumberFormat="1"/>
    <xf numFmtId="38" fontId="0" fillId="0" borderId="0" xfId="1" applyFont="1" applyAlignment="1"/>
    <xf numFmtId="38" fontId="1" fillId="2" borderId="0" xfId="1" applyFont="1" applyFill="1" applyAlignment="1">
      <alignment horizontal="center"/>
    </xf>
  </cellXfs>
  <cellStyles count="3">
    <cellStyle name="パーセント" xfId="2" builtinId="5"/>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673"/>
  <sheetViews>
    <sheetView workbookViewId="0">
      <pane ySplit="1" topLeftCell="A2" activePane="bottomLeft" state="frozen"/>
      <selection pane="bottomLeft"/>
    </sheetView>
  </sheetViews>
  <sheetFormatPr defaultRowHeight="13.5" x14ac:dyDescent="0.15"/>
  <cols>
    <col min="1" max="3" width="18" customWidth="1"/>
    <col min="4" max="4" width="52" customWidth="1"/>
    <col min="5" max="5" width="16" customWidth="1"/>
    <col min="6" max="6" width="20" customWidth="1"/>
    <col min="7" max="8" width="16" customWidth="1"/>
    <col min="9" max="9" width="22" customWidth="1"/>
    <col min="10" max="11" width="38" customWidth="1"/>
    <col min="12" max="12" width="14" customWidth="1"/>
    <col min="13" max="13" width="12" customWidth="1"/>
  </cols>
  <sheetData>
    <row r="1" spans="1:13" x14ac:dyDescent="0.15">
      <c r="A1" s="1" t="s">
        <v>0</v>
      </c>
      <c r="B1" s="1" t="s">
        <v>1</v>
      </c>
      <c r="C1" s="1" t="s">
        <v>2</v>
      </c>
      <c r="D1" s="1" t="s">
        <v>3</v>
      </c>
      <c r="E1" s="1" t="s">
        <v>4</v>
      </c>
      <c r="F1" s="1" t="s">
        <v>5</v>
      </c>
      <c r="G1" s="1" t="s">
        <v>6</v>
      </c>
      <c r="H1" s="1" t="s">
        <v>7</v>
      </c>
      <c r="I1" s="1" t="s">
        <v>8</v>
      </c>
      <c r="J1" s="1" t="s">
        <v>9</v>
      </c>
      <c r="K1" s="1" t="s">
        <v>10</v>
      </c>
      <c r="L1" s="1" t="s">
        <v>11</v>
      </c>
      <c r="M1" s="1" t="s">
        <v>12</v>
      </c>
    </row>
    <row r="2" spans="1:13" x14ac:dyDescent="0.15">
      <c r="A2" t="s">
        <v>13</v>
      </c>
      <c r="B2" t="s">
        <v>14</v>
      </c>
      <c r="C2" t="s">
        <v>15</v>
      </c>
      <c r="D2" t="s">
        <v>16</v>
      </c>
      <c r="E2" t="s">
        <v>17</v>
      </c>
      <c r="F2" t="s">
        <v>18</v>
      </c>
      <c r="G2" t="s">
        <v>19</v>
      </c>
      <c r="H2" t="s">
        <v>19</v>
      </c>
      <c r="J2" t="s">
        <v>20</v>
      </c>
      <c r="M2" t="s">
        <v>21</v>
      </c>
    </row>
    <row r="3" spans="1:13" x14ac:dyDescent="0.15">
      <c r="A3" t="s">
        <v>22</v>
      </c>
      <c r="B3" t="s">
        <v>14</v>
      </c>
      <c r="C3" t="s">
        <v>23</v>
      </c>
      <c r="D3" t="s">
        <v>24</v>
      </c>
      <c r="E3" t="s">
        <v>25</v>
      </c>
      <c r="F3" t="s">
        <v>26</v>
      </c>
      <c r="G3" t="s">
        <v>27</v>
      </c>
      <c r="H3" t="s">
        <v>27</v>
      </c>
      <c r="I3" t="s">
        <v>28</v>
      </c>
      <c r="J3" t="s">
        <v>29</v>
      </c>
      <c r="K3" t="s">
        <v>30</v>
      </c>
      <c r="L3" t="s">
        <v>28</v>
      </c>
      <c r="M3" t="s">
        <v>31</v>
      </c>
    </row>
    <row r="4" spans="1:13" x14ac:dyDescent="0.15">
      <c r="A4" t="s">
        <v>32</v>
      </c>
      <c r="B4" t="s">
        <v>14</v>
      </c>
      <c r="C4" t="s">
        <v>23</v>
      </c>
      <c r="D4" t="s">
        <v>33</v>
      </c>
      <c r="E4" t="s">
        <v>34</v>
      </c>
      <c r="F4" t="s">
        <v>35</v>
      </c>
      <c r="G4" t="s">
        <v>36</v>
      </c>
      <c r="H4" t="s">
        <v>36</v>
      </c>
      <c r="I4" t="s">
        <v>37</v>
      </c>
      <c r="J4" t="s">
        <v>38</v>
      </c>
      <c r="K4" t="s">
        <v>39</v>
      </c>
      <c r="L4" t="s">
        <v>40</v>
      </c>
      <c r="M4" t="s">
        <v>41</v>
      </c>
    </row>
    <row r="5" spans="1:13" x14ac:dyDescent="0.15">
      <c r="A5" t="s">
        <v>42</v>
      </c>
      <c r="B5" t="s">
        <v>14</v>
      </c>
      <c r="C5" t="s">
        <v>23</v>
      </c>
      <c r="D5" t="s">
        <v>43</v>
      </c>
      <c r="E5" t="s">
        <v>44</v>
      </c>
      <c r="F5" t="s">
        <v>45</v>
      </c>
      <c r="G5" t="s">
        <v>46</v>
      </c>
      <c r="H5" t="s">
        <v>46</v>
      </c>
      <c r="I5" t="s">
        <v>47</v>
      </c>
      <c r="J5" t="s">
        <v>38</v>
      </c>
      <c r="K5" t="s">
        <v>48</v>
      </c>
      <c r="L5" t="s">
        <v>49</v>
      </c>
      <c r="M5" t="s">
        <v>41</v>
      </c>
    </row>
    <row r="6" spans="1:13" x14ac:dyDescent="0.15">
      <c r="A6" t="s">
        <v>50</v>
      </c>
      <c r="B6" t="s">
        <v>14</v>
      </c>
      <c r="C6" t="s">
        <v>23</v>
      </c>
      <c r="D6" t="s">
        <v>51</v>
      </c>
      <c r="E6" t="s">
        <v>52</v>
      </c>
      <c r="F6" t="s">
        <v>53</v>
      </c>
      <c r="G6" t="s">
        <v>54</v>
      </c>
      <c r="H6" t="s">
        <v>54</v>
      </c>
      <c r="I6" t="s">
        <v>55</v>
      </c>
      <c r="J6" t="s">
        <v>38</v>
      </c>
      <c r="K6" t="s">
        <v>56</v>
      </c>
      <c r="L6" t="s">
        <v>57</v>
      </c>
      <c r="M6" t="s">
        <v>41</v>
      </c>
    </row>
    <row r="7" spans="1:13" x14ac:dyDescent="0.15">
      <c r="A7" t="s">
        <v>58</v>
      </c>
      <c r="B7" t="s">
        <v>14</v>
      </c>
      <c r="C7" t="s">
        <v>23</v>
      </c>
      <c r="D7" t="s">
        <v>59</v>
      </c>
      <c r="E7" t="s">
        <v>60</v>
      </c>
      <c r="F7" t="s">
        <v>61</v>
      </c>
      <c r="G7" t="s">
        <v>62</v>
      </c>
      <c r="H7" t="s">
        <v>62</v>
      </c>
      <c r="I7" t="s">
        <v>63</v>
      </c>
      <c r="J7" t="s">
        <v>38</v>
      </c>
      <c r="K7" t="s">
        <v>64</v>
      </c>
      <c r="L7" t="s">
        <v>65</v>
      </c>
      <c r="M7" t="s">
        <v>41</v>
      </c>
    </row>
    <row r="8" spans="1:13" x14ac:dyDescent="0.15">
      <c r="A8" t="s">
        <v>66</v>
      </c>
      <c r="B8" t="s">
        <v>14</v>
      </c>
      <c r="C8" t="s">
        <v>23</v>
      </c>
      <c r="D8" t="s">
        <v>67</v>
      </c>
      <c r="E8" t="s">
        <v>68</v>
      </c>
      <c r="F8" t="s">
        <v>69</v>
      </c>
      <c r="G8" t="s">
        <v>70</v>
      </c>
      <c r="H8" t="s">
        <v>70</v>
      </c>
      <c r="I8" t="s">
        <v>71</v>
      </c>
      <c r="J8" t="s">
        <v>38</v>
      </c>
      <c r="K8" t="s">
        <v>72</v>
      </c>
      <c r="L8" t="s">
        <v>73</v>
      </c>
      <c r="M8" t="s">
        <v>41</v>
      </c>
    </row>
    <row r="9" spans="1:13" x14ac:dyDescent="0.15">
      <c r="A9" t="s">
        <v>74</v>
      </c>
      <c r="B9" t="s">
        <v>14</v>
      </c>
      <c r="C9" t="s">
        <v>23</v>
      </c>
      <c r="D9" t="s">
        <v>75</v>
      </c>
      <c r="E9" t="s">
        <v>76</v>
      </c>
      <c r="F9" t="s">
        <v>77</v>
      </c>
      <c r="G9" t="s">
        <v>78</v>
      </c>
      <c r="H9" t="s">
        <v>78</v>
      </c>
      <c r="J9" t="s">
        <v>38</v>
      </c>
      <c r="K9" t="s">
        <v>72</v>
      </c>
      <c r="L9" t="s">
        <v>79</v>
      </c>
      <c r="M9" t="s">
        <v>80</v>
      </c>
    </row>
    <row r="10" spans="1:13" x14ac:dyDescent="0.15">
      <c r="A10" t="s">
        <v>81</v>
      </c>
      <c r="B10" t="s">
        <v>14</v>
      </c>
      <c r="C10" t="s">
        <v>23</v>
      </c>
      <c r="D10" t="s">
        <v>82</v>
      </c>
      <c r="E10" t="s">
        <v>83</v>
      </c>
      <c r="F10" t="s">
        <v>84</v>
      </c>
      <c r="G10" t="s">
        <v>85</v>
      </c>
      <c r="H10" t="s">
        <v>85</v>
      </c>
      <c r="I10" t="s">
        <v>86</v>
      </c>
      <c r="J10" t="s">
        <v>38</v>
      </c>
      <c r="K10" t="s">
        <v>87</v>
      </c>
      <c r="L10" t="s">
        <v>88</v>
      </c>
      <c r="M10" t="s">
        <v>80</v>
      </c>
    </row>
    <row r="11" spans="1:13" x14ac:dyDescent="0.15">
      <c r="A11" t="s">
        <v>89</v>
      </c>
      <c r="B11" t="s">
        <v>14</v>
      </c>
      <c r="C11" t="s">
        <v>23</v>
      </c>
      <c r="D11" t="s">
        <v>90</v>
      </c>
      <c r="E11" t="s">
        <v>91</v>
      </c>
      <c r="F11" t="s">
        <v>92</v>
      </c>
      <c r="G11" t="s">
        <v>93</v>
      </c>
      <c r="H11" t="s">
        <v>93</v>
      </c>
      <c r="I11" t="s">
        <v>94</v>
      </c>
      <c r="J11" t="s">
        <v>95</v>
      </c>
      <c r="K11" t="s">
        <v>72</v>
      </c>
      <c r="L11" t="s">
        <v>96</v>
      </c>
      <c r="M11" t="s">
        <v>41</v>
      </c>
    </row>
    <row r="12" spans="1:13" x14ac:dyDescent="0.15">
      <c r="A12" t="s">
        <v>97</v>
      </c>
      <c r="B12" t="s">
        <v>14</v>
      </c>
      <c r="C12" t="s">
        <v>23</v>
      </c>
      <c r="D12" t="s">
        <v>98</v>
      </c>
      <c r="E12" t="s">
        <v>99</v>
      </c>
      <c r="F12" t="s">
        <v>100</v>
      </c>
      <c r="G12" t="s">
        <v>101</v>
      </c>
      <c r="H12" t="s">
        <v>101</v>
      </c>
      <c r="I12" t="s">
        <v>102</v>
      </c>
      <c r="J12" t="s">
        <v>38</v>
      </c>
      <c r="K12" t="s">
        <v>48</v>
      </c>
      <c r="L12" t="s">
        <v>103</v>
      </c>
      <c r="M12" t="s">
        <v>104</v>
      </c>
    </row>
    <row r="13" spans="1:13" x14ac:dyDescent="0.15">
      <c r="A13" t="s">
        <v>105</v>
      </c>
      <c r="B13" t="s">
        <v>14</v>
      </c>
      <c r="C13" t="s">
        <v>15</v>
      </c>
      <c r="D13" t="s">
        <v>106</v>
      </c>
      <c r="E13" t="s">
        <v>107</v>
      </c>
      <c r="F13" t="s">
        <v>108</v>
      </c>
      <c r="G13" t="s">
        <v>109</v>
      </c>
      <c r="H13" t="s">
        <v>109</v>
      </c>
      <c r="J13" t="s">
        <v>110</v>
      </c>
      <c r="M13" t="s">
        <v>21</v>
      </c>
    </row>
    <row r="14" spans="1:13" x14ac:dyDescent="0.15">
      <c r="A14" t="s">
        <v>111</v>
      </c>
      <c r="B14" t="s">
        <v>14</v>
      </c>
      <c r="C14" t="s">
        <v>23</v>
      </c>
      <c r="D14" t="s">
        <v>112</v>
      </c>
      <c r="E14" t="s">
        <v>113</v>
      </c>
      <c r="F14" t="s">
        <v>114</v>
      </c>
      <c r="G14" t="s">
        <v>115</v>
      </c>
      <c r="H14" t="s">
        <v>115</v>
      </c>
      <c r="I14" t="s">
        <v>116</v>
      </c>
      <c r="J14" t="s">
        <v>20</v>
      </c>
      <c r="K14" t="s">
        <v>64</v>
      </c>
      <c r="L14" t="s">
        <v>116</v>
      </c>
      <c r="M14" t="s">
        <v>104</v>
      </c>
    </row>
    <row r="15" spans="1:13" x14ac:dyDescent="0.15">
      <c r="A15" t="s">
        <v>117</v>
      </c>
      <c r="B15" t="s">
        <v>14</v>
      </c>
      <c r="C15" t="s">
        <v>118</v>
      </c>
      <c r="D15" t="s">
        <v>119</v>
      </c>
      <c r="E15" t="s">
        <v>120</v>
      </c>
      <c r="F15" t="s">
        <v>121</v>
      </c>
      <c r="G15" t="s">
        <v>122</v>
      </c>
      <c r="H15" t="s">
        <v>122</v>
      </c>
      <c r="I15" t="s">
        <v>123</v>
      </c>
      <c r="J15" t="s">
        <v>124</v>
      </c>
      <c r="K15" t="s">
        <v>125</v>
      </c>
      <c r="L15" t="s">
        <v>123</v>
      </c>
      <c r="M15" t="s">
        <v>126</v>
      </c>
    </row>
    <row r="16" spans="1:13" x14ac:dyDescent="0.15">
      <c r="A16" t="s">
        <v>127</v>
      </c>
      <c r="B16" t="s">
        <v>14</v>
      </c>
      <c r="C16" t="s">
        <v>15</v>
      </c>
      <c r="D16" t="s">
        <v>128</v>
      </c>
      <c r="E16" t="s">
        <v>129</v>
      </c>
      <c r="F16" t="s">
        <v>130</v>
      </c>
      <c r="G16" t="s">
        <v>131</v>
      </c>
      <c r="H16" t="s">
        <v>131</v>
      </c>
      <c r="J16" t="s">
        <v>132</v>
      </c>
      <c r="M16" t="s">
        <v>21</v>
      </c>
    </row>
    <row r="17" spans="1:13" x14ac:dyDescent="0.15">
      <c r="A17" t="s">
        <v>133</v>
      </c>
      <c r="B17" t="s">
        <v>14</v>
      </c>
      <c r="C17" t="s">
        <v>15</v>
      </c>
      <c r="D17" t="s">
        <v>134</v>
      </c>
      <c r="E17" t="s">
        <v>135</v>
      </c>
      <c r="F17" t="s">
        <v>136</v>
      </c>
      <c r="G17" t="s">
        <v>137</v>
      </c>
      <c r="H17" t="s">
        <v>137</v>
      </c>
      <c r="J17" t="s">
        <v>138</v>
      </c>
      <c r="M17" t="s">
        <v>139</v>
      </c>
    </row>
    <row r="18" spans="1:13" x14ac:dyDescent="0.15">
      <c r="A18" t="s">
        <v>140</v>
      </c>
      <c r="B18" t="s">
        <v>14</v>
      </c>
      <c r="C18" t="s">
        <v>118</v>
      </c>
      <c r="D18" t="s">
        <v>141</v>
      </c>
      <c r="E18" t="s">
        <v>142</v>
      </c>
      <c r="F18" t="s">
        <v>143</v>
      </c>
      <c r="G18" t="s">
        <v>144</v>
      </c>
      <c r="H18" t="s">
        <v>145</v>
      </c>
      <c r="I18" t="s">
        <v>146</v>
      </c>
      <c r="J18" t="s">
        <v>147</v>
      </c>
      <c r="K18" t="s">
        <v>148</v>
      </c>
      <c r="L18" t="s">
        <v>149</v>
      </c>
      <c r="M18" t="s">
        <v>21</v>
      </c>
    </row>
    <row r="19" spans="1:13" x14ac:dyDescent="0.15">
      <c r="A19" t="s">
        <v>150</v>
      </c>
      <c r="B19" t="s">
        <v>14</v>
      </c>
      <c r="C19" t="s">
        <v>118</v>
      </c>
      <c r="D19" t="s">
        <v>151</v>
      </c>
      <c r="E19" t="s">
        <v>152</v>
      </c>
      <c r="F19" t="s">
        <v>153</v>
      </c>
      <c r="H19" t="s">
        <v>154</v>
      </c>
      <c r="I19" t="s">
        <v>155</v>
      </c>
      <c r="J19" t="s">
        <v>156</v>
      </c>
      <c r="K19" t="s">
        <v>157</v>
      </c>
      <c r="L19" t="s">
        <v>155</v>
      </c>
      <c r="M19" t="s">
        <v>41</v>
      </c>
    </row>
    <row r="20" spans="1:13" x14ac:dyDescent="0.15">
      <c r="A20" t="s">
        <v>158</v>
      </c>
      <c r="B20" t="s">
        <v>14</v>
      </c>
      <c r="C20" t="s">
        <v>118</v>
      </c>
      <c r="D20" t="s">
        <v>159</v>
      </c>
      <c r="E20" t="s">
        <v>160</v>
      </c>
      <c r="F20" t="s">
        <v>161</v>
      </c>
      <c r="H20" t="s">
        <v>162</v>
      </c>
      <c r="I20" t="s">
        <v>163</v>
      </c>
      <c r="J20" t="s">
        <v>156</v>
      </c>
      <c r="K20" t="s">
        <v>164</v>
      </c>
      <c r="L20" t="s">
        <v>163</v>
      </c>
      <c r="M20" t="s">
        <v>165</v>
      </c>
    </row>
    <row r="21" spans="1:13" x14ac:dyDescent="0.15">
      <c r="A21" t="s">
        <v>166</v>
      </c>
      <c r="B21" t="s">
        <v>14</v>
      </c>
      <c r="C21" t="s">
        <v>118</v>
      </c>
      <c r="D21" t="s">
        <v>167</v>
      </c>
      <c r="E21" t="s">
        <v>168</v>
      </c>
      <c r="F21" t="s">
        <v>169</v>
      </c>
      <c r="G21" t="s">
        <v>170</v>
      </c>
      <c r="H21" t="s">
        <v>145</v>
      </c>
      <c r="I21" t="s">
        <v>171</v>
      </c>
      <c r="J21" t="s">
        <v>172</v>
      </c>
      <c r="K21" t="s">
        <v>173</v>
      </c>
      <c r="L21" t="s">
        <v>171</v>
      </c>
      <c r="M21" t="s">
        <v>174</v>
      </c>
    </row>
    <row r="22" spans="1:13" x14ac:dyDescent="0.15">
      <c r="A22" t="s">
        <v>175</v>
      </c>
      <c r="B22" t="s">
        <v>14</v>
      </c>
      <c r="C22" t="s">
        <v>118</v>
      </c>
      <c r="D22" t="s">
        <v>176</v>
      </c>
      <c r="E22" t="s">
        <v>177</v>
      </c>
      <c r="F22" t="s">
        <v>178</v>
      </c>
      <c r="G22" t="s">
        <v>179</v>
      </c>
      <c r="H22" t="s">
        <v>179</v>
      </c>
      <c r="I22" t="s">
        <v>180</v>
      </c>
      <c r="J22" t="s">
        <v>181</v>
      </c>
      <c r="K22" t="s">
        <v>182</v>
      </c>
      <c r="L22" t="s">
        <v>180</v>
      </c>
      <c r="M22" t="s">
        <v>183</v>
      </c>
    </row>
    <row r="23" spans="1:13" x14ac:dyDescent="0.15">
      <c r="A23" t="s">
        <v>184</v>
      </c>
      <c r="B23" t="s">
        <v>14</v>
      </c>
      <c r="C23" t="s">
        <v>118</v>
      </c>
      <c r="D23" t="s">
        <v>185</v>
      </c>
      <c r="E23" t="s">
        <v>186</v>
      </c>
      <c r="F23" t="s">
        <v>187</v>
      </c>
      <c r="G23" t="s">
        <v>188</v>
      </c>
      <c r="H23" t="s">
        <v>188</v>
      </c>
      <c r="I23" t="s">
        <v>189</v>
      </c>
      <c r="J23" t="s">
        <v>20</v>
      </c>
      <c r="K23" t="s">
        <v>190</v>
      </c>
      <c r="L23" t="s">
        <v>191</v>
      </c>
      <c r="M23" t="s">
        <v>192</v>
      </c>
    </row>
    <row r="24" spans="1:13" x14ac:dyDescent="0.15">
      <c r="A24" t="s">
        <v>193</v>
      </c>
      <c r="B24" t="s">
        <v>14</v>
      </c>
      <c r="C24" t="s">
        <v>194</v>
      </c>
      <c r="D24" t="s">
        <v>195</v>
      </c>
      <c r="E24" t="s">
        <v>196</v>
      </c>
      <c r="F24" t="s">
        <v>197</v>
      </c>
      <c r="H24" t="s">
        <v>198</v>
      </c>
      <c r="J24" t="s">
        <v>199</v>
      </c>
      <c r="M24" t="s">
        <v>139</v>
      </c>
    </row>
    <row r="25" spans="1:13" x14ac:dyDescent="0.15">
      <c r="A25" t="s">
        <v>200</v>
      </c>
      <c r="B25" t="s">
        <v>14</v>
      </c>
      <c r="C25" t="s">
        <v>23</v>
      </c>
      <c r="D25" t="s">
        <v>201</v>
      </c>
      <c r="E25" t="s">
        <v>202</v>
      </c>
      <c r="F25" t="s">
        <v>203</v>
      </c>
      <c r="G25" t="s">
        <v>204</v>
      </c>
      <c r="H25" t="s">
        <v>204</v>
      </c>
      <c r="I25" t="s">
        <v>205</v>
      </c>
      <c r="J25" t="s">
        <v>206</v>
      </c>
      <c r="K25" t="s">
        <v>207</v>
      </c>
      <c r="L25" t="s">
        <v>205</v>
      </c>
      <c r="M25" t="s">
        <v>41</v>
      </c>
    </row>
    <row r="26" spans="1:13" x14ac:dyDescent="0.15">
      <c r="A26" t="s">
        <v>208</v>
      </c>
      <c r="B26" t="s">
        <v>14</v>
      </c>
      <c r="C26" t="s">
        <v>23</v>
      </c>
      <c r="D26" t="s">
        <v>209</v>
      </c>
      <c r="E26" t="s">
        <v>210</v>
      </c>
      <c r="F26" t="s">
        <v>211</v>
      </c>
      <c r="G26" t="s">
        <v>212</v>
      </c>
      <c r="H26" t="s">
        <v>212</v>
      </c>
      <c r="I26" t="s">
        <v>213</v>
      </c>
      <c r="J26" t="s">
        <v>214</v>
      </c>
      <c r="K26" t="s">
        <v>215</v>
      </c>
      <c r="L26" t="s">
        <v>213</v>
      </c>
      <c r="M26" t="s">
        <v>216</v>
      </c>
    </row>
    <row r="27" spans="1:13" x14ac:dyDescent="0.15">
      <c r="A27" t="s">
        <v>217</v>
      </c>
      <c r="B27" t="s">
        <v>14</v>
      </c>
      <c r="C27" t="s">
        <v>23</v>
      </c>
      <c r="D27" t="s">
        <v>218</v>
      </c>
      <c r="E27" t="s">
        <v>219</v>
      </c>
      <c r="F27" t="s">
        <v>220</v>
      </c>
      <c r="G27" t="s">
        <v>221</v>
      </c>
      <c r="H27" t="s">
        <v>221</v>
      </c>
      <c r="I27" t="s">
        <v>222</v>
      </c>
      <c r="J27" t="s">
        <v>214</v>
      </c>
      <c r="K27" t="s">
        <v>223</v>
      </c>
      <c r="L27" t="s">
        <v>222</v>
      </c>
      <c r="M27" t="s">
        <v>216</v>
      </c>
    </row>
    <row r="28" spans="1:13" x14ac:dyDescent="0.15">
      <c r="A28" t="s">
        <v>224</v>
      </c>
      <c r="B28" t="s">
        <v>14</v>
      </c>
      <c r="C28" t="s">
        <v>118</v>
      </c>
      <c r="D28" t="s">
        <v>225</v>
      </c>
      <c r="E28" t="s">
        <v>226</v>
      </c>
      <c r="F28" t="s">
        <v>227</v>
      </c>
      <c r="G28" t="s">
        <v>228</v>
      </c>
      <c r="H28" t="s">
        <v>228</v>
      </c>
      <c r="I28" t="s">
        <v>229</v>
      </c>
      <c r="J28" t="s">
        <v>230</v>
      </c>
      <c r="K28" t="s">
        <v>231</v>
      </c>
      <c r="L28" t="s">
        <v>229</v>
      </c>
      <c r="M28" t="s">
        <v>232</v>
      </c>
    </row>
    <row r="29" spans="1:13" x14ac:dyDescent="0.15">
      <c r="A29" t="s">
        <v>233</v>
      </c>
      <c r="B29" t="s">
        <v>14</v>
      </c>
      <c r="C29" t="s">
        <v>23</v>
      </c>
      <c r="D29" t="s">
        <v>234</v>
      </c>
      <c r="E29" t="s">
        <v>235</v>
      </c>
      <c r="F29" t="s">
        <v>236</v>
      </c>
      <c r="G29" t="s">
        <v>237</v>
      </c>
      <c r="H29" t="s">
        <v>237</v>
      </c>
      <c r="I29" t="s">
        <v>238</v>
      </c>
      <c r="J29" t="s">
        <v>124</v>
      </c>
      <c r="K29" t="s">
        <v>239</v>
      </c>
      <c r="L29" t="s">
        <v>238</v>
      </c>
      <c r="M29" t="s">
        <v>80</v>
      </c>
    </row>
    <row r="30" spans="1:13" x14ac:dyDescent="0.15">
      <c r="A30" t="s">
        <v>240</v>
      </c>
      <c r="B30" t="s">
        <v>14</v>
      </c>
      <c r="C30" t="s">
        <v>118</v>
      </c>
      <c r="D30" t="s">
        <v>241</v>
      </c>
      <c r="E30" t="s">
        <v>242</v>
      </c>
      <c r="F30" t="s">
        <v>243</v>
      </c>
      <c r="H30" t="s">
        <v>244</v>
      </c>
      <c r="I30" t="s">
        <v>245</v>
      </c>
      <c r="J30" t="s">
        <v>246</v>
      </c>
      <c r="K30" t="s">
        <v>247</v>
      </c>
      <c r="L30" t="s">
        <v>245</v>
      </c>
      <c r="M30" t="s">
        <v>248</v>
      </c>
    </row>
    <row r="31" spans="1:13" x14ac:dyDescent="0.15">
      <c r="A31" t="s">
        <v>249</v>
      </c>
      <c r="B31" t="s">
        <v>14</v>
      </c>
      <c r="C31" t="s">
        <v>118</v>
      </c>
      <c r="D31" t="s">
        <v>250</v>
      </c>
      <c r="E31" t="s">
        <v>251</v>
      </c>
      <c r="F31" t="s">
        <v>252</v>
      </c>
      <c r="G31" t="s">
        <v>253</v>
      </c>
      <c r="H31" t="s">
        <v>253</v>
      </c>
      <c r="I31" t="s">
        <v>254</v>
      </c>
      <c r="J31" t="s">
        <v>255</v>
      </c>
      <c r="K31" t="s">
        <v>256</v>
      </c>
      <c r="L31" t="s">
        <v>254</v>
      </c>
      <c r="M31" t="s">
        <v>126</v>
      </c>
    </row>
    <row r="32" spans="1:13" x14ac:dyDescent="0.15">
      <c r="A32" t="s">
        <v>257</v>
      </c>
      <c r="B32" t="s">
        <v>14</v>
      </c>
      <c r="C32" t="s">
        <v>118</v>
      </c>
      <c r="D32" t="s">
        <v>258</v>
      </c>
      <c r="E32" t="s">
        <v>259</v>
      </c>
      <c r="F32" t="s">
        <v>260</v>
      </c>
      <c r="H32" t="s">
        <v>261</v>
      </c>
      <c r="I32" t="s">
        <v>262</v>
      </c>
      <c r="J32" t="s">
        <v>246</v>
      </c>
      <c r="K32" t="s">
        <v>263</v>
      </c>
      <c r="L32" t="s">
        <v>262</v>
      </c>
      <c r="M32" t="s">
        <v>31</v>
      </c>
    </row>
    <row r="33" spans="1:13" x14ac:dyDescent="0.15">
      <c r="A33" t="s">
        <v>264</v>
      </c>
      <c r="B33" t="s">
        <v>14</v>
      </c>
      <c r="C33" t="s">
        <v>118</v>
      </c>
      <c r="D33" t="s">
        <v>265</v>
      </c>
      <c r="E33" t="s">
        <v>266</v>
      </c>
      <c r="F33" t="s">
        <v>267</v>
      </c>
      <c r="G33" t="s">
        <v>268</v>
      </c>
      <c r="H33" t="s">
        <v>268</v>
      </c>
      <c r="I33" t="s">
        <v>269</v>
      </c>
      <c r="J33" t="s">
        <v>270</v>
      </c>
      <c r="K33" t="s">
        <v>271</v>
      </c>
      <c r="L33" t="s">
        <v>269</v>
      </c>
      <c r="M33" t="s">
        <v>272</v>
      </c>
    </row>
    <row r="34" spans="1:13" x14ac:dyDescent="0.15">
      <c r="A34" t="s">
        <v>273</v>
      </c>
      <c r="B34" t="s">
        <v>14</v>
      </c>
      <c r="C34" t="s">
        <v>118</v>
      </c>
      <c r="D34" t="s">
        <v>274</v>
      </c>
      <c r="E34" t="s">
        <v>275</v>
      </c>
      <c r="F34" t="s">
        <v>276</v>
      </c>
      <c r="G34" t="s">
        <v>277</v>
      </c>
      <c r="H34" t="s">
        <v>277</v>
      </c>
      <c r="I34" t="s">
        <v>278</v>
      </c>
      <c r="J34" t="s">
        <v>270</v>
      </c>
      <c r="K34" t="s">
        <v>231</v>
      </c>
      <c r="L34" t="s">
        <v>278</v>
      </c>
      <c r="M34" t="s">
        <v>279</v>
      </c>
    </row>
    <row r="35" spans="1:13" x14ac:dyDescent="0.15">
      <c r="A35" t="s">
        <v>280</v>
      </c>
      <c r="B35" t="s">
        <v>14</v>
      </c>
      <c r="C35" t="s">
        <v>118</v>
      </c>
      <c r="D35" t="s">
        <v>281</v>
      </c>
      <c r="E35" t="s">
        <v>282</v>
      </c>
      <c r="F35" t="s">
        <v>283</v>
      </c>
      <c r="G35" t="s">
        <v>284</v>
      </c>
      <c r="H35" t="s">
        <v>284</v>
      </c>
      <c r="I35" t="s">
        <v>285</v>
      </c>
      <c r="J35" t="s">
        <v>270</v>
      </c>
      <c r="K35" t="s">
        <v>64</v>
      </c>
      <c r="L35" t="s">
        <v>285</v>
      </c>
      <c r="M35" t="s">
        <v>272</v>
      </c>
    </row>
    <row r="36" spans="1:13" x14ac:dyDescent="0.15">
      <c r="A36" t="s">
        <v>286</v>
      </c>
      <c r="B36" t="s">
        <v>14</v>
      </c>
      <c r="C36" t="s">
        <v>118</v>
      </c>
      <c r="D36" t="s">
        <v>287</v>
      </c>
      <c r="E36" t="s">
        <v>288</v>
      </c>
      <c r="F36" t="s">
        <v>289</v>
      </c>
      <c r="G36" t="s">
        <v>284</v>
      </c>
      <c r="H36" t="s">
        <v>284</v>
      </c>
      <c r="I36" t="s">
        <v>285</v>
      </c>
      <c r="J36" t="s">
        <v>270</v>
      </c>
      <c r="K36" t="s">
        <v>173</v>
      </c>
      <c r="L36" t="s">
        <v>285</v>
      </c>
      <c r="M36" t="s">
        <v>290</v>
      </c>
    </row>
    <row r="37" spans="1:13" x14ac:dyDescent="0.15">
      <c r="A37" t="s">
        <v>291</v>
      </c>
      <c r="B37" t="s">
        <v>14</v>
      </c>
      <c r="C37" t="s">
        <v>23</v>
      </c>
      <c r="D37" t="s">
        <v>292</v>
      </c>
      <c r="E37" t="s">
        <v>293</v>
      </c>
      <c r="F37" t="s">
        <v>294</v>
      </c>
      <c r="G37" t="s">
        <v>295</v>
      </c>
      <c r="H37" t="s">
        <v>295</v>
      </c>
      <c r="I37" t="s">
        <v>296</v>
      </c>
      <c r="J37" t="s">
        <v>297</v>
      </c>
      <c r="K37" t="s">
        <v>298</v>
      </c>
      <c r="L37" t="s">
        <v>296</v>
      </c>
      <c r="M37" t="s">
        <v>104</v>
      </c>
    </row>
    <row r="38" spans="1:13" x14ac:dyDescent="0.15">
      <c r="A38" t="s">
        <v>299</v>
      </c>
      <c r="B38" t="s">
        <v>14</v>
      </c>
      <c r="C38" t="s">
        <v>118</v>
      </c>
      <c r="D38" t="s">
        <v>300</v>
      </c>
      <c r="E38" t="s">
        <v>301</v>
      </c>
      <c r="F38" t="s">
        <v>302</v>
      </c>
      <c r="G38" t="s">
        <v>303</v>
      </c>
      <c r="H38" t="s">
        <v>303</v>
      </c>
      <c r="I38" t="s">
        <v>304</v>
      </c>
      <c r="J38" t="s">
        <v>20</v>
      </c>
      <c r="K38" t="s">
        <v>305</v>
      </c>
      <c r="L38" t="s">
        <v>304</v>
      </c>
      <c r="M38" t="s">
        <v>192</v>
      </c>
    </row>
    <row r="39" spans="1:13" x14ac:dyDescent="0.15">
      <c r="A39" t="s">
        <v>306</v>
      </c>
      <c r="B39" t="s">
        <v>14</v>
      </c>
      <c r="C39" t="s">
        <v>23</v>
      </c>
      <c r="D39" t="s">
        <v>307</v>
      </c>
      <c r="E39" t="s">
        <v>308</v>
      </c>
      <c r="F39" t="s">
        <v>309</v>
      </c>
      <c r="G39" t="s">
        <v>310</v>
      </c>
      <c r="H39" t="s">
        <v>310</v>
      </c>
      <c r="I39" t="s">
        <v>311</v>
      </c>
      <c r="J39" t="s">
        <v>214</v>
      </c>
      <c r="K39" t="s">
        <v>312</v>
      </c>
      <c r="L39" t="s">
        <v>311</v>
      </c>
      <c r="M39" t="s">
        <v>313</v>
      </c>
    </row>
    <row r="40" spans="1:13" x14ac:dyDescent="0.15">
      <c r="A40" t="s">
        <v>314</v>
      </c>
      <c r="B40" t="s">
        <v>14</v>
      </c>
      <c r="C40" t="s">
        <v>23</v>
      </c>
      <c r="D40" t="s">
        <v>315</v>
      </c>
      <c r="E40" t="s">
        <v>316</v>
      </c>
      <c r="F40" t="s">
        <v>317</v>
      </c>
      <c r="G40" t="s">
        <v>318</v>
      </c>
      <c r="H40" t="s">
        <v>318</v>
      </c>
      <c r="I40" t="s">
        <v>319</v>
      </c>
      <c r="J40" t="s">
        <v>214</v>
      </c>
      <c r="K40" t="s">
        <v>64</v>
      </c>
      <c r="L40" t="s">
        <v>319</v>
      </c>
      <c r="M40" t="s">
        <v>313</v>
      </c>
    </row>
    <row r="41" spans="1:13" x14ac:dyDescent="0.15">
      <c r="A41" t="s">
        <v>320</v>
      </c>
      <c r="B41" t="s">
        <v>14</v>
      </c>
      <c r="C41" t="s">
        <v>23</v>
      </c>
      <c r="D41" t="s">
        <v>321</v>
      </c>
      <c r="E41" t="s">
        <v>322</v>
      </c>
      <c r="F41" t="s">
        <v>323</v>
      </c>
      <c r="G41" t="s">
        <v>324</v>
      </c>
      <c r="H41" t="s">
        <v>324</v>
      </c>
      <c r="I41" t="s">
        <v>325</v>
      </c>
      <c r="J41" t="s">
        <v>214</v>
      </c>
      <c r="K41" t="s">
        <v>215</v>
      </c>
      <c r="L41" t="s">
        <v>325</v>
      </c>
      <c r="M41" t="s">
        <v>313</v>
      </c>
    </row>
    <row r="42" spans="1:13" x14ac:dyDescent="0.15">
      <c r="A42" t="s">
        <v>326</v>
      </c>
      <c r="B42" t="s">
        <v>14</v>
      </c>
      <c r="C42" t="s">
        <v>23</v>
      </c>
      <c r="D42" t="s">
        <v>327</v>
      </c>
      <c r="E42" t="s">
        <v>328</v>
      </c>
      <c r="F42" t="s">
        <v>329</v>
      </c>
      <c r="G42" t="s">
        <v>330</v>
      </c>
      <c r="H42" t="s">
        <v>330</v>
      </c>
      <c r="I42" t="s">
        <v>331</v>
      </c>
      <c r="J42" t="s">
        <v>214</v>
      </c>
      <c r="K42" t="s">
        <v>332</v>
      </c>
      <c r="L42" t="s">
        <v>331</v>
      </c>
      <c r="M42" t="s">
        <v>313</v>
      </c>
    </row>
    <row r="43" spans="1:13" x14ac:dyDescent="0.15">
      <c r="A43" t="s">
        <v>333</v>
      </c>
      <c r="B43" t="s">
        <v>14</v>
      </c>
      <c r="C43" t="s">
        <v>118</v>
      </c>
      <c r="D43" t="s">
        <v>334</v>
      </c>
      <c r="E43" t="s">
        <v>335</v>
      </c>
      <c r="F43" t="s">
        <v>336</v>
      </c>
      <c r="G43" t="s">
        <v>337</v>
      </c>
      <c r="H43" t="s">
        <v>337</v>
      </c>
      <c r="I43" t="s">
        <v>338</v>
      </c>
      <c r="J43" t="s">
        <v>124</v>
      </c>
      <c r="K43" t="s">
        <v>339</v>
      </c>
      <c r="L43" t="s">
        <v>338</v>
      </c>
      <c r="M43" t="s">
        <v>183</v>
      </c>
    </row>
    <row r="44" spans="1:13" x14ac:dyDescent="0.15">
      <c r="A44" t="s">
        <v>340</v>
      </c>
      <c r="B44" t="s">
        <v>14</v>
      </c>
      <c r="C44" t="s">
        <v>23</v>
      </c>
      <c r="D44" t="s">
        <v>341</v>
      </c>
      <c r="E44" t="s">
        <v>342</v>
      </c>
      <c r="F44" t="s">
        <v>343</v>
      </c>
      <c r="H44" t="s">
        <v>145</v>
      </c>
      <c r="I44" t="s">
        <v>205</v>
      </c>
      <c r="J44" t="s">
        <v>344</v>
      </c>
      <c r="K44" t="s">
        <v>56</v>
      </c>
      <c r="L44" t="s">
        <v>345</v>
      </c>
      <c r="M44" t="s">
        <v>41</v>
      </c>
    </row>
    <row r="45" spans="1:13" x14ac:dyDescent="0.15">
      <c r="A45" t="s">
        <v>346</v>
      </c>
      <c r="B45" t="s">
        <v>14</v>
      </c>
      <c r="C45" t="s">
        <v>118</v>
      </c>
      <c r="D45" t="s">
        <v>347</v>
      </c>
      <c r="E45" t="s">
        <v>348</v>
      </c>
      <c r="F45" t="s">
        <v>349</v>
      </c>
      <c r="G45" t="s">
        <v>350</v>
      </c>
      <c r="H45" t="s">
        <v>350</v>
      </c>
      <c r="I45" t="s">
        <v>351</v>
      </c>
      <c r="J45" t="s">
        <v>352</v>
      </c>
      <c r="K45" t="s">
        <v>263</v>
      </c>
      <c r="L45" t="s">
        <v>351</v>
      </c>
      <c r="M45" t="s">
        <v>353</v>
      </c>
    </row>
    <row r="46" spans="1:13" x14ac:dyDescent="0.15">
      <c r="A46" t="s">
        <v>354</v>
      </c>
      <c r="B46" t="s">
        <v>14</v>
      </c>
      <c r="C46" t="s">
        <v>118</v>
      </c>
      <c r="D46" t="s">
        <v>355</v>
      </c>
      <c r="E46" t="s">
        <v>356</v>
      </c>
      <c r="F46" t="s">
        <v>357</v>
      </c>
      <c r="G46" t="s">
        <v>358</v>
      </c>
      <c r="H46" t="s">
        <v>358</v>
      </c>
      <c r="I46" t="s">
        <v>359</v>
      </c>
      <c r="J46" t="s">
        <v>29</v>
      </c>
      <c r="K46" t="s">
        <v>360</v>
      </c>
      <c r="L46" t="s">
        <v>359</v>
      </c>
      <c r="M46" t="s">
        <v>361</v>
      </c>
    </row>
    <row r="47" spans="1:13" x14ac:dyDescent="0.15">
      <c r="A47" t="s">
        <v>362</v>
      </c>
      <c r="B47" t="s">
        <v>14</v>
      </c>
      <c r="C47" t="s">
        <v>23</v>
      </c>
      <c r="D47" t="s">
        <v>363</v>
      </c>
      <c r="E47" t="s">
        <v>364</v>
      </c>
      <c r="F47" t="s">
        <v>365</v>
      </c>
      <c r="G47" t="s">
        <v>366</v>
      </c>
      <c r="H47" t="s">
        <v>366</v>
      </c>
      <c r="I47" t="s">
        <v>367</v>
      </c>
      <c r="J47" t="s">
        <v>138</v>
      </c>
      <c r="K47" t="s">
        <v>263</v>
      </c>
      <c r="L47" t="s">
        <v>367</v>
      </c>
      <c r="M47" t="s">
        <v>104</v>
      </c>
    </row>
    <row r="48" spans="1:13" x14ac:dyDescent="0.15">
      <c r="A48" t="s">
        <v>368</v>
      </c>
      <c r="B48" t="s">
        <v>14</v>
      </c>
      <c r="C48" t="s">
        <v>23</v>
      </c>
      <c r="D48" t="s">
        <v>369</v>
      </c>
      <c r="E48" t="s">
        <v>370</v>
      </c>
      <c r="F48" t="s">
        <v>371</v>
      </c>
      <c r="G48" t="s">
        <v>372</v>
      </c>
      <c r="H48" t="s">
        <v>372</v>
      </c>
      <c r="I48" t="s">
        <v>373</v>
      </c>
      <c r="J48" t="s">
        <v>138</v>
      </c>
      <c r="K48" t="s">
        <v>239</v>
      </c>
      <c r="L48" t="s">
        <v>373</v>
      </c>
      <c r="M48" t="s">
        <v>41</v>
      </c>
    </row>
    <row r="49" spans="1:13" x14ac:dyDescent="0.15">
      <c r="A49" t="s">
        <v>374</v>
      </c>
      <c r="B49" t="s">
        <v>14</v>
      </c>
      <c r="C49" t="s">
        <v>23</v>
      </c>
      <c r="D49" t="s">
        <v>375</v>
      </c>
      <c r="E49" t="s">
        <v>376</v>
      </c>
      <c r="F49" t="s">
        <v>377</v>
      </c>
      <c r="G49" t="s">
        <v>378</v>
      </c>
      <c r="H49" t="s">
        <v>378</v>
      </c>
      <c r="I49" t="s">
        <v>379</v>
      </c>
      <c r="J49" t="s">
        <v>297</v>
      </c>
      <c r="K49" t="s">
        <v>380</v>
      </c>
      <c r="L49" t="s">
        <v>379</v>
      </c>
      <c r="M49" t="s">
        <v>104</v>
      </c>
    </row>
    <row r="50" spans="1:13" x14ac:dyDescent="0.15">
      <c r="A50" t="s">
        <v>381</v>
      </c>
      <c r="B50" t="s">
        <v>14</v>
      </c>
      <c r="C50" t="s">
        <v>118</v>
      </c>
      <c r="D50" t="s">
        <v>382</v>
      </c>
      <c r="E50" t="s">
        <v>383</v>
      </c>
      <c r="F50" t="s">
        <v>384</v>
      </c>
      <c r="G50" t="s">
        <v>385</v>
      </c>
      <c r="H50" t="s">
        <v>385</v>
      </c>
      <c r="I50" t="s">
        <v>386</v>
      </c>
      <c r="J50" t="s">
        <v>297</v>
      </c>
      <c r="K50" t="s">
        <v>387</v>
      </c>
      <c r="L50" t="s">
        <v>386</v>
      </c>
      <c r="M50" t="s">
        <v>174</v>
      </c>
    </row>
    <row r="51" spans="1:13" x14ac:dyDescent="0.15">
      <c r="A51" t="s">
        <v>388</v>
      </c>
      <c r="B51" t="s">
        <v>14</v>
      </c>
      <c r="C51" t="s">
        <v>118</v>
      </c>
      <c r="D51" t="s">
        <v>389</v>
      </c>
      <c r="E51" t="s">
        <v>390</v>
      </c>
      <c r="F51" t="s">
        <v>391</v>
      </c>
      <c r="G51" t="s">
        <v>392</v>
      </c>
      <c r="H51" t="s">
        <v>392</v>
      </c>
      <c r="I51" t="s">
        <v>393</v>
      </c>
      <c r="J51" t="s">
        <v>394</v>
      </c>
      <c r="K51" t="s">
        <v>72</v>
      </c>
      <c r="L51" t="s">
        <v>393</v>
      </c>
      <c r="M51" t="s">
        <v>126</v>
      </c>
    </row>
    <row r="52" spans="1:13" x14ac:dyDescent="0.15">
      <c r="A52" t="s">
        <v>395</v>
      </c>
      <c r="B52" t="s">
        <v>14</v>
      </c>
      <c r="C52" t="s">
        <v>15</v>
      </c>
      <c r="D52" t="s">
        <v>396</v>
      </c>
      <c r="E52" t="s">
        <v>397</v>
      </c>
      <c r="F52" t="s">
        <v>398</v>
      </c>
      <c r="G52" t="s">
        <v>399</v>
      </c>
      <c r="H52" t="s">
        <v>399</v>
      </c>
      <c r="J52" t="s">
        <v>400</v>
      </c>
      <c r="M52" t="s">
        <v>139</v>
      </c>
    </row>
    <row r="53" spans="1:13" x14ac:dyDescent="0.15">
      <c r="A53" t="s">
        <v>401</v>
      </c>
      <c r="B53" t="s">
        <v>14</v>
      </c>
      <c r="C53" t="s">
        <v>23</v>
      </c>
      <c r="D53" t="s">
        <v>402</v>
      </c>
      <c r="E53" t="s">
        <v>403</v>
      </c>
      <c r="F53" t="s">
        <v>404</v>
      </c>
      <c r="G53" t="s">
        <v>405</v>
      </c>
      <c r="H53" t="s">
        <v>405</v>
      </c>
      <c r="I53" t="s">
        <v>406</v>
      </c>
      <c r="J53" t="s">
        <v>214</v>
      </c>
      <c r="K53" t="s">
        <v>407</v>
      </c>
      <c r="L53" t="s">
        <v>408</v>
      </c>
      <c r="M53" t="s">
        <v>41</v>
      </c>
    </row>
    <row r="54" spans="1:13" x14ac:dyDescent="0.15">
      <c r="A54" t="s">
        <v>409</v>
      </c>
      <c r="B54" t="s">
        <v>14</v>
      </c>
      <c r="C54" t="s">
        <v>118</v>
      </c>
      <c r="D54" t="s">
        <v>410</v>
      </c>
      <c r="E54" t="s">
        <v>411</v>
      </c>
      <c r="F54" t="s">
        <v>412</v>
      </c>
      <c r="G54" t="s">
        <v>413</v>
      </c>
      <c r="H54" t="s">
        <v>413</v>
      </c>
      <c r="I54" t="s">
        <v>414</v>
      </c>
      <c r="J54" t="s">
        <v>415</v>
      </c>
      <c r="K54" t="s">
        <v>416</v>
      </c>
      <c r="L54" t="s">
        <v>417</v>
      </c>
      <c r="M54" t="s">
        <v>313</v>
      </c>
    </row>
    <row r="55" spans="1:13" x14ac:dyDescent="0.15">
      <c r="A55" t="s">
        <v>418</v>
      </c>
      <c r="B55" t="s">
        <v>14</v>
      </c>
      <c r="C55" t="s">
        <v>118</v>
      </c>
      <c r="D55" t="s">
        <v>419</v>
      </c>
      <c r="E55" t="s">
        <v>420</v>
      </c>
      <c r="F55" t="s">
        <v>421</v>
      </c>
      <c r="G55" t="s">
        <v>422</v>
      </c>
      <c r="H55" t="s">
        <v>422</v>
      </c>
      <c r="I55" t="s">
        <v>423</v>
      </c>
      <c r="J55" t="s">
        <v>415</v>
      </c>
      <c r="K55" t="s">
        <v>424</v>
      </c>
      <c r="L55" t="s">
        <v>423</v>
      </c>
      <c r="M55" t="s">
        <v>174</v>
      </c>
    </row>
    <row r="56" spans="1:13" x14ac:dyDescent="0.15">
      <c r="A56" t="s">
        <v>425</v>
      </c>
      <c r="B56" t="s">
        <v>14</v>
      </c>
      <c r="C56" t="s">
        <v>118</v>
      </c>
      <c r="D56" t="s">
        <v>426</v>
      </c>
      <c r="E56" t="s">
        <v>427</v>
      </c>
      <c r="F56" t="s">
        <v>428</v>
      </c>
      <c r="G56" t="s">
        <v>429</v>
      </c>
      <c r="H56" t="s">
        <v>429</v>
      </c>
      <c r="I56" t="s">
        <v>430</v>
      </c>
      <c r="J56" t="s">
        <v>415</v>
      </c>
      <c r="K56" t="s">
        <v>431</v>
      </c>
      <c r="L56" t="s">
        <v>430</v>
      </c>
      <c r="M56" t="s">
        <v>432</v>
      </c>
    </row>
    <row r="57" spans="1:13" x14ac:dyDescent="0.15">
      <c r="A57" t="s">
        <v>433</v>
      </c>
      <c r="B57" t="s">
        <v>14</v>
      </c>
      <c r="C57" t="s">
        <v>118</v>
      </c>
      <c r="D57" t="s">
        <v>434</v>
      </c>
      <c r="E57" t="s">
        <v>435</v>
      </c>
      <c r="F57" t="s">
        <v>436</v>
      </c>
      <c r="G57" t="s">
        <v>437</v>
      </c>
      <c r="H57" t="s">
        <v>437</v>
      </c>
      <c r="I57" t="s">
        <v>438</v>
      </c>
      <c r="J57" t="s">
        <v>415</v>
      </c>
      <c r="K57" t="s">
        <v>439</v>
      </c>
      <c r="L57" t="s">
        <v>438</v>
      </c>
      <c r="M57" t="s">
        <v>165</v>
      </c>
    </row>
    <row r="58" spans="1:13" x14ac:dyDescent="0.15">
      <c r="A58" t="s">
        <v>440</v>
      </c>
      <c r="B58" t="s">
        <v>14</v>
      </c>
      <c r="C58" t="s">
        <v>118</v>
      </c>
      <c r="D58" t="s">
        <v>441</v>
      </c>
      <c r="E58" t="s">
        <v>442</v>
      </c>
      <c r="F58" t="s">
        <v>443</v>
      </c>
      <c r="G58" t="s">
        <v>444</v>
      </c>
      <c r="H58" t="s">
        <v>444</v>
      </c>
      <c r="I58" t="s">
        <v>445</v>
      </c>
      <c r="J58" t="s">
        <v>415</v>
      </c>
      <c r="K58" t="s">
        <v>215</v>
      </c>
      <c r="L58" t="s">
        <v>445</v>
      </c>
      <c r="M58" t="s">
        <v>165</v>
      </c>
    </row>
    <row r="59" spans="1:13" x14ac:dyDescent="0.15">
      <c r="A59" t="s">
        <v>446</v>
      </c>
      <c r="B59" t="s">
        <v>14</v>
      </c>
      <c r="C59" t="s">
        <v>118</v>
      </c>
      <c r="D59" t="s">
        <v>447</v>
      </c>
      <c r="E59" t="s">
        <v>448</v>
      </c>
      <c r="F59" t="s">
        <v>449</v>
      </c>
      <c r="G59" t="s">
        <v>450</v>
      </c>
      <c r="H59" t="s">
        <v>450</v>
      </c>
      <c r="I59" t="s">
        <v>451</v>
      </c>
      <c r="J59" t="s">
        <v>415</v>
      </c>
      <c r="K59" t="s">
        <v>452</v>
      </c>
      <c r="L59" t="s">
        <v>451</v>
      </c>
      <c r="M59" t="s">
        <v>165</v>
      </c>
    </row>
    <row r="60" spans="1:13" x14ac:dyDescent="0.15">
      <c r="A60" t="s">
        <v>453</v>
      </c>
      <c r="B60" t="s">
        <v>14</v>
      </c>
      <c r="C60" t="s">
        <v>118</v>
      </c>
      <c r="D60" t="s">
        <v>454</v>
      </c>
      <c r="E60" t="s">
        <v>455</v>
      </c>
      <c r="F60" t="s">
        <v>456</v>
      </c>
      <c r="G60" t="s">
        <v>457</v>
      </c>
      <c r="H60" t="s">
        <v>457</v>
      </c>
      <c r="I60" t="s">
        <v>458</v>
      </c>
      <c r="J60" t="s">
        <v>459</v>
      </c>
      <c r="K60" t="s">
        <v>460</v>
      </c>
      <c r="L60" t="s">
        <v>458</v>
      </c>
      <c r="M60" t="s">
        <v>80</v>
      </c>
    </row>
    <row r="61" spans="1:13" x14ac:dyDescent="0.15">
      <c r="A61" t="s">
        <v>461</v>
      </c>
      <c r="B61" t="s">
        <v>14</v>
      </c>
      <c r="C61" t="s">
        <v>23</v>
      </c>
      <c r="D61" t="s">
        <v>462</v>
      </c>
      <c r="E61" t="s">
        <v>463</v>
      </c>
      <c r="F61" t="s">
        <v>464</v>
      </c>
      <c r="H61" t="s">
        <v>145</v>
      </c>
      <c r="I61" t="s">
        <v>465</v>
      </c>
      <c r="J61" t="s">
        <v>344</v>
      </c>
      <c r="K61" t="s">
        <v>56</v>
      </c>
      <c r="L61" t="s">
        <v>466</v>
      </c>
      <c r="M61" t="s">
        <v>104</v>
      </c>
    </row>
    <row r="62" spans="1:13" x14ac:dyDescent="0.15">
      <c r="A62" t="s">
        <v>467</v>
      </c>
      <c r="B62" t="s">
        <v>14</v>
      </c>
      <c r="C62" t="s">
        <v>23</v>
      </c>
      <c r="D62" t="s">
        <v>468</v>
      </c>
      <c r="E62" t="s">
        <v>469</v>
      </c>
      <c r="F62" t="s">
        <v>470</v>
      </c>
      <c r="G62" t="s">
        <v>471</v>
      </c>
      <c r="H62" t="s">
        <v>471</v>
      </c>
      <c r="I62" t="s">
        <v>472</v>
      </c>
      <c r="J62" t="s">
        <v>473</v>
      </c>
      <c r="K62" t="s">
        <v>474</v>
      </c>
      <c r="L62" t="s">
        <v>472</v>
      </c>
      <c r="M62" t="s">
        <v>41</v>
      </c>
    </row>
    <row r="63" spans="1:13" x14ac:dyDescent="0.15">
      <c r="A63" t="s">
        <v>475</v>
      </c>
      <c r="B63" t="s">
        <v>14</v>
      </c>
      <c r="C63" t="s">
        <v>23</v>
      </c>
      <c r="D63" t="s">
        <v>476</v>
      </c>
      <c r="E63" t="s">
        <v>477</v>
      </c>
      <c r="F63" t="s">
        <v>478</v>
      </c>
      <c r="G63" t="s">
        <v>479</v>
      </c>
      <c r="H63" t="s">
        <v>479</v>
      </c>
      <c r="I63" t="s">
        <v>480</v>
      </c>
      <c r="J63" t="s">
        <v>481</v>
      </c>
      <c r="K63" t="s">
        <v>271</v>
      </c>
      <c r="L63" t="s">
        <v>480</v>
      </c>
      <c r="M63" t="s">
        <v>482</v>
      </c>
    </row>
    <row r="64" spans="1:13" x14ac:dyDescent="0.15">
      <c r="A64" t="s">
        <v>483</v>
      </c>
      <c r="B64" t="s">
        <v>14</v>
      </c>
      <c r="C64" t="s">
        <v>118</v>
      </c>
      <c r="D64" t="s">
        <v>484</v>
      </c>
      <c r="E64" t="s">
        <v>485</v>
      </c>
      <c r="F64" t="s">
        <v>486</v>
      </c>
      <c r="G64" t="s">
        <v>487</v>
      </c>
      <c r="H64" t="s">
        <v>487</v>
      </c>
      <c r="I64" t="s">
        <v>488</v>
      </c>
      <c r="J64" t="s">
        <v>124</v>
      </c>
      <c r="K64" t="s">
        <v>223</v>
      </c>
      <c r="L64" t="s">
        <v>488</v>
      </c>
      <c r="M64" t="s">
        <v>353</v>
      </c>
    </row>
    <row r="65" spans="1:13" x14ac:dyDescent="0.15">
      <c r="A65" t="s">
        <v>489</v>
      </c>
      <c r="B65" t="s">
        <v>14</v>
      </c>
      <c r="C65" t="s">
        <v>118</v>
      </c>
      <c r="D65" t="s">
        <v>490</v>
      </c>
      <c r="E65" t="s">
        <v>491</v>
      </c>
      <c r="F65" t="s">
        <v>492</v>
      </c>
      <c r="G65" t="s">
        <v>493</v>
      </c>
      <c r="H65" t="s">
        <v>493</v>
      </c>
      <c r="I65" t="s">
        <v>494</v>
      </c>
      <c r="J65" t="s">
        <v>124</v>
      </c>
      <c r="K65" t="s">
        <v>452</v>
      </c>
      <c r="L65" t="s">
        <v>494</v>
      </c>
      <c r="M65" t="s">
        <v>248</v>
      </c>
    </row>
    <row r="66" spans="1:13" x14ac:dyDescent="0.15">
      <c r="A66" t="s">
        <v>495</v>
      </c>
      <c r="B66" t="s">
        <v>14</v>
      </c>
      <c r="C66" t="s">
        <v>194</v>
      </c>
      <c r="D66" t="s">
        <v>496</v>
      </c>
      <c r="E66" t="s">
        <v>497</v>
      </c>
      <c r="F66" t="s">
        <v>498</v>
      </c>
      <c r="H66" t="s">
        <v>499</v>
      </c>
      <c r="J66" t="s">
        <v>352</v>
      </c>
      <c r="M66" t="s">
        <v>139</v>
      </c>
    </row>
    <row r="67" spans="1:13" x14ac:dyDescent="0.15">
      <c r="A67" t="s">
        <v>500</v>
      </c>
      <c r="B67" t="s">
        <v>14</v>
      </c>
      <c r="C67" t="s">
        <v>118</v>
      </c>
      <c r="D67" t="s">
        <v>501</v>
      </c>
      <c r="E67" t="s">
        <v>502</v>
      </c>
      <c r="F67" t="s">
        <v>503</v>
      </c>
      <c r="G67" t="s">
        <v>504</v>
      </c>
      <c r="H67" t="s">
        <v>504</v>
      </c>
      <c r="I67" t="s">
        <v>505</v>
      </c>
      <c r="J67" t="s">
        <v>110</v>
      </c>
      <c r="K67" t="s">
        <v>506</v>
      </c>
      <c r="L67" t="s">
        <v>507</v>
      </c>
      <c r="M67" t="s">
        <v>432</v>
      </c>
    </row>
    <row r="68" spans="1:13" x14ac:dyDescent="0.15">
      <c r="A68" t="s">
        <v>508</v>
      </c>
      <c r="B68" t="s">
        <v>14</v>
      </c>
      <c r="C68" t="s">
        <v>118</v>
      </c>
      <c r="D68" t="s">
        <v>509</v>
      </c>
      <c r="E68" t="s">
        <v>510</v>
      </c>
      <c r="F68" t="s">
        <v>511</v>
      </c>
      <c r="G68" t="s">
        <v>512</v>
      </c>
      <c r="H68" t="s">
        <v>512</v>
      </c>
      <c r="I68" t="s">
        <v>513</v>
      </c>
      <c r="J68" t="s">
        <v>514</v>
      </c>
      <c r="K68" t="s">
        <v>215</v>
      </c>
      <c r="L68" t="s">
        <v>513</v>
      </c>
      <c r="M68" t="s">
        <v>104</v>
      </c>
    </row>
    <row r="69" spans="1:13" x14ac:dyDescent="0.15">
      <c r="A69" t="s">
        <v>515</v>
      </c>
      <c r="B69" t="s">
        <v>14</v>
      </c>
      <c r="C69" t="s">
        <v>23</v>
      </c>
      <c r="D69" t="s">
        <v>516</v>
      </c>
      <c r="E69" t="s">
        <v>517</v>
      </c>
      <c r="F69" t="s">
        <v>518</v>
      </c>
      <c r="G69" t="s">
        <v>519</v>
      </c>
      <c r="H69" t="s">
        <v>519</v>
      </c>
      <c r="I69" t="s">
        <v>520</v>
      </c>
      <c r="J69" t="s">
        <v>521</v>
      </c>
      <c r="K69" t="s">
        <v>239</v>
      </c>
      <c r="L69" t="s">
        <v>520</v>
      </c>
      <c r="M69" t="s">
        <v>104</v>
      </c>
    </row>
    <row r="70" spans="1:13" x14ac:dyDescent="0.15">
      <c r="A70" t="s">
        <v>522</v>
      </c>
      <c r="B70" t="s">
        <v>14</v>
      </c>
      <c r="C70" t="s">
        <v>194</v>
      </c>
      <c r="D70" t="s">
        <v>523</v>
      </c>
      <c r="E70" t="s">
        <v>524</v>
      </c>
      <c r="F70" t="s">
        <v>525</v>
      </c>
      <c r="G70" t="s">
        <v>526</v>
      </c>
      <c r="H70" t="s">
        <v>526</v>
      </c>
      <c r="J70" t="s">
        <v>514</v>
      </c>
      <c r="M70" t="s">
        <v>139</v>
      </c>
    </row>
    <row r="71" spans="1:13" x14ac:dyDescent="0.15">
      <c r="A71" t="s">
        <v>527</v>
      </c>
      <c r="B71" t="s">
        <v>14</v>
      </c>
      <c r="C71" t="s">
        <v>118</v>
      </c>
      <c r="D71" t="s">
        <v>528</v>
      </c>
      <c r="E71" t="s">
        <v>529</v>
      </c>
      <c r="F71" t="s">
        <v>530</v>
      </c>
      <c r="G71" t="s">
        <v>531</v>
      </c>
      <c r="H71" t="s">
        <v>531</v>
      </c>
      <c r="I71" t="s">
        <v>532</v>
      </c>
      <c r="J71" t="s">
        <v>533</v>
      </c>
      <c r="K71" t="s">
        <v>231</v>
      </c>
      <c r="L71" t="s">
        <v>532</v>
      </c>
      <c r="M71" t="s">
        <v>80</v>
      </c>
    </row>
    <row r="72" spans="1:13" x14ac:dyDescent="0.15">
      <c r="A72" t="s">
        <v>534</v>
      </c>
      <c r="B72" t="s">
        <v>14</v>
      </c>
      <c r="C72" t="s">
        <v>118</v>
      </c>
      <c r="D72" t="s">
        <v>535</v>
      </c>
      <c r="E72" t="s">
        <v>536</v>
      </c>
      <c r="F72" t="s">
        <v>537</v>
      </c>
      <c r="G72" t="s">
        <v>538</v>
      </c>
      <c r="H72" t="s">
        <v>538</v>
      </c>
      <c r="I72" t="s">
        <v>539</v>
      </c>
      <c r="J72" t="s">
        <v>255</v>
      </c>
      <c r="K72" t="s">
        <v>540</v>
      </c>
      <c r="L72" t="s">
        <v>539</v>
      </c>
      <c r="M72" t="s">
        <v>192</v>
      </c>
    </row>
    <row r="73" spans="1:13" x14ac:dyDescent="0.15">
      <c r="A73" t="s">
        <v>541</v>
      </c>
      <c r="B73" t="s">
        <v>14</v>
      </c>
      <c r="C73" t="s">
        <v>118</v>
      </c>
      <c r="D73" t="s">
        <v>542</v>
      </c>
      <c r="E73" t="s">
        <v>543</v>
      </c>
      <c r="F73" t="s">
        <v>544</v>
      </c>
      <c r="G73" t="s">
        <v>545</v>
      </c>
      <c r="H73" t="s">
        <v>545</v>
      </c>
      <c r="I73" t="s">
        <v>546</v>
      </c>
      <c r="J73" t="s">
        <v>547</v>
      </c>
      <c r="K73" t="s">
        <v>30</v>
      </c>
      <c r="L73" t="s">
        <v>546</v>
      </c>
      <c r="M73" t="s">
        <v>104</v>
      </c>
    </row>
    <row r="74" spans="1:13" x14ac:dyDescent="0.15">
      <c r="A74" t="s">
        <v>548</v>
      </c>
      <c r="B74" t="s">
        <v>14</v>
      </c>
      <c r="C74" t="s">
        <v>118</v>
      </c>
      <c r="D74" t="s">
        <v>549</v>
      </c>
      <c r="E74" t="s">
        <v>550</v>
      </c>
      <c r="F74" t="s">
        <v>551</v>
      </c>
      <c r="G74" t="s">
        <v>552</v>
      </c>
      <c r="H74" t="s">
        <v>552</v>
      </c>
      <c r="I74" t="s">
        <v>553</v>
      </c>
      <c r="J74" t="s">
        <v>20</v>
      </c>
      <c r="K74" t="s">
        <v>554</v>
      </c>
      <c r="L74" t="s">
        <v>553</v>
      </c>
      <c r="M74" t="s">
        <v>174</v>
      </c>
    </row>
    <row r="75" spans="1:13" x14ac:dyDescent="0.15">
      <c r="A75" t="s">
        <v>555</v>
      </c>
      <c r="B75" t="s">
        <v>14</v>
      </c>
      <c r="C75" t="s">
        <v>118</v>
      </c>
      <c r="D75" t="s">
        <v>556</v>
      </c>
      <c r="E75" t="s">
        <v>557</v>
      </c>
      <c r="F75" t="s">
        <v>558</v>
      </c>
      <c r="G75" t="s">
        <v>559</v>
      </c>
      <c r="H75" t="s">
        <v>559</v>
      </c>
      <c r="I75" t="s">
        <v>560</v>
      </c>
      <c r="J75" t="s">
        <v>110</v>
      </c>
      <c r="K75" t="s">
        <v>506</v>
      </c>
      <c r="L75" t="s">
        <v>560</v>
      </c>
      <c r="M75" t="s">
        <v>216</v>
      </c>
    </row>
    <row r="76" spans="1:13" x14ac:dyDescent="0.15">
      <c r="A76" t="s">
        <v>561</v>
      </c>
      <c r="B76" t="s">
        <v>14</v>
      </c>
      <c r="C76" t="s">
        <v>118</v>
      </c>
      <c r="D76" t="s">
        <v>562</v>
      </c>
      <c r="E76" t="s">
        <v>563</v>
      </c>
      <c r="F76" t="s">
        <v>564</v>
      </c>
      <c r="G76" t="s">
        <v>565</v>
      </c>
      <c r="H76" t="s">
        <v>565</v>
      </c>
      <c r="I76" t="s">
        <v>566</v>
      </c>
      <c r="J76" t="s">
        <v>20</v>
      </c>
      <c r="K76" t="s">
        <v>567</v>
      </c>
      <c r="L76" t="s">
        <v>566</v>
      </c>
      <c r="M76" t="s">
        <v>432</v>
      </c>
    </row>
    <row r="77" spans="1:13" x14ac:dyDescent="0.15">
      <c r="A77" t="s">
        <v>568</v>
      </c>
      <c r="B77" t="s">
        <v>14</v>
      </c>
      <c r="C77" t="s">
        <v>23</v>
      </c>
      <c r="D77" t="s">
        <v>569</v>
      </c>
      <c r="E77" t="s">
        <v>570</v>
      </c>
      <c r="F77" t="s">
        <v>571</v>
      </c>
      <c r="G77" t="s">
        <v>572</v>
      </c>
      <c r="H77" t="s">
        <v>572</v>
      </c>
      <c r="I77" t="s">
        <v>573</v>
      </c>
      <c r="J77" t="s">
        <v>415</v>
      </c>
      <c r="K77" t="s">
        <v>574</v>
      </c>
      <c r="L77" t="s">
        <v>573</v>
      </c>
      <c r="M77" t="s">
        <v>104</v>
      </c>
    </row>
    <row r="78" spans="1:13" x14ac:dyDescent="0.15">
      <c r="A78" t="s">
        <v>575</v>
      </c>
      <c r="B78" t="s">
        <v>14</v>
      </c>
      <c r="C78" t="s">
        <v>23</v>
      </c>
      <c r="D78" t="s">
        <v>576</v>
      </c>
      <c r="E78" t="s">
        <v>577</v>
      </c>
      <c r="F78" t="s">
        <v>578</v>
      </c>
      <c r="G78" t="s">
        <v>579</v>
      </c>
      <c r="H78" t="s">
        <v>579</v>
      </c>
      <c r="I78" t="s">
        <v>580</v>
      </c>
      <c r="J78" t="s">
        <v>415</v>
      </c>
      <c r="K78" t="s">
        <v>380</v>
      </c>
      <c r="L78" t="s">
        <v>580</v>
      </c>
      <c r="M78" t="s">
        <v>104</v>
      </c>
    </row>
    <row r="79" spans="1:13" x14ac:dyDescent="0.15">
      <c r="A79" t="s">
        <v>581</v>
      </c>
      <c r="B79" t="s">
        <v>14</v>
      </c>
      <c r="C79" t="s">
        <v>118</v>
      </c>
      <c r="D79" t="s">
        <v>582</v>
      </c>
      <c r="E79" t="s">
        <v>583</v>
      </c>
      <c r="F79" t="s">
        <v>584</v>
      </c>
      <c r="G79" t="s">
        <v>585</v>
      </c>
      <c r="H79" t="s">
        <v>585</v>
      </c>
      <c r="I79" t="s">
        <v>586</v>
      </c>
      <c r="J79" t="s">
        <v>415</v>
      </c>
      <c r="K79" t="s">
        <v>587</v>
      </c>
      <c r="L79" t="s">
        <v>586</v>
      </c>
      <c r="M79" t="s">
        <v>232</v>
      </c>
    </row>
    <row r="80" spans="1:13" x14ac:dyDescent="0.15">
      <c r="A80" t="s">
        <v>588</v>
      </c>
      <c r="B80" t="s">
        <v>14</v>
      </c>
      <c r="C80" t="s">
        <v>118</v>
      </c>
      <c r="D80" t="s">
        <v>589</v>
      </c>
      <c r="E80" t="s">
        <v>590</v>
      </c>
      <c r="F80" t="s">
        <v>591</v>
      </c>
      <c r="G80" t="s">
        <v>592</v>
      </c>
      <c r="H80" t="s">
        <v>592</v>
      </c>
      <c r="I80" t="s">
        <v>593</v>
      </c>
      <c r="J80" t="s">
        <v>124</v>
      </c>
      <c r="K80" t="s">
        <v>305</v>
      </c>
      <c r="L80" t="s">
        <v>593</v>
      </c>
      <c r="M80" t="s">
        <v>594</v>
      </c>
    </row>
    <row r="81" spans="1:13" x14ac:dyDescent="0.15">
      <c r="A81" t="s">
        <v>595</v>
      </c>
      <c r="B81" t="s">
        <v>14</v>
      </c>
      <c r="C81" t="s">
        <v>23</v>
      </c>
      <c r="D81" t="s">
        <v>596</v>
      </c>
      <c r="E81" t="s">
        <v>597</v>
      </c>
      <c r="F81" t="s">
        <v>598</v>
      </c>
      <c r="G81" t="s">
        <v>599</v>
      </c>
      <c r="H81" t="s">
        <v>599</v>
      </c>
      <c r="I81" t="s">
        <v>600</v>
      </c>
      <c r="J81" t="s">
        <v>230</v>
      </c>
      <c r="K81" t="s">
        <v>601</v>
      </c>
      <c r="L81" t="s">
        <v>600</v>
      </c>
      <c r="M81" t="s">
        <v>41</v>
      </c>
    </row>
    <row r="82" spans="1:13" x14ac:dyDescent="0.15">
      <c r="A82" t="s">
        <v>602</v>
      </c>
      <c r="B82" t="s">
        <v>14</v>
      </c>
      <c r="C82" t="s">
        <v>23</v>
      </c>
      <c r="D82" t="s">
        <v>603</v>
      </c>
      <c r="E82" t="s">
        <v>604</v>
      </c>
      <c r="F82" t="s">
        <v>605</v>
      </c>
      <c r="G82" t="s">
        <v>606</v>
      </c>
      <c r="H82" t="s">
        <v>606</v>
      </c>
      <c r="I82" t="s">
        <v>607</v>
      </c>
      <c r="J82" t="s">
        <v>138</v>
      </c>
      <c r="K82" t="s">
        <v>608</v>
      </c>
      <c r="L82" t="s">
        <v>607</v>
      </c>
      <c r="M82" t="s">
        <v>104</v>
      </c>
    </row>
    <row r="83" spans="1:13" x14ac:dyDescent="0.15">
      <c r="A83" t="s">
        <v>609</v>
      </c>
      <c r="B83" t="s">
        <v>14</v>
      </c>
      <c r="C83" t="s">
        <v>118</v>
      </c>
      <c r="D83" t="s">
        <v>610</v>
      </c>
      <c r="E83" t="s">
        <v>611</v>
      </c>
      <c r="F83" t="s">
        <v>612</v>
      </c>
      <c r="G83" t="s">
        <v>613</v>
      </c>
      <c r="H83" t="s">
        <v>613</v>
      </c>
      <c r="I83" t="s">
        <v>614</v>
      </c>
      <c r="J83" t="s">
        <v>533</v>
      </c>
      <c r="K83" t="s">
        <v>554</v>
      </c>
      <c r="L83" t="s">
        <v>614</v>
      </c>
      <c r="M83" t="s">
        <v>21</v>
      </c>
    </row>
    <row r="84" spans="1:13" x14ac:dyDescent="0.15">
      <c r="A84" t="s">
        <v>615</v>
      </c>
      <c r="B84" t="s">
        <v>14</v>
      </c>
      <c r="C84" t="s">
        <v>23</v>
      </c>
      <c r="D84" t="s">
        <v>616</v>
      </c>
      <c r="E84" t="s">
        <v>617</v>
      </c>
      <c r="F84" t="s">
        <v>618</v>
      </c>
      <c r="G84" t="s">
        <v>619</v>
      </c>
      <c r="H84" t="s">
        <v>619</v>
      </c>
      <c r="I84" t="s">
        <v>620</v>
      </c>
      <c r="J84" t="s">
        <v>521</v>
      </c>
      <c r="K84" t="s">
        <v>540</v>
      </c>
      <c r="L84" t="s">
        <v>620</v>
      </c>
      <c r="M84" t="s">
        <v>104</v>
      </c>
    </row>
    <row r="85" spans="1:13" x14ac:dyDescent="0.15">
      <c r="A85" t="s">
        <v>621</v>
      </c>
      <c r="B85" t="s">
        <v>14</v>
      </c>
      <c r="C85" t="s">
        <v>118</v>
      </c>
      <c r="D85" t="s">
        <v>622</v>
      </c>
      <c r="E85" t="s">
        <v>623</v>
      </c>
      <c r="F85" t="s">
        <v>618</v>
      </c>
      <c r="G85" t="s">
        <v>624</v>
      </c>
      <c r="H85" t="s">
        <v>624</v>
      </c>
      <c r="I85" t="s">
        <v>625</v>
      </c>
      <c r="J85" t="s">
        <v>626</v>
      </c>
      <c r="K85" t="s">
        <v>554</v>
      </c>
      <c r="L85" t="s">
        <v>625</v>
      </c>
      <c r="M85" t="s">
        <v>165</v>
      </c>
    </row>
    <row r="86" spans="1:13" x14ac:dyDescent="0.15">
      <c r="A86" t="s">
        <v>627</v>
      </c>
      <c r="B86" t="s">
        <v>14</v>
      </c>
      <c r="C86" t="s">
        <v>118</v>
      </c>
      <c r="D86" t="s">
        <v>628</v>
      </c>
      <c r="E86" t="s">
        <v>629</v>
      </c>
      <c r="F86" t="s">
        <v>630</v>
      </c>
      <c r="G86" t="s">
        <v>631</v>
      </c>
      <c r="H86" t="s">
        <v>631</v>
      </c>
      <c r="I86" t="s">
        <v>632</v>
      </c>
      <c r="J86" t="s">
        <v>138</v>
      </c>
      <c r="K86" t="s">
        <v>633</v>
      </c>
      <c r="L86" t="s">
        <v>632</v>
      </c>
      <c r="M86" t="s">
        <v>634</v>
      </c>
    </row>
    <row r="87" spans="1:13" x14ac:dyDescent="0.15">
      <c r="A87" t="s">
        <v>635</v>
      </c>
      <c r="B87" t="s">
        <v>14</v>
      </c>
      <c r="C87" t="s">
        <v>118</v>
      </c>
      <c r="D87" t="s">
        <v>636</v>
      </c>
      <c r="E87" t="s">
        <v>637</v>
      </c>
      <c r="F87" t="s">
        <v>638</v>
      </c>
      <c r="G87" t="s">
        <v>639</v>
      </c>
      <c r="H87" t="s">
        <v>639</v>
      </c>
      <c r="I87" t="s">
        <v>640</v>
      </c>
      <c r="J87" t="s">
        <v>20</v>
      </c>
      <c r="K87" t="s">
        <v>567</v>
      </c>
      <c r="L87" t="s">
        <v>640</v>
      </c>
      <c r="M87" t="s">
        <v>21</v>
      </c>
    </row>
    <row r="88" spans="1:13" x14ac:dyDescent="0.15">
      <c r="A88" t="s">
        <v>641</v>
      </c>
      <c r="B88" t="s">
        <v>14</v>
      </c>
      <c r="C88" t="s">
        <v>23</v>
      </c>
      <c r="D88" t="s">
        <v>642</v>
      </c>
      <c r="E88" t="s">
        <v>643</v>
      </c>
      <c r="F88" t="s">
        <v>644</v>
      </c>
      <c r="G88" t="s">
        <v>645</v>
      </c>
      <c r="H88" t="s">
        <v>645</v>
      </c>
      <c r="I88" t="s">
        <v>646</v>
      </c>
      <c r="J88" t="s">
        <v>110</v>
      </c>
      <c r="K88" t="s">
        <v>647</v>
      </c>
      <c r="L88" t="s">
        <v>648</v>
      </c>
      <c r="M88" t="s">
        <v>104</v>
      </c>
    </row>
    <row r="89" spans="1:13" x14ac:dyDescent="0.15">
      <c r="A89" t="s">
        <v>649</v>
      </c>
      <c r="B89" t="s">
        <v>14</v>
      </c>
      <c r="C89" t="s">
        <v>118</v>
      </c>
      <c r="D89" t="s">
        <v>650</v>
      </c>
      <c r="E89" t="s">
        <v>651</v>
      </c>
      <c r="F89" t="s">
        <v>652</v>
      </c>
      <c r="G89" t="s">
        <v>653</v>
      </c>
      <c r="H89" t="s">
        <v>653</v>
      </c>
      <c r="I89" t="s">
        <v>654</v>
      </c>
      <c r="J89" t="s">
        <v>255</v>
      </c>
      <c r="K89" t="s">
        <v>256</v>
      </c>
      <c r="L89" t="s">
        <v>654</v>
      </c>
      <c r="M89" t="s">
        <v>353</v>
      </c>
    </row>
    <row r="90" spans="1:13" x14ac:dyDescent="0.15">
      <c r="A90" t="s">
        <v>655</v>
      </c>
      <c r="B90" t="s">
        <v>14</v>
      </c>
      <c r="C90" t="s">
        <v>23</v>
      </c>
      <c r="D90" t="s">
        <v>656</v>
      </c>
      <c r="E90" t="s">
        <v>657</v>
      </c>
      <c r="F90" t="s">
        <v>658</v>
      </c>
      <c r="G90" t="s">
        <v>659</v>
      </c>
      <c r="H90" t="s">
        <v>659</v>
      </c>
      <c r="I90" t="s">
        <v>660</v>
      </c>
      <c r="J90" t="s">
        <v>29</v>
      </c>
      <c r="K90" t="s">
        <v>661</v>
      </c>
      <c r="L90" t="s">
        <v>662</v>
      </c>
      <c r="M90" t="s">
        <v>126</v>
      </c>
    </row>
    <row r="91" spans="1:13" x14ac:dyDescent="0.15">
      <c r="A91" t="s">
        <v>663</v>
      </c>
      <c r="B91" t="s">
        <v>14</v>
      </c>
      <c r="C91" t="s">
        <v>118</v>
      </c>
      <c r="D91" t="s">
        <v>664</v>
      </c>
      <c r="E91" t="s">
        <v>665</v>
      </c>
      <c r="F91" t="s">
        <v>666</v>
      </c>
      <c r="G91" t="s">
        <v>667</v>
      </c>
      <c r="H91" t="s">
        <v>667</v>
      </c>
      <c r="I91" t="s">
        <v>668</v>
      </c>
      <c r="J91" t="s">
        <v>270</v>
      </c>
      <c r="K91" t="s">
        <v>39</v>
      </c>
      <c r="L91" t="s">
        <v>668</v>
      </c>
      <c r="M91" t="s">
        <v>41</v>
      </c>
    </row>
    <row r="92" spans="1:13" x14ac:dyDescent="0.15">
      <c r="A92" t="s">
        <v>669</v>
      </c>
      <c r="B92" t="s">
        <v>14</v>
      </c>
      <c r="C92" t="s">
        <v>23</v>
      </c>
      <c r="D92" t="s">
        <v>670</v>
      </c>
      <c r="E92" t="s">
        <v>671</v>
      </c>
      <c r="F92" t="s">
        <v>672</v>
      </c>
      <c r="G92" t="s">
        <v>673</v>
      </c>
      <c r="H92" t="s">
        <v>673</v>
      </c>
      <c r="I92" t="s">
        <v>674</v>
      </c>
      <c r="J92" t="s">
        <v>214</v>
      </c>
      <c r="K92" t="s">
        <v>239</v>
      </c>
      <c r="L92" t="s">
        <v>674</v>
      </c>
      <c r="M92" t="s">
        <v>104</v>
      </c>
    </row>
    <row r="93" spans="1:13" x14ac:dyDescent="0.15">
      <c r="A93" t="s">
        <v>675</v>
      </c>
      <c r="B93" t="s">
        <v>14</v>
      </c>
      <c r="C93" t="s">
        <v>118</v>
      </c>
      <c r="D93" t="s">
        <v>676</v>
      </c>
      <c r="E93" t="s">
        <v>677</v>
      </c>
      <c r="F93" t="s">
        <v>678</v>
      </c>
      <c r="G93" t="s">
        <v>679</v>
      </c>
      <c r="H93" t="s">
        <v>679</v>
      </c>
      <c r="I93" t="s">
        <v>680</v>
      </c>
      <c r="J93" t="s">
        <v>297</v>
      </c>
      <c r="K93" t="s">
        <v>305</v>
      </c>
      <c r="L93" t="s">
        <v>680</v>
      </c>
      <c r="M93" t="s">
        <v>192</v>
      </c>
    </row>
    <row r="94" spans="1:13" x14ac:dyDescent="0.15">
      <c r="A94" t="s">
        <v>681</v>
      </c>
      <c r="B94" t="s">
        <v>14</v>
      </c>
      <c r="C94" t="s">
        <v>23</v>
      </c>
      <c r="D94" t="s">
        <v>682</v>
      </c>
      <c r="E94" t="s">
        <v>683</v>
      </c>
      <c r="F94" t="s">
        <v>684</v>
      </c>
      <c r="G94" t="s">
        <v>685</v>
      </c>
      <c r="H94" t="s">
        <v>685</v>
      </c>
      <c r="I94" t="s">
        <v>686</v>
      </c>
      <c r="J94" t="s">
        <v>473</v>
      </c>
      <c r="K94" t="s">
        <v>687</v>
      </c>
      <c r="L94" t="s">
        <v>686</v>
      </c>
      <c r="M94" t="s">
        <v>31</v>
      </c>
    </row>
    <row r="95" spans="1:13" x14ac:dyDescent="0.15">
      <c r="A95" t="s">
        <v>688</v>
      </c>
      <c r="B95" t="s">
        <v>14</v>
      </c>
      <c r="C95" t="s">
        <v>23</v>
      </c>
      <c r="D95" t="s">
        <v>689</v>
      </c>
      <c r="E95" t="s">
        <v>690</v>
      </c>
      <c r="F95" t="s">
        <v>691</v>
      </c>
      <c r="G95" t="s">
        <v>692</v>
      </c>
      <c r="H95" t="s">
        <v>692</v>
      </c>
      <c r="I95" t="s">
        <v>693</v>
      </c>
      <c r="J95" t="s">
        <v>473</v>
      </c>
      <c r="K95" t="s">
        <v>694</v>
      </c>
      <c r="L95" t="s">
        <v>693</v>
      </c>
      <c r="M95" t="s">
        <v>31</v>
      </c>
    </row>
    <row r="96" spans="1:13" x14ac:dyDescent="0.15">
      <c r="A96" t="s">
        <v>695</v>
      </c>
      <c r="B96" t="s">
        <v>14</v>
      </c>
      <c r="C96" t="s">
        <v>23</v>
      </c>
      <c r="D96" t="s">
        <v>696</v>
      </c>
      <c r="E96" t="s">
        <v>697</v>
      </c>
      <c r="F96" t="s">
        <v>698</v>
      </c>
      <c r="G96" t="s">
        <v>699</v>
      </c>
      <c r="H96" t="s">
        <v>699</v>
      </c>
      <c r="I96" t="s">
        <v>700</v>
      </c>
      <c r="J96" t="s">
        <v>473</v>
      </c>
      <c r="K96" t="s">
        <v>701</v>
      </c>
      <c r="L96" t="s">
        <v>702</v>
      </c>
      <c r="M96" t="s">
        <v>31</v>
      </c>
    </row>
    <row r="97" spans="1:13" x14ac:dyDescent="0.15">
      <c r="A97" t="s">
        <v>703</v>
      </c>
      <c r="B97" t="s">
        <v>14</v>
      </c>
      <c r="C97" t="s">
        <v>23</v>
      </c>
      <c r="D97" t="s">
        <v>704</v>
      </c>
      <c r="E97" t="s">
        <v>705</v>
      </c>
      <c r="F97" t="s">
        <v>706</v>
      </c>
      <c r="G97" t="s">
        <v>707</v>
      </c>
      <c r="H97" t="s">
        <v>707</v>
      </c>
      <c r="I97" t="s">
        <v>708</v>
      </c>
      <c r="J97" t="s">
        <v>415</v>
      </c>
      <c r="K97" t="s">
        <v>709</v>
      </c>
      <c r="L97" t="s">
        <v>710</v>
      </c>
      <c r="M97" t="s">
        <v>41</v>
      </c>
    </row>
    <row r="98" spans="1:13" x14ac:dyDescent="0.15">
      <c r="A98" t="s">
        <v>711</v>
      </c>
      <c r="B98" t="s">
        <v>14</v>
      </c>
      <c r="C98" t="s">
        <v>23</v>
      </c>
      <c r="D98" t="s">
        <v>712</v>
      </c>
      <c r="E98" t="s">
        <v>713</v>
      </c>
      <c r="F98" t="s">
        <v>714</v>
      </c>
      <c r="G98" t="s">
        <v>715</v>
      </c>
      <c r="H98" t="s">
        <v>715</v>
      </c>
      <c r="I98" t="s">
        <v>716</v>
      </c>
      <c r="J98" t="s">
        <v>415</v>
      </c>
      <c r="K98" t="s">
        <v>416</v>
      </c>
      <c r="L98" t="s">
        <v>65</v>
      </c>
      <c r="M98" t="s">
        <v>41</v>
      </c>
    </row>
    <row r="99" spans="1:13" x14ac:dyDescent="0.15">
      <c r="A99" t="s">
        <v>717</v>
      </c>
      <c r="B99" t="s">
        <v>14</v>
      </c>
      <c r="C99" t="s">
        <v>23</v>
      </c>
      <c r="D99" t="s">
        <v>718</v>
      </c>
      <c r="E99" t="s">
        <v>719</v>
      </c>
      <c r="F99" t="s">
        <v>720</v>
      </c>
      <c r="G99" t="s">
        <v>721</v>
      </c>
      <c r="H99" t="s">
        <v>721</v>
      </c>
      <c r="I99" t="s">
        <v>722</v>
      </c>
      <c r="J99" t="s">
        <v>124</v>
      </c>
      <c r="K99" t="s">
        <v>723</v>
      </c>
      <c r="L99" t="s">
        <v>724</v>
      </c>
      <c r="M99" t="s">
        <v>80</v>
      </c>
    </row>
    <row r="100" spans="1:13" x14ac:dyDescent="0.15">
      <c r="A100" t="s">
        <v>725</v>
      </c>
      <c r="B100" t="s">
        <v>14</v>
      </c>
      <c r="C100" t="s">
        <v>23</v>
      </c>
      <c r="D100" t="s">
        <v>726</v>
      </c>
      <c r="E100" t="s">
        <v>727</v>
      </c>
      <c r="F100" t="s">
        <v>728</v>
      </c>
      <c r="G100" t="s">
        <v>729</v>
      </c>
      <c r="H100" t="s">
        <v>729</v>
      </c>
      <c r="I100" t="s">
        <v>730</v>
      </c>
      <c r="J100" t="s">
        <v>206</v>
      </c>
      <c r="K100" t="s">
        <v>731</v>
      </c>
      <c r="L100" t="s">
        <v>730</v>
      </c>
      <c r="M100" t="s">
        <v>104</v>
      </c>
    </row>
    <row r="101" spans="1:13" x14ac:dyDescent="0.15">
      <c r="A101" t="s">
        <v>732</v>
      </c>
      <c r="B101" t="s">
        <v>14</v>
      </c>
      <c r="C101" t="s">
        <v>23</v>
      </c>
      <c r="D101" t="s">
        <v>733</v>
      </c>
      <c r="E101" t="s">
        <v>734</v>
      </c>
      <c r="F101" t="s">
        <v>735</v>
      </c>
      <c r="G101" t="s">
        <v>736</v>
      </c>
      <c r="H101" t="s">
        <v>736</v>
      </c>
      <c r="I101" t="s">
        <v>737</v>
      </c>
      <c r="J101" t="s">
        <v>206</v>
      </c>
      <c r="K101" t="s">
        <v>687</v>
      </c>
      <c r="L101" t="s">
        <v>737</v>
      </c>
      <c r="M101" t="s">
        <v>104</v>
      </c>
    </row>
    <row r="102" spans="1:13" x14ac:dyDescent="0.15">
      <c r="A102" t="s">
        <v>738</v>
      </c>
      <c r="B102" t="s">
        <v>14</v>
      </c>
      <c r="C102" t="s">
        <v>23</v>
      </c>
      <c r="D102" t="s">
        <v>739</v>
      </c>
      <c r="E102" t="s">
        <v>740</v>
      </c>
      <c r="F102" t="s">
        <v>741</v>
      </c>
      <c r="G102" t="s">
        <v>742</v>
      </c>
      <c r="H102" t="s">
        <v>742</v>
      </c>
      <c r="I102" t="s">
        <v>743</v>
      </c>
      <c r="J102" t="s">
        <v>352</v>
      </c>
      <c r="K102" t="s">
        <v>744</v>
      </c>
      <c r="L102" t="s">
        <v>745</v>
      </c>
      <c r="M102" t="s">
        <v>104</v>
      </c>
    </row>
    <row r="103" spans="1:13" x14ac:dyDescent="0.15">
      <c r="A103" t="s">
        <v>746</v>
      </c>
      <c r="B103" t="s">
        <v>14</v>
      </c>
      <c r="C103" t="s">
        <v>23</v>
      </c>
      <c r="D103" t="s">
        <v>747</v>
      </c>
      <c r="E103" t="s">
        <v>748</v>
      </c>
      <c r="F103" t="s">
        <v>749</v>
      </c>
      <c r="G103" t="s">
        <v>750</v>
      </c>
      <c r="H103" t="s">
        <v>750</v>
      </c>
      <c r="I103" t="s">
        <v>751</v>
      </c>
      <c r="J103" t="s">
        <v>352</v>
      </c>
      <c r="K103" t="s">
        <v>752</v>
      </c>
      <c r="L103" t="s">
        <v>753</v>
      </c>
      <c r="M103" t="s">
        <v>104</v>
      </c>
    </row>
    <row r="104" spans="1:13" x14ac:dyDescent="0.15">
      <c r="A104" t="s">
        <v>754</v>
      </c>
      <c r="B104" t="s">
        <v>14</v>
      </c>
      <c r="C104" t="s">
        <v>15</v>
      </c>
      <c r="D104" t="s">
        <v>755</v>
      </c>
      <c r="E104" t="s">
        <v>756</v>
      </c>
      <c r="F104" t="s">
        <v>757</v>
      </c>
      <c r="G104" t="s">
        <v>758</v>
      </c>
      <c r="H104" t="s">
        <v>758</v>
      </c>
      <c r="J104" t="s">
        <v>521</v>
      </c>
      <c r="M104" t="s">
        <v>21</v>
      </c>
    </row>
    <row r="105" spans="1:13" x14ac:dyDescent="0.15">
      <c r="A105" t="s">
        <v>759</v>
      </c>
      <c r="B105" t="s">
        <v>14</v>
      </c>
      <c r="C105" t="s">
        <v>118</v>
      </c>
      <c r="D105" t="s">
        <v>760</v>
      </c>
      <c r="E105" t="s">
        <v>761</v>
      </c>
      <c r="F105" t="s">
        <v>762</v>
      </c>
      <c r="G105" t="s">
        <v>763</v>
      </c>
      <c r="H105" t="s">
        <v>763</v>
      </c>
      <c r="I105" t="s">
        <v>764</v>
      </c>
      <c r="J105" t="s">
        <v>521</v>
      </c>
      <c r="K105" t="s">
        <v>256</v>
      </c>
      <c r="L105" t="s">
        <v>764</v>
      </c>
      <c r="M105" t="s">
        <v>765</v>
      </c>
    </row>
    <row r="106" spans="1:13" x14ac:dyDescent="0.15">
      <c r="A106" t="s">
        <v>766</v>
      </c>
      <c r="B106" t="s">
        <v>14</v>
      </c>
      <c r="C106" t="s">
        <v>118</v>
      </c>
      <c r="D106" t="s">
        <v>767</v>
      </c>
      <c r="E106" t="s">
        <v>768</v>
      </c>
      <c r="F106" t="s">
        <v>769</v>
      </c>
      <c r="G106" t="s">
        <v>770</v>
      </c>
      <c r="H106" t="s">
        <v>770</v>
      </c>
      <c r="I106" t="s">
        <v>771</v>
      </c>
      <c r="J106" t="s">
        <v>521</v>
      </c>
      <c r="K106" t="s">
        <v>772</v>
      </c>
      <c r="L106" t="s">
        <v>771</v>
      </c>
      <c r="M106" t="s">
        <v>773</v>
      </c>
    </row>
    <row r="107" spans="1:13" x14ac:dyDescent="0.15">
      <c r="A107" t="s">
        <v>774</v>
      </c>
      <c r="B107" t="s">
        <v>14</v>
      </c>
      <c r="C107" t="s">
        <v>118</v>
      </c>
      <c r="D107" t="s">
        <v>775</v>
      </c>
      <c r="E107" t="s">
        <v>776</v>
      </c>
      <c r="F107" t="s">
        <v>777</v>
      </c>
      <c r="G107" t="s">
        <v>778</v>
      </c>
      <c r="H107" t="s">
        <v>778</v>
      </c>
      <c r="I107" t="s">
        <v>779</v>
      </c>
      <c r="J107" t="s">
        <v>199</v>
      </c>
      <c r="K107" t="s">
        <v>339</v>
      </c>
      <c r="L107" t="s">
        <v>779</v>
      </c>
      <c r="M107" t="s">
        <v>126</v>
      </c>
    </row>
    <row r="108" spans="1:13" x14ac:dyDescent="0.15">
      <c r="A108" t="s">
        <v>780</v>
      </c>
      <c r="B108" t="s">
        <v>14</v>
      </c>
      <c r="C108" t="s">
        <v>118</v>
      </c>
      <c r="D108" t="s">
        <v>781</v>
      </c>
      <c r="E108" t="s">
        <v>782</v>
      </c>
      <c r="F108" t="s">
        <v>783</v>
      </c>
      <c r="G108" t="s">
        <v>784</v>
      </c>
      <c r="H108" t="s">
        <v>784</v>
      </c>
      <c r="I108" t="s">
        <v>785</v>
      </c>
      <c r="J108" t="s">
        <v>199</v>
      </c>
      <c r="K108" t="s">
        <v>786</v>
      </c>
      <c r="L108" t="s">
        <v>785</v>
      </c>
      <c r="M108" t="s">
        <v>126</v>
      </c>
    </row>
    <row r="109" spans="1:13" x14ac:dyDescent="0.15">
      <c r="A109" t="s">
        <v>787</v>
      </c>
      <c r="B109" t="s">
        <v>14</v>
      </c>
      <c r="C109" t="s">
        <v>118</v>
      </c>
      <c r="D109" t="s">
        <v>788</v>
      </c>
      <c r="E109" t="s">
        <v>789</v>
      </c>
      <c r="F109" t="s">
        <v>790</v>
      </c>
      <c r="G109" t="s">
        <v>791</v>
      </c>
      <c r="H109" t="s">
        <v>791</v>
      </c>
      <c r="I109" t="s">
        <v>792</v>
      </c>
      <c r="J109" t="s">
        <v>199</v>
      </c>
      <c r="K109" t="s">
        <v>387</v>
      </c>
      <c r="L109" t="s">
        <v>792</v>
      </c>
      <c r="M109" t="s">
        <v>126</v>
      </c>
    </row>
    <row r="110" spans="1:13" x14ac:dyDescent="0.15">
      <c r="A110" t="s">
        <v>793</v>
      </c>
      <c r="B110" t="s">
        <v>14</v>
      </c>
      <c r="C110" t="s">
        <v>118</v>
      </c>
      <c r="D110" t="s">
        <v>794</v>
      </c>
      <c r="E110" t="s">
        <v>795</v>
      </c>
      <c r="F110" t="s">
        <v>796</v>
      </c>
      <c r="G110" t="s">
        <v>797</v>
      </c>
      <c r="H110" t="s">
        <v>797</v>
      </c>
      <c r="I110" t="s">
        <v>798</v>
      </c>
      <c r="J110" t="s">
        <v>199</v>
      </c>
      <c r="K110" t="s">
        <v>608</v>
      </c>
      <c r="L110" t="s">
        <v>798</v>
      </c>
      <c r="M110" t="s">
        <v>126</v>
      </c>
    </row>
    <row r="111" spans="1:13" x14ac:dyDescent="0.15">
      <c r="A111" t="s">
        <v>799</v>
      </c>
      <c r="B111" t="s">
        <v>14</v>
      </c>
      <c r="C111" t="s">
        <v>118</v>
      </c>
      <c r="D111" t="s">
        <v>800</v>
      </c>
      <c r="E111" t="s">
        <v>801</v>
      </c>
      <c r="F111" t="s">
        <v>802</v>
      </c>
      <c r="G111" t="s">
        <v>803</v>
      </c>
      <c r="H111" t="s">
        <v>803</v>
      </c>
      <c r="I111" t="s">
        <v>804</v>
      </c>
      <c r="J111" t="s">
        <v>199</v>
      </c>
      <c r="K111" t="s">
        <v>305</v>
      </c>
      <c r="L111" t="s">
        <v>804</v>
      </c>
      <c r="M111" t="s">
        <v>126</v>
      </c>
    </row>
    <row r="112" spans="1:13" x14ac:dyDescent="0.15">
      <c r="A112" t="s">
        <v>805</v>
      </c>
      <c r="B112" t="s">
        <v>14</v>
      </c>
      <c r="C112" t="s">
        <v>118</v>
      </c>
      <c r="D112" t="s">
        <v>806</v>
      </c>
      <c r="E112" t="s">
        <v>807</v>
      </c>
      <c r="F112" t="s">
        <v>808</v>
      </c>
      <c r="G112" t="s">
        <v>809</v>
      </c>
      <c r="H112" t="s">
        <v>809</v>
      </c>
      <c r="I112" t="s">
        <v>810</v>
      </c>
      <c r="J112" t="s">
        <v>230</v>
      </c>
      <c r="K112" t="s">
        <v>811</v>
      </c>
      <c r="L112" t="s">
        <v>810</v>
      </c>
      <c r="M112" t="s">
        <v>812</v>
      </c>
    </row>
    <row r="113" spans="1:13" x14ac:dyDescent="0.15">
      <c r="A113" t="s">
        <v>813</v>
      </c>
      <c r="B113" t="s">
        <v>14</v>
      </c>
      <c r="C113" t="s">
        <v>23</v>
      </c>
      <c r="D113" t="s">
        <v>814</v>
      </c>
      <c r="E113" t="s">
        <v>815</v>
      </c>
      <c r="F113" t="s">
        <v>816</v>
      </c>
      <c r="G113" t="s">
        <v>817</v>
      </c>
      <c r="H113" t="s">
        <v>817</v>
      </c>
      <c r="I113" t="s">
        <v>818</v>
      </c>
      <c r="J113" t="s">
        <v>214</v>
      </c>
      <c r="K113" t="s">
        <v>819</v>
      </c>
      <c r="L113" t="s">
        <v>818</v>
      </c>
      <c r="M113" t="s">
        <v>216</v>
      </c>
    </row>
    <row r="114" spans="1:13" x14ac:dyDescent="0.15">
      <c r="A114" t="s">
        <v>820</v>
      </c>
      <c r="B114" t="s">
        <v>14</v>
      </c>
      <c r="C114" t="s">
        <v>23</v>
      </c>
      <c r="D114" t="s">
        <v>821</v>
      </c>
      <c r="E114" t="s">
        <v>822</v>
      </c>
      <c r="F114" t="s">
        <v>823</v>
      </c>
      <c r="G114" t="s">
        <v>824</v>
      </c>
      <c r="H114" t="s">
        <v>824</v>
      </c>
      <c r="I114" t="s">
        <v>825</v>
      </c>
      <c r="J114" t="s">
        <v>214</v>
      </c>
      <c r="K114" t="s">
        <v>30</v>
      </c>
      <c r="L114" t="s">
        <v>825</v>
      </c>
      <c r="M114" t="s">
        <v>216</v>
      </c>
    </row>
    <row r="115" spans="1:13" x14ac:dyDescent="0.15">
      <c r="A115" t="s">
        <v>826</v>
      </c>
      <c r="B115" t="s">
        <v>14</v>
      </c>
      <c r="C115" t="s">
        <v>118</v>
      </c>
      <c r="D115" t="s">
        <v>827</v>
      </c>
      <c r="E115" t="s">
        <v>828</v>
      </c>
      <c r="F115" t="s">
        <v>829</v>
      </c>
      <c r="G115" t="s">
        <v>830</v>
      </c>
      <c r="H115" t="s">
        <v>830</v>
      </c>
      <c r="I115" t="s">
        <v>831</v>
      </c>
      <c r="J115" t="s">
        <v>214</v>
      </c>
      <c r="K115" t="s">
        <v>832</v>
      </c>
      <c r="L115" t="s">
        <v>831</v>
      </c>
      <c r="M115" t="s">
        <v>126</v>
      </c>
    </row>
    <row r="116" spans="1:13" x14ac:dyDescent="0.15">
      <c r="A116" t="s">
        <v>833</v>
      </c>
      <c r="B116" t="s">
        <v>14</v>
      </c>
      <c r="C116" t="s">
        <v>118</v>
      </c>
      <c r="D116" t="s">
        <v>834</v>
      </c>
      <c r="E116" t="s">
        <v>835</v>
      </c>
      <c r="F116" t="s">
        <v>836</v>
      </c>
      <c r="G116" t="s">
        <v>837</v>
      </c>
      <c r="H116" t="s">
        <v>837</v>
      </c>
      <c r="I116" t="s">
        <v>838</v>
      </c>
      <c r="J116" t="s">
        <v>415</v>
      </c>
      <c r="K116" t="s">
        <v>839</v>
      </c>
      <c r="L116" t="s">
        <v>838</v>
      </c>
      <c r="M116" t="s">
        <v>165</v>
      </c>
    </row>
    <row r="117" spans="1:13" x14ac:dyDescent="0.15">
      <c r="A117" t="s">
        <v>840</v>
      </c>
      <c r="B117" t="s">
        <v>14</v>
      </c>
      <c r="C117" t="s">
        <v>23</v>
      </c>
      <c r="D117" t="s">
        <v>841</v>
      </c>
      <c r="E117" t="s">
        <v>842</v>
      </c>
      <c r="F117" t="s">
        <v>843</v>
      </c>
      <c r="G117" t="s">
        <v>844</v>
      </c>
      <c r="H117" t="s">
        <v>844</v>
      </c>
      <c r="I117" t="s">
        <v>845</v>
      </c>
      <c r="J117" t="s">
        <v>124</v>
      </c>
      <c r="K117" t="s">
        <v>846</v>
      </c>
      <c r="L117" t="s">
        <v>845</v>
      </c>
      <c r="M117" t="s">
        <v>41</v>
      </c>
    </row>
    <row r="118" spans="1:13" x14ac:dyDescent="0.15">
      <c r="A118" t="s">
        <v>847</v>
      </c>
      <c r="B118" t="s">
        <v>14</v>
      </c>
      <c r="C118" t="s">
        <v>118</v>
      </c>
      <c r="D118" t="s">
        <v>848</v>
      </c>
      <c r="E118" t="s">
        <v>849</v>
      </c>
      <c r="F118" t="s">
        <v>850</v>
      </c>
      <c r="G118" t="s">
        <v>851</v>
      </c>
      <c r="H118" t="s">
        <v>851</v>
      </c>
      <c r="I118" t="s">
        <v>852</v>
      </c>
      <c r="J118" t="s">
        <v>270</v>
      </c>
      <c r="K118" t="s">
        <v>853</v>
      </c>
      <c r="L118" t="s">
        <v>854</v>
      </c>
      <c r="M118" t="s">
        <v>41</v>
      </c>
    </row>
    <row r="119" spans="1:13" x14ac:dyDescent="0.15">
      <c r="A119" t="s">
        <v>855</v>
      </c>
      <c r="B119" t="s">
        <v>14</v>
      </c>
      <c r="C119" t="s">
        <v>23</v>
      </c>
      <c r="D119" t="s">
        <v>856</v>
      </c>
      <c r="E119" t="s">
        <v>857</v>
      </c>
      <c r="F119" t="s">
        <v>850</v>
      </c>
      <c r="G119" t="s">
        <v>858</v>
      </c>
      <c r="H119" t="s">
        <v>858</v>
      </c>
      <c r="I119" t="s">
        <v>859</v>
      </c>
      <c r="J119" t="s">
        <v>352</v>
      </c>
      <c r="K119" t="s">
        <v>223</v>
      </c>
      <c r="L119" t="s">
        <v>860</v>
      </c>
      <c r="M119" t="s">
        <v>41</v>
      </c>
    </row>
    <row r="120" spans="1:13" x14ac:dyDescent="0.15">
      <c r="A120" t="s">
        <v>861</v>
      </c>
      <c r="B120" t="s">
        <v>14</v>
      </c>
      <c r="C120" t="s">
        <v>23</v>
      </c>
      <c r="D120" t="s">
        <v>862</v>
      </c>
      <c r="E120" t="s">
        <v>863</v>
      </c>
      <c r="F120" t="s">
        <v>864</v>
      </c>
      <c r="G120" t="s">
        <v>865</v>
      </c>
      <c r="H120" t="s">
        <v>865</v>
      </c>
      <c r="I120" t="s">
        <v>866</v>
      </c>
      <c r="J120" t="s">
        <v>352</v>
      </c>
      <c r="K120" t="s">
        <v>574</v>
      </c>
      <c r="L120" t="s">
        <v>866</v>
      </c>
      <c r="M120" t="s">
        <v>41</v>
      </c>
    </row>
    <row r="121" spans="1:13" x14ac:dyDescent="0.15">
      <c r="A121" t="s">
        <v>867</v>
      </c>
      <c r="B121" t="s">
        <v>14</v>
      </c>
      <c r="C121" t="s">
        <v>23</v>
      </c>
      <c r="D121" t="s">
        <v>868</v>
      </c>
      <c r="E121" t="s">
        <v>869</v>
      </c>
      <c r="F121" t="s">
        <v>870</v>
      </c>
      <c r="G121" t="s">
        <v>871</v>
      </c>
      <c r="H121" t="s">
        <v>871</v>
      </c>
      <c r="I121" t="s">
        <v>872</v>
      </c>
      <c r="J121" t="s">
        <v>514</v>
      </c>
      <c r="K121" t="s">
        <v>873</v>
      </c>
      <c r="L121" t="s">
        <v>872</v>
      </c>
      <c r="M121" t="s">
        <v>41</v>
      </c>
    </row>
    <row r="122" spans="1:13" x14ac:dyDescent="0.15">
      <c r="A122" t="s">
        <v>874</v>
      </c>
      <c r="B122" t="s">
        <v>14</v>
      </c>
      <c r="C122" t="s">
        <v>118</v>
      </c>
      <c r="D122" t="s">
        <v>875</v>
      </c>
      <c r="E122" t="s">
        <v>876</v>
      </c>
      <c r="F122" t="s">
        <v>877</v>
      </c>
      <c r="G122" t="s">
        <v>878</v>
      </c>
      <c r="H122" t="s">
        <v>878</v>
      </c>
      <c r="I122" t="s">
        <v>879</v>
      </c>
      <c r="J122" t="s">
        <v>138</v>
      </c>
      <c r="K122" t="s">
        <v>271</v>
      </c>
      <c r="L122" t="s">
        <v>879</v>
      </c>
      <c r="M122" t="s">
        <v>880</v>
      </c>
    </row>
    <row r="123" spans="1:13" x14ac:dyDescent="0.15">
      <c r="A123" t="s">
        <v>881</v>
      </c>
      <c r="B123" t="s">
        <v>14</v>
      </c>
      <c r="C123" t="s">
        <v>118</v>
      </c>
      <c r="D123" t="s">
        <v>882</v>
      </c>
      <c r="E123" t="s">
        <v>883</v>
      </c>
      <c r="F123" t="s">
        <v>884</v>
      </c>
      <c r="G123" t="s">
        <v>878</v>
      </c>
      <c r="H123" t="s">
        <v>878</v>
      </c>
      <c r="I123" t="s">
        <v>879</v>
      </c>
      <c r="J123" t="s">
        <v>138</v>
      </c>
      <c r="K123" t="s">
        <v>540</v>
      </c>
      <c r="L123" t="s">
        <v>879</v>
      </c>
      <c r="M123" t="s">
        <v>880</v>
      </c>
    </row>
    <row r="124" spans="1:13" x14ac:dyDescent="0.15">
      <c r="A124" t="s">
        <v>885</v>
      </c>
      <c r="B124" t="s">
        <v>14</v>
      </c>
      <c r="C124" t="s">
        <v>23</v>
      </c>
      <c r="D124" t="s">
        <v>886</v>
      </c>
      <c r="E124" t="s">
        <v>887</v>
      </c>
      <c r="F124" t="s">
        <v>888</v>
      </c>
      <c r="G124" t="s">
        <v>889</v>
      </c>
      <c r="H124" t="s">
        <v>889</v>
      </c>
      <c r="I124" t="s">
        <v>890</v>
      </c>
      <c r="J124" t="s">
        <v>138</v>
      </c>
      <c r="K124" t="s">
        <v>474</v>
      </c>
      <c r="L124" t="s">
        <v>890</v>
      </c>
      <c r="M124" t="s">
        <v>104</v>
      </c>
    </row>
    <row r="125" spans="1:13" x14ac:dyDescent="0.15">
      <c r="A125" t="s">
        <v>891</v>
      </c>
      <c r="B125" t="s">
        <v>14</v>
      </c>
      <c r="C125" t="s">
        <v>118</v>
      </c>
      <c r="D125" t="s">
        <v>892</v>
      </c>
      <c r="E125" t="s">
        <v>893</v>
      </c>
      <c r="F125" t="s">
        <v>894</v>
      </c>
      <c r="G125" t="s">
        <v>895</v>
      </c>
      <c r="H125" t="s">
        <v>895</v>
      </c>
      <c r="I125" t="s">
        <v>896</v>
      </c>
      <c r="J125" t="s">
        <v>297</v>
      </c>
      <c r="K125" t="s">
        <v>48</v>
      </c>
      <c r="L125" t="s">
        <v>896</v>
      </c>
      <c r="M125" t="s">
        <v>432</v>
      </c>
    </row>
    <row r="126" spans="1:13" x14ac:dyDescent="0.15">
      <c r="A126" t="s">
        <v>897</v>
      </c>
      <c r="B126" t="s">
        <v>14</v>
      </c>
      <c r="C126" t="s">
        <v>118</v>
      </c>
      <c r="D126" t="s">
        <v>898</v>
      </c>
      <c r="E126" t="s">
        <v>899</v>
      </c>
      <c r="F126" t="s">
        <v>900</v>
      </c>
      <c r="G126" t="s">
        <v>901</v>
      </c>
      <c r="H126" t="s">
        <v>901</v>
      </c>
      <c r="I126" t="s">
        <v>902</v>
      </c>
      <c r="J126" t="s">
        <v>481</v>
      </c>
      <c r="K126" t="s">
        <v>903</v>
      </c>
      <c r="L126" t="s">
        <v>902</v>
      </c>
      <c r="M126" t="s">
        <v>174</v>
      </c>
    </row>
    <row r="127" spans="1:13" x14ac:dyDescent="0.15">
      <c r="A127" t="s">
        <v>904</v>
      </c>
      <c r="B127" t="s">
        <v>14</v>
      </c>
      <c r="C127" t="s">
        <v>118</v>
      </c>
      <c r="D127" t="s">
        <v>905</v>
      </c>
      <c r="E127" t="s">
        <v>906</v>
      </c>
      <c r="F127" t="s">
        <v>907</v>
      </c>
      <c r="G127" t="s">
        <v>908</v>
      </c>
      <c r="H127" t="s">
        <v>908</v>
      </c>
      <c r="I127" t="s">
        <v>909</v>
      </c>
      <c r="J127" t="s">
        <v>481</v>
      </c>
      <c r="K127" t="s">
        <v>903</v>
      </c>
      <c r="L127" t="s">
        <v>909</v>
      </c>
      <c r="M127" t="s">
        <v>174</v>
      </c>
    </row>
    <row r="128" spans="1:13" x14ac:dyDescent="0.15">
      <c r="A128" t="s">
        <v>910</v>
      </c>
      <c r="B128" t="s">
        <v>14</v>
      </c>
      <c r="C128" t="s">
        <v>118</v>
      </c>
      <c r="D128" t="s">
        <v>911</v>
      </c>
      <c r="E128" t="s">
        <v>912</v>
      </c>
      <c r="F128" t="s">
        <v>913</v>
      </c>
      <c r="G128" t="s">
        <v>914</v>
      </c>
      <c r="H128" t="s">
        <v>914</v>
      </c>
      <c r="I128" t="s">
        <v>915</v>
      </c>
      <c r="J128" t="s">
        <v>481</v>
      </c>
      <c r="K128" t="s">
        <v>540</v>
      </c>
      <c r="L128" t="s">
        <v>915</v>
      </c>
      <c r="M128" t="s">
        <v>80</v>
      </c>
    </row>
    <row r="129" spans="1:13" x14ac:dyDescent="0.15">
      <c r="A129" t="s">
        <v>916</v>
      </c>
      <c r="B129" t="s">
        <v>14</v>
      </c>
      <c r="C129" t="s">
        <v>118</v>
      </c>
      <c r="D129" t="s">
        <v>917</v>
      </c>
      <c r="E129" t="s">
        <v>918</v>
      </c>
      <c r="F129" t="s">
        <v>919</v>
      </c>
      <c r="G129" t="s">
        <v>920</v>
      </c>
      <c r="H129" t="s">
        <v>920</v>
      </c>
      <c r="I129" t="s">
        <v>921</v>
      </c>
      <c r="J129" t="s">
        <v>481</v>
      </c>
      <c r="K129" t="s">
        <v>271</v>
      </c>
      <c r="L129" t="s">
        <v>921</v>
      </c>
      <c r="M129" t="s">
        <v>279</v>
      </c>
    </row>
    <row r="130" spans="1:13" x14ac:dyDescent="0.15">
      <c r="A130" t="s">
        <v>922</v>
      </c>
      <c r="B130" t="s">
        <v>14</v>
      </c>
      <c r="C130" t="s">
        <v>118</v>
      </c>
      <c r="D130" t="s">
        <v>923</v>
      </c>
      <c r="E130" t="s">
        <v>924</v>
      </c>
      <c r="F130" t="s">
        <v>925</v>
      </c>
      <c r="G130" t="s">
        <v>926</v>
      </c>
      <c r="H130" t="s">
        <v>926</v>
      </c>
      <c r="I130" t="s">
        <v>927</v>
      </c>
      <c r="J130" t="s">
        <v>270</v>
      </c>
      <c r="K130" t="s">
        <v>540</v>
      </c>
      <c r="L130" t="s">
        <v>927</v>
      </c>
      <c r="M130" t="s">
        <v>80</v>
      </c>
    </row>
    <row r="131" spans="1:13" x14ac:dyDescent="0.15">
      <c r="A131" t="s">
        <v>928</v>
      </c>
      <c r="B131" t="s">
        <v>14</v>
      </c>
      <c r="C131" t="s">
        <v>118</v>
      </c>
      <c r="D131" t="s">
        <v>929</v>
      </c>
      <c r="E131" t="s">
        <v>930</v>
      </c>
      <c r="F131" t="s">
        <v>931</v>
      </c>
      <c r="G131" t="s">
        <v>920</v>
      </c>
      <c r="H131" t="s">
        <v>920</v>
      </c>
      <c r="I131" t="s">
        <v>921</v>
      </c>
      <c r="J131" t="s">
        <v>481</v>
      </c>
      <c r="K131" t="s">
        <v>256</v>
      </c>
      <c r="L131" t="s">
        <v>921</v>
      </c>
      <c r="M131" t="s">
        <v>279</v>
      </c>
    </row>
    <row r="132" spans="1:13" x14ac:dyDescent="0.15">
      <c r="A132" t="s">
        <v>932</v>
      </c>
      <c r="B132" t="s">
        <v>14</v>
      </c>
      <c r="C132" t="s">
        <v>118</v>
      </c>
      <c r="D132" t="s">
        <v>933</v>
      </c>
      <c r="E132" t="s">
        <v>934</v>
      </c>
      <c r="F132" t="s">
        <v>935</v>
      </c>
      <c r="G132" t="s">
        <v>936</v>
      </c>
      <c r="H132" t="s">
        <v>936</v>
      </c>
      <c r="I132" t="s">
        <v>937</v>
      </c>
      <c r="J132" t="s">
        <v>124</v>
      </c>
      <c r="K132" t="s">
        <v>938</v>
      </c>
      <c r="L132" t="s">
        <v>937</v>
      </c>
      <c r="M132" t="s">
        <v>313</v>
      </c>
    </row>
    <row r="133" spans="1:13" x14ac:dyDescent="0.15">
      <c r="A133" t="s">
        <v>939</v>
      </c>
      <c r="B133" t="s">
        <v>14</v>
      </c>
      <c r="C133" t="s">
        <v>118</v>
      </c>
      <c r="D133" t="s">
        <v>940</v>
      </c>
      <c r="E133" t="s">
        <v>941</v>
      </c>
      <c r="F133" t="s">
        <v>942</v>
      </c>
      <c r="G133" t="s">
        <v>943</v>
      </c>
      <c r="H133" t="s">
        <v>943</v>
      </c>
      <c r="I133" t="s">
        <v>944</v>
      </c>
      <c r="J133" t="s">
        <v>124</v>
      </c>
      <c r="K133" t="s">
        <v>832</v>
      </c>
      <c r="L133" t="s">
        <v>944</v>
      </c>
      <c r="M133" t="s">
        <v>353</v>
      </c>
    </row>
    <row r="134" spans="1:13" x14ac:dyDescent="0.15">
      <c r="A134" t="s">
        <v>945</v>
      </c>
      <c r="B134" t="s">
        <v>14</v>
      </c>
      <c r="C134" t="s">
        <v>118</v>
      </c>
      <c r="D134" t="s">
        <v>946</v>
      </c>
      <c r="E134" t="s">
        <v>947</v>
      </c>
      <c r="F134" t="s">
        <v>948</v>
      </c>
      <c r="G134" t="s">
        <v>949</v>
      </c>
      <c r="H134" t="s">
        <v>949</v>
      </c>
      <c r="I134" t="s">
        <v>950</v>
      </c>
      <c r="J134" t="s">
        <v>352</v>
      </c>
      <c r="K134" t="s">
        <v>263</v>
      </c>
      <c r="L134" t="s">
        <v>950</v>
      </c>
      <c r="M134" t="s">
        <v>361</v>
      </c>
    </row>
    <row r="135" spans="1:13" x14ac:dyDescent="0.15">
      <c r="A135" t="s">
        <v>951</v>
      </c>
      <c r="B135" t="s">
        <v>14</v>
      </c>
      <c r="C135" t="s">
        <v>23</v>
      </c>
      <c r="D135" t="s">
        <v>952</v>
      </c>
      <c r="E135" t="s">
        <v>953</v>
      </c>
      <c r="F135" t="s">
        <v>954</v>
      </c>
      <c r="G135" t="s">
        <v>955</v>
      </c>
      <c r="H135" t="s">
        <v>955</v>
      </c>
      <c r="I135" t="s">
        <v>956</v>
      </c>
      <c r="J135" t="s">
        <v>481</v>
      </c>
      <c r="K135" t="s">
        <v>239</v>
      </c>
      <c r="L135" t="s">
        <v>956</v>
      </c>
      <c r="M135" t="s">
        <v>80</v>
      </c>
    </row>
    <row r="136" spans="1:13" x14ac:dyDescent="0.15">
      <c r="A136" t="s">
        <v>957</v>
      </c>
      <c r="B136" t="s">
        <v>14</v>
      </c>
      <c r="C136" t="s">
        <v>118</v>
      </c>
      <c r="D136" t="s">
        <v>958</v>
      </c>
      <c r="E136" t="s">
        <v>959</v>
      </c>
      <c r="F136" t="s">
        <v>960</v>
      </c>
      <c r="G136" t="s">
        <v>961</v>
      </c>
      <c r="H136" t="s">
        <v>961</v>
      </c>
      <c r="I136" t="s">
        <v>962</v>
      </c>
      <c r="J136" t="s">
        <v>156</v>
      </c>
      <c r="K136" t="s">
        <v>173</v>
      </c>
      <c r="L136" t="s">
        <v>962</v>
      </c>
      <c r="M136" t="s">
        <v>192</v>
      </c>
    </row>
    <row r="137" spans="1:13" x14ac:dyDescent="0.15">
      <c r="A137" t="s">
        <v>963</v>
      </c>
      <c r="B137" t="s">
        <v>14</v>
      </c>
      <c r="C137" t="s">
        <v>194</v>
      </c>
      <c r="D137" t="s">
        <v>964</v>
      </c>
      <c r="E137" t="s">
        <v>965</v>
      </c>
      <c r="F137" t="s">
        <v>966</v>
      </c>
      <c r="H137" t="s">
        <v>967</v>
      </c>
      <c r="J137" t="s">
        <v>481</v>
      </c>
      <c r="M137" t="s">
        <v>139</v>
      </c>
    </row>
    <row r="138" spans="1:13" x14ac:dyDescent="0.15">
      <c r="A138" t="s">
        <v>968</v>
      </c>
      <c r="B138" t="s">
        <v>14</v>
      </c>
      <c r="C138" t="s">
        <v>23</v>
      </c>
      <c r="D138" t="s">
        <v>969</v>
      </c>
      <c r="E138" t="s">
        <v>970</v>
      </c>
      <c r="F138" t="s">
        <v>971</v>
      </c>
      <c r="G138" t="s">
        <v>972</v>
      </c>
      <c r="H138" t="s">
        <v>972</v>
      </c>
      <c r="I138" t="s">
        <v>973</v>
      </c>
      <c r="J138" t="s">
        <v>206</v>
      </c>
      <c r="K138" t="s">
        <v>332</v>
      </c>
      <c r="L138" t="s">
        <v>973</v>
      </c>
      <c r="M138" t="s">
        <v>104</v>
      </c>
    </row>
    <row r="139" spans="1:13" x14ac:dyDescent="0.15">
      <c r="A139" t="s">
        <v>974</v>
      </c>
      <c r="B139" t="s">
        <v>14</v>
      </c>
      <c r="C139" t="s">
        <v>118</v>
      </c>
      <c r="D139" t="s">
        <v>975</v>
      </c>
      <c r="E139" t="s">
        <v>976</v>
      </c>
      <c r="F139" t="s">
        <v>977</v>
      </c>
      <c r="G139" t="s">
        <v>978</v>
      </c>
      <c r="H139" t="s">
        <v>978</v>
      </c>
      <c r="I139" t="s">
        <v>979</v>
      </c>
      <c r="J139" t="s">
        <v>156</v>
      </c>
      <c r="K139" t="s">
        <v>980</v>
      </c>
      <c r="L139" t="s">
        <v>979</v>
      </c>
      <c r="M139" t="s">
        <v>192</v>
      </c>
    </row>
    <row r="140" spans="1:13" x14ac:dyDescent="0.15">
      <c r="A140" t="s">
        <v>981</v>
      </c>
      <c r="B140" t="s">
        <v>14</v>
      </c>
      <c r="C140" t="s">
        <v>118</v>
      </c>
      <c r="D140" t="s">
        <v>982</v>
      </c>
      <c r="E140" t="s">
        <v>983</v>
      </c>
      <c r="F140" t="s">
        <v>984</v>
      </c>
      <c r="G140" t="s">
        <v>978</v>
      </c>
      <c r="H140" t="s">
        <v>978</v>
      </c>
      <c r="I140" t="s">
        <v>979</v>
      </c>
      <c r="J140" t="s">
        <v>156</v>
      </c>
      <c r="K140" t="s">
        <v>786</v>
      </c>
      <c r="L140" t="s">
        <v>979</v>
      </c>
      <c r="M140" t="s">
        <v>192</v>
      </c>
    </row>
    <row r="141" spans="1:13" x14ac:dyDescent="0.15">
      <c r="A141" t="s">
        <v>985</v>
      </c>
      <c r="B141" t="s">
        <v>14</v>
      </c>
      <c r="C141" t="s">
        <v>23</v>
      </c>
      <c r="D141" t="s">
        <v>986</v>
      </c>
      <c r="E141" t="s">
        <v>987</v>
      </c>
      <c r="F141" t="s">
        <v>988</v>
      </c>
      <c r="G141" t="s">
        <v>989</v>
      </c>
      <c r="H141" t="s">
        <v>989</v>
      </c>
      <c r="I141" t="s">
        <v>990</v>
      </c>
      <c r="J141" t="s">
        <v>481</v>
      </c>
      <c r="K141" t="s">
        <v>271</v>
      </c>
      <c r="L141" t="s">
        <v>990</v>
      </c>
      <c r="M141" t="s">
        <v>216</v>
      </c>
    </row>
    <row r="142" spans="1:13" x14ac:dyDescent="0.15">
      <c r="A142" t="s">
        <v>991</v>
      </c>
      <c r="B142" t="s">
        <v>14</v>
      </c>
      <c r="C142" t="s">
        <v>118</v>
      </c>
      <c r="D142" t="s">
        <v>992</v>
      </c>
      <c r="E142" t="s">
        <v>993</v>
      </c>
      <c r="F142" t="s">
        <v>994</v>
      </c>
      <c r="G142" t="s">
        <v>995</v>
      </c>
      <c r="H142" t="s">
        <v>995</v>
      </c>
      <c r="I142" t="s">
        <v>996</v>
      </c>
      <c r="J142" t="s">
        <v>156</v>
      </c>
      <c r="K142" t="s">
        <v>339</v>
      </c>
      <c r="L142" t="s">
        <v>996</v>
      </c>
      <c r="M142" t="s">
        <v>192</v>
      </c>
    </row>
    <row r="143" spans="1:13" x14ac:dyDescent="0.15">
      <c r="A143" t="s">
        <v>997</v>
      </c>
      <c r="B143" t="s">
        <v>14</v>
      </c>
      <c r="C143" t="s">
        <v>23</v>
      </c>
      <c r="D143" t="s">
        <v>998</v>
      </c>
      <c r="E143" t="s">
        <v>999</v>
      </c>
      <c r="F143" t="s">
        <v>1000</v>
      </c>
      <c r="G143" t="s">
        <v>989</v>
      </c>
      <c r="H143" t="s">
        <v>989</v>
      </c>
      <c r="I143" t="s">
        <v>990</v>
      </c>
      <c r="J143" t="s">
        <v>481</v>
      </c>
      <c r="K143" t="s">
        <v>1001</v>
      </c>
      <c r="L143" t="s">
        <v>990</v>
      </c>
      <c r="M143" t="s">
        <v>216</v>
      </c>
    </row>
    <row r="144" spans="1:13" x14ac:dyDescent="0.15">
      <c r="A144" t="s">
        <v>1002</v>
      </c>
      <c r="B144" t="s">
        <v>14</v>
      </c>
      <c r="C144" t="s">
        <v>118</v>
      </c>
      <c r="D144" t="s">
        <v>1003</v>
      </c>
      <c r="E144" t="s">
        <v>1004</v>
      </c>
      <c r="F144" t="s">
        <v>1005</v>
      </c>
      <c r="H144" t="s">
        <v>1006</v>
      </c>
      <c r="I144" t="s">
        <v>1007</v>
      </c>
      <c r="J144" t="s">
        <v>156</v>
      </c>
      <c r="K144" t="s">
        <v>1008</v>
      </c>
      <c r="L144" t="s">
        <v>1007</v>
      </c>
      <c r="M144" t="s">
        <v>432</v>
      </c>
    </row>
    <row r="145" spans="1:13" x14ac:dyDescent="0.15">
      <c r="A145" t="s">
        <v>1009</v>
      </c>
      <c r="B145" t="s">
        <v>14</v>
      </c>
      <c r="C145" t="s">
        <v>118</v>
      </c>
      <c r="D145" t="s">
        <v>1010</v>
      </c>
      <c r="E145" t="s">
        <v>1011</v>
      </c>
      <c r="F145" t="s">
        <v>1012</v>
      </c>
      <c r="H145" t="s">
        <v>1013</v>
      </c>
      <c r="I145" t="s">
        <v>1014</v>
      </c>
      <c r="J145" t="s">
        <v>156</v>
      </c>
      <c r="K145" t="s">
        <v>1008</v>
      </c>
      <c r="L145" t="s">
        <v>1014</v>
      </c>
      <c r="M145" t="s">
        <v>1015</v>
      </c>
    </row>
    <row r="146" spans="1:13" x14ac:dyDescent="0.15">
      <c r="A146" t="s">
        <v>1016</v>
      </c>
      <c r="B146" t="s">
        <v>14</v>
      </c>
      <c r="C146" t="s">
        <v>23</v>
      </c>
      <c r="D146" t="s">
        <v>1017</v>
      </c>
      <c r="E146" t="s">
        <v>1018</v>
      </c>
      <c r="F146" t="s">
        <v>1019</v>
      </c>
      <c r="G146" t="s">
        <v>1020</v>
      </c>
      <c r="H146" t="s">
        <v>1020</v>
      </c>
      <c r="I146" t="s">
        <v>1021</v>
      </c>
      <c r="J146" t="s">
        <v>124</v>
      </c>
      <c r="K146" t="s">
        <v>1022</v>
      </c>
      <c r="L146" t="s">
        <v>1023</v>
      </c>
      <c r="M146" t="s">
        <v>126</v>
      </c>
    </row>
    <row r="147" spans="1:13" x14ac:dyDescent="0.15">
      <c r="A147" t="s">
        <v>1024</v>
      </c>
      <c r="B147" t="s">
        <v>14</v>
      </c>
      <c r="C147" t="s">
        <v>23</v>
      </c>
      <c r="D147" t="s">
        <v>1025</v>
      </c>
      <c r="E147" t="s">
        <v>1026</v>
      </c>
      <c r="F147" t="s">
        <v>1027</v>
      </c>
      <c r="G147" t="s">
        <v>1028</v>
      </c>
      <c r="H147" t="s">
        <v>1028</v>
      </c>
      <c r="I147" t="s">
        <v>1029</v>
      </c>
      <c r="J147" t="s">
        <v>124</v>
      </c>
      <c r="K147" t="s">
        <v>1030</v>
      </c>
      <c r="L147" t="s">
        <v>1029</v>
      </c>
      <c r="M147" t="s">
        <v>41</v>
      </c>
    </row>
    <row r="148" spans="1:13" x14ac:dyDescent="0.15">
      <c r="A148" t="s">
        <v>1031</v>
      </c>
      <c r="B148" t="s">
        <v>14</v>
      </c>
      <c r="C148" t="s">
        <v>23</v>
      </c>
      <c r="D148" t="s">
        <v>1032</v>
      </c>
      <c r="E148" t="s">
        <v>1033</v>
      </c>
      <c r="F148" t="s">
        <v>1034</v>
      </c>
      <c r="G148" t="s">
        <v>1035</v>
      </c>
      <c r="H148" t="s">
        <v>1035</v>
      </c>
      <c r="I148" t="s">
        <v>1036</v>
      </c>
      <c r="J148" t="s">
        <v>1037</v>
      </c>
      <c r="K148" t="s">
        <v>647</v>
      </c>
      <c r="L148" t="s">
        <v>1038</v>
      </c>
      <c r="M148" t="s">
        <v>80</v>
      </c>
    </row>
    <row r="149" spans="1:13" x14ac:dyDescent="0.15">
      <c r="A149" t="s">
        <v>1039</v>
      </c>
      <c r="B149" t="s">
        <v>14</v>
      </c>
      <c r="C149" t="s">
        <v>118</v>
      </c>
      <c r="D149" t="s">
        <v>1040</v>
      </c>
      <c r="E149" t="s">
        <v>1041</v>
      </c>
      <c r="F149" t="s">
        <v>1042</v>
      </c>
      <c r="G149" t="s">
        <v>1043</v>
      </c>
      <c r="H149" t="s">
        <v>1043</v>
      </c>
      <c r="I149" t="s">
        <v>1044</v>
      </c>
      <c r="J149" t="s">
        <v>415</v>
      </c>
      <c r="K149" t="s">
        <v>1045</v>
      </c>
      <c r="L149" t="s">
        <v>1044</v>
      </c>
      <c r="M149" t="s">
        <v>216</v>
      </c>
    </row>
    <row r="150" spans="1:13" x14ac:dyDescent="0.15">
      <c r="A150" t="s">
        <v>1046</v>
      </c>
      <c r="B150" t="s">
        <v>14</v>
      </c>
      <c r="C150" t="s">
        <v>118</v>
      </c>
      <c r="D150" t="s">
        <v>1047</v>
      </c>
      <c r="E150" t="s">
        <v>1048</v>
      </c>
      <c r="F150" t="s">
        <v>1049</v>
      </c>
      <c r="G150" t="s">
        <v>1050</v>
      </c>
      <c r="H150" t="s">
        <v>1050</v>
      </c>
      <c r="I150" t="s">
        <v>1051</v>
      </c>
      <c r="J150" t="s">
        <v>415</v>
      </c>
      <c r="K150" t="s">
        <v>1052</v>
      </c>
      <c r="L150" t="s">
        <v>1051</v>
      </c>
      <c r="M150" t="s">
        <v>126</v>
      </c>
    </row>
    <row r="151" spans="1:13" x14ac:dyDescent="0.15">
      <c r="A151" t="s">
        <v>1053</v>
      </c>
      <c r="B151" t="s">
        <v>14</v>
      </c>
      <c r="C151" t="s">
        <v>23</v>
      </c>
      <c r="D151" t="s">
        <v>1054</v>
      </c>
      <c r="E151" t="s">
        <v>1055</v>
      </c>
      <c r="F151" t="s">
        <v>1056</v>
      </c>
      <c r="G151" t="s">
        <v>1057</v>
      </c>
      <c r="H151" t="s">
        <v>1057</v>
      </c>
      <c r="I151" t="s">
        <v>1058</v>
      </c>
      <c r="J151" t="s">
        <v>481</v>
      </c>
      <c r="K151" t="s">
        <v>64</v>
      </c>
      <c r="L151" t="s">
        <v>1058</v>
      </c>
      <c r="M151" t="s">
        <v>104</v>
      </c>
    </row>
    <row r="152" spans="1:13" x14ac:dyDescent="0.15">
      <c r="A152" t="s">
        <v>1059</v>
      </c>
      <c r="B152" t="s">
        <v>14</v>
      </c>
      <c r="C152" t="s">
        <v>118</v>
      </c>
      <c r="D152" t="s">
        <v>1060</v>
      </c>
      <c r="E152" t="s">
        <v>1061</v>
      </c>
      <c r="F152" t="s">
        <v>1062</v>
      </c>
      <c r="G152" t="s">
        <v>1063</v>
      </c>
      <c r="H152" t="s">
        <v>1063</v>
      </c>
      <c r="I152" t="s">
        <v>1064</v>
      </c>
      <c r="J152" t="s">
        <v>1065</v>
      </c>
      <c r="K152" t="s">
        <v>215</v>
      </c>
      <c r="L152" t="s">
        <v>1064</v>
      </c>
      <c r="M152" t="s">
        <v>248</v>
      </c>
    </row>
    <row r="153" spans="1:13" x14ac:dyDescent="0.15">
      <c r="A153" t="s">
        <v>1066</v>
      </c>
      <c r="B153" t="s">
        <v>14</v>
      </c>
      <c r="C153" t="s">
        <v>118</v>
      </c>
      <c r="D153" t="s">
        <v>1067</v>
      </c>
      <c r="E153" t="s">
        <v>1068</v>
      </c>
      <c r="F153" t="s">
        <v>1069</v>
      </c>
      <c r="G153" t="s">
        <v>1070</v>
      </c>
      <c r="H153" t="s">
        <v>1070</v>
      </c>
      <c r="I153" t="s">
        <v>1071</v>
      </c>
      <c r="J153" t="s">
        <v>352</v>
      </c>
      <c r="K153" t="s">
        <v>540</v>
      </c>
      <c r="L153" t="s">
        <v>1071</v>
      </c>
      <c r="M153" t="s">
        <v>80</v>
      </c>
    </row>
    <row r="154" spans="1:13" x14ac:dyDescent="0.15">
      <c r="A154" t="s">
        <v>1072</v>
      </c>
      <c r="B154" t="s">
        <v>14</v>
      </c>
      <c r="C154" t="s">
        <v>23</v>
      </c>
      <c r="D154" t="s">
        <v>1073</v>
      </c>
      <c r="E154" t="s">
        <v>1074</v>
      </c>
      <c r="F154" t="s">
        <v>1075</v>
      </c>
      <c r="G154" t="s">
        <v>1076</v>
      </c>
      <c r="H154" t="s">
        <v>1076</v>
      </c>
      <c r="I154" t="s">
        <v>1077</v>
      </c>
      <c r="J154" t="s">
        <v>514</v>
      </c>
      <c r="K154" t="s">
        <v>1078</v>
      </c>
      <c r="L154" t="s">
        <v>1077</v>
      </c>
      <c r="M154" t="s">
        <v>80</v>
      </c>
    </row>
    <row r="155" spans="1:13" x14ac:dyDescent="0.15">
      <c r="A155" t="s">
        <v>1079</v>
      </c>
      <c r="B155" t="s">
        <v>14</v>
      </c>
      <c r="C155" t="s">
        <v>118</v>
      </c>
      <c r="D155" t="s">
        <v>1080</v>
      </c>
      <c r="E155" t="s">
        <v>1081</v>
      </c>
      <c r="F155" t="s">
        <v>1082</v>
      </c>
      <c r="G155" t="s">
        <v>1083</v>
      </c>
      <c r="H155" t="s">
        <v>1083</v>
      </c>
      <c r="I155" t="s">
        <v>1084</v>
      </c>
      <c r="J155" t="s">
        <v>459</v>
      </c>
      <c r="K155" t="s">
        <v>786</v>
      </c>
      <c r="L155" t="s">
        <v>1084</v>
      </c>
      <c r="M155" t="s">
        <v>880</v>
      </c>
    </row>
    <row r="156" spans="1:13" x14ac:dyDescent="0.15">
      <c r="A156" t="s">
        <v>1085</v>
      </c>
      <c r="B156" t="s">
        <v>14</v>
      </c>
      <c r="C156" t="s">
        <v>118</v>
      </c>
      <c r="D156" t="s">
        <v>1086</v>
      </c>
      <c r="E156" t="s">
        <v>1087</v>
      </c>
      <c r="F156" t="s">
        <v>1088</v>
      </c>
      <c r="G156" t="s">
        <v>1089</v>
      </c>
      <c r="H156" t="s">
        <v>1089</v>
      </c>
      <c r="I156" t="s">
        <v>1090</v>
      </c>
      <c r="J156" t="s">
        <v>206</v>
      </c>
      <c r="K156" t="s">
        <v>173</v>
      </c>
      <c r="L156" t="s">
        <v>1090</v>
      </c>
      <c r="M156" t="s">
        <v>31</v>
      </c>
    </row>
    <row r="157" spans="1:13" x14ac:dyDescent="0.15">
      <c r="A157" t="s">
        <v>1091</v>
      </c>
      <c r="B157" t="s">
        <v>14</v>
      </c>
      <c r="C157" t="s">
        <v>118</v>
      </c>
      <c r="D157" t="s">
        <v>1092</v>
      </c>
      <c r="E157" t="s">
        <v>1093</v>
      </c>
      <c r="F157" t="s">
        <v>1094</v>
      </c>
      <c r="G157" t="s">
        <v>1095</v>
      </c>
      <c r="H157" t="s">
        <v>1095</v>
      </c>
      <c r="I157" t="s">
        <v>1096</v>
      </c>
      <c r="J157" t="s">
        <v>29</v>
      </c>
      <c r="K157" t="s">
        <v>1045</v>
      </c>
      <c r="L157" t="s">
        <v>1096</v>
      </c>
      <c r="M157" t="s">
        <v>1097</v>
      </c>
    </row>
    <row r="158" spans="1:13" x14ac:dyDescent="0.15">
      <c r="A158" t="s">
        <v>1098</v>
      </c>
      <c r="B158" t="s">
        <v>14</v>
      </c>
      <c r="C158" t="s">
        <v>23</v>
      </c>
      <c r="D158" t="s">
        <v>1099</v>
      </c>
      <c r="E158" t="s">
        <v>1100</v>
      </c>
      <c r="F158" t="s">
        <v>1101</v>
      </c>
      <c r="G158" t="s">
        <v>1102</v>
      </c>
      <c r="H158" t="s">
        <v>1102</v>
      </c>
      <c r="I158" t="s">
        <v>1103</v>
      </c>
      <c r="J158" t="s">
        <v>20</v>
      </c>
      <c r="K158" t="s">
        <v>1104</v>
      </c>
      <c r="L158" t="s">
        <v>1103</v>
      </c>
      <c r="M158" t="s">
        <v>104</v>
      </c>
    </row>
    <row r="159" spans="1:13" x14ac:dyDescent="0.15">
      <c r="A159" t="s">
        <v>1105</v>
      </c>
      <c r="B159" t="s">
        <v>14</v>
      </c>
      <c r="C159" t="s">
        <v>118</v>
      </c>
      <c r="D159" t="s">
        <v>1106</v>
      </c>
      <c r="E159" t="s">
        <v>1107</v>
      </c>
      <c r="F159" t="s">
        <v>1108</v>
      </c>
      <c r="G159" t="s">
        <v>1109</v>
      </c>
      <c r="H159" t="s">
        <v>1109</v>
      </c>
      <c r="I159" t="s">
        <v>1110</v>
      </c>
      <c r="J159" t="s">
        <v>206</v>
      </c>
      <c r="K159" t="s">
        <v>786</v>
      </c>
      <c r="L159" t="s">
        <v>1110</v>
      </c>
      <c r="M159" t="s">
        <v>174</v>
      </c>
    </row>
    <row r="160" spans="1:13" x14ac:dyDescent="0.15">
      <c r="A160" t="s">
        <v>1111</v>
      </c>
      <c r="B160" t="s">
        <v>14</v>
      </c>
      <c r="C160" t="s">
        <v>118</v>
      </c>
      <c r="D160" t="s">
        <v>1112</v>
      </c>
      <c r="E160" t="s">
        <v>1113</v>
      </c>
      <c r="F160" t="s">
        <v>1114</v>
      </c>
      <c r="G160" t="s">
        <v>1115</v>
      </c>
      <c r="H160" t="s">
        <v>1115</v>
      </c>
      <c r="I160" t="s">
        <v>1116</v>
      </c>
      <c r="J160" t="s">
        <v>138</v>
      </c>
      <c r="K160" t="s">
        <v>1117</v>
      </c>
      <c r="L160" t="s">
        <v>1116</v>
      </c>
      <c r="M160" t="s">
        <v>1118</v>
      </c>
    </row>
    <row r="161" spans="1:13" x14ac:dyDescent="0.15">
      <c r="A161" t="s">
        <v>1119</v>
      </c>
      <c r="B161" t="s">
        <v>14</v>
      </c>
      <c r="C161" t="s">
        <v>23</v>
      </c>
      <c r="D161" t="s">
        <v>1120</v>
      </c>
      <c r="E161" t="s">
        <v>1121</v>
      </c>
      <c r="F161" t="s">
        <v>1122</v>
      </c>
      <c r="G161" t="s">
        <v>1123</v>
      </c>
      <c r="H161" t="s">
        <v>1123</v>
      </c>
      <c r="I161" t="s">
        <v>1124</v>
      </c>
      <c r="J161" t="s">
        <v>230</v>
      </c>
      <c r="K161" t="s">
        <v>1125</v>
      </c>
      <c r="L161" t="s">
        <v>1124</v>
      </c>
      <c r="M161" t="s">
        <v>104</v>
      </c>
    </row>
    <row r="162" spans="1:13" x14ac:dyDescent="0.15">
      <c r="A162" t="s">
        <v>1126</v>
      </c>
      <c r="B162" t="s">
        <v>14</v>
      </c>
      <c r="C162" t="s">
        <v>118</v>
      </c>
      <c r="D162" t="s">
        <v>1127</v>
      </c>
      <c r="E162" t="s">
        <v>1128</v>
      </c>
      <c r="F162" t="s">
        <v>1129</v>
      </c>
      <c r="G162" t="s">
        <v>1130</v>
      </c>
      <c r="H162" t="s">
        <v>1130</v>
      </c>
      <c r="I162" t="s">
        <v>1131</v>
      </c>
      <c r="J162" t="s">
        <v>124</v>
      </c>
      <c r="K162" t="s">
        <v>1104</v>
      </c>
      <c r="L162" t="s">
        <v>1131</v>
      </c>
      <c r="M162" t="s">
        <v>1132</v>
      </c>
    </row>
    <row r="163" spans="1:13" x14ac:dyDescent="0.15">
      <c r="A163" t="s">
        <v>1133</v>
      </c>
      <c r="B163" t="s">
        <v>14</v>
      </c>
      <c r="C163" t="s">
        <v>23</v>
      </c>
      <c r="D163" t="s">
        <v>1134</v>
      </c>
      <c r="E163" t="s">
        <v>1135</v>
      </c>
      <c r="F163" t="s">
        <v>1136</v>
      </c>
      <c r="G163" t="s">
        <v>1137</v>
      </c>
      <c r="H163" t="s">
        <v>1137</v>
      </c>
      <c r="I163" t="s">
        <v>1138</v>
      </c>
      <c r="J163" t="s">
        <v>514</v>
      </c>
      <c r="K163" t="s">
        <v>1139</v>
      </c>
      <c r="L163" t="s">
        <v>1138</v>
      </c>
      <c r="M163" t="s">
        <v>104</v>
      </c>
    </row>
    <row r="164" spans="1:13" x14ac:dyDescent="0.15">
      <c r="A164" t="s">
        <v>1140</v>
      </c>
      <c r="B164" t="s">
        <v>14</v>
      </c>
      <c r="C164" t="s">
        <v>23</v>
      </c>
      <c r="D164" t="s">
        <v>1141</v>
      </c>
      <c r="E164" t="s">
        <v>1142</v>
      </c>
      <c r="F164" t="s">
        <v>1143</v>
      </c>
      <c r="G164" t="s">
        <v>1144</v>
      </c>
      <c r="H164" t="s">
        <v>1144</v>
      </c>
      <c r="I164" t="s">
        <v>1145</v>
      </c>
      <c r="J164" t="s">
        <v>38</v>
      </c>
      <c r="K164" t="s">
        <v>72</v>
      </c>
      <c r="L164" t="s">
        <v>1146</v>
      </c>
      <c r="M164" t="s">
        <v>104</v>
      </c>
    </row>
    <row r="165" spans="1:13" x14ac:dyDescent="0.15">
      <c r="A165" t="s">
        <v>1147</v>
      </c>
      <c r="B165" t="s">
        <v>14</v>
      </c>
      <c r="C165" t="s">
        <v>15</v>
      </c>
      <c r="D165" t="s">
        <v>1148</v>
      </c>
      <c r="E165" t="s">
        <v>1149</v>
      </c>
      <c r="F165" t="s">
        <v>1150</v>
      </c>
      <c r="G165" t="s">
        <v>1151</v>
      </c>
      <c r="H165" t="s">
        <v>1151</v>
      </c>
      <c r="J165" t="s">
        <v>95</v>
      </c>
      <c r="M165" t="s">
        <v>21</v>
      </c>
    </row>
    <row r="166" spans="1:13" x14ac:dyDescent="0.15">
      <c r="A166" t="s">
        <v>1152</v>
      </c>
      <c r="B166" t="s">
        <v>14</v>
      </c>
      <c r="C166" t="s">
        <v>23</v>
      </c>
      <c r="D166" t="s">
        <v>1153</v>
      </c>
      <c r="E166" t="s">
        <v>1154</v>
      </c>
      <c r="F166" t="s">
        <v>1155</v>
      </c>
      <c r="G166" t="s">
        <v>1156</v>
      </c>
      <c r="H166" t="s">
        <v>1156</v>
      </c>
      <c r="I166" t="s">
        <v>1157</v>
      </c>
      <c r="J166" t="s">
        <v>29</v>
      </c>
      <c r="K166" t="s">
        <v>1158</v>
      </c>
      <c r="L166" t="s">
        <v>1157</v>
      </c>
      <c r="M166" t="s">
        <v>31</v>
      </c>
    </row>
    <row r="167" spans="1:13" x14ac:dyDescent="0.15">
      <c r="A167" t="s">
        <v>1159</v>
      </c>
      <c r="B167" t="s">
        <v>14</v>
      </c>
      <c r="C167" t="s">
        <v>118</v>
      </c>
      <c r="D167" t="s">
        <v>1160</v>
      </c>
      <c r="E167" t="s">
        <v>1161</v>
      </c>
      <c r="F167" t="s">
        <v>1155</v>
      </c>
      <c r="G167" t="s">
        <v>1162</v>
      </c>
      <c r="H167" t="s">
        <v>1162</v>
      </c>
      <c r="I167" t="s">
        <v>1163</v>
      </c>
      <c r="J167" t="s">
        <v>415</v>
      </c>
      <c r="K167" t="s">
        <v>608</v>
      </c>
      <c r="L167" t="s">
        <v>1163</v>
      </c>
      <c r="M167" t="s">
        <v>165</v>
      </c>
    </row>
    <row r="168" spans="1:13" x14ac:dyDescent="0.15">
      <c r="A168" t="s">
        <v>1164</v>
      </c>
      <c r="B168" t="s">
        <v>14</v>
      </c>
      <c r="C168" t="s">
        <v>23</v>
      </c>
      <c r="D168" t="s">
        <v>1165</v>
      </c>
      <c r="E168" t="s">
        <v>1166</v>
      </c>
      <c r="F168" t="s">
        <v>1167</v>
      </c>
      <c r="G168" t="s">
        <v>1168</v>
      </c>
      <c r="H168" t="s">
        <v>1168</v>
      </c>
      <c r="I168" t="s">
        <v>1169</v>
      </c>
      <c r="J168" t="s">
        <v>29</v>
      </c>
      <c r="K168" t="s">
        <v>1170</v>
      </c>
      <c r="L168" t="s">
        <v>1169</v>
      </c>
      <c r="M168" t="s">
        <v>31</v>
      </c>
    </row>
    <row r="169" spans="1:13" x14ac:dyDescent="0.15">
      <c r="A169" t="s">
        <v>1171</v>
      </c>
      <c r="B169" t="s">
        <v>14</v>
      </c>
      <c r="C169" t="s">
        <v>118</v>
      </c>
      <c r="D169" t="s">
        <v>1172</v>
      </c>
      <c r="E169" t="s">
        <v>1173</v>
      </c>
      <c r="F169" t="s">
        <v>1174</v>
      </c>
      <c r="G169" t="s">
        <v>1175</v>
      </c>
      <c r="H169" t="s">
        <v>1175</v>
      </c>
      <c r="I169" t="s">
        <v>1176</v>
      </c>
      <c r="J169" t="s">
        <v>29</v>
      </c>
      <c r="K169" t="s">
        <v>339</v>
      </c>
      <c r="L169" t="s">
        <v>1176</v>
      </c>
      <c r="M169" t="s">
        <v>432</v>
      </c>
    </row>
    <row r="170" spans="1:13" x14ac:dyDescent="0.15">
      <c r="A170" t="s">
        <v>1177</v>
      </c>
      <c r="B170" t="s">
        <v>14</v>
      </c>
      <c r="C170" t="s">
        <v>23</v>
      </c>
      <c r="D170" t="s">
        <v>1178</v>
      </c>
      <c r="E170" t="s">
        <v>1179</v>
      </c>
      <c r="F170" t="s">
        <v>1180</v>
      </c>
      <c r="G170" t="s">
        <v>1181</v>
      </c>
      <c r="H170" t="s">
        <v>1181</v>
      </c>
      <c r="I170" t="s">
        <v>1182</v>
      </c>
      <c r="J170" t="s">
        <v>20</v>
      </c>
      <c r="K170" t="s">
        <v>567</v>
      </c>
      <c r="L170" t="s">
        <v>1182</v>
      </c>
      <c r="M170" t="s">
        <v>216</v>
      </c>
    </row>
    <row r="171" spans="1:13" x14ac:dyDescent="0.15">
      <c r="A171" t="s">
        <v>1183</v>
      </c>
      <c r="B171" t="s">
        <v>14</v>
      </c>
      <c r="C171" t="s">
        <v>15</v>
      </c>
      <c r="D171" t="s">
        <v>1184</v>
      </c>
      <c r="E171" t="s">
        <v>1185</v>
      </c>
      <c r="F171" t="s">
        <v>1186</v>
      </c>
      <c r="G171" t="s">
        <v>1187</v>
      </c>
      <c r="H171" t="s">
        <v>1187</v>
      </c>
      <c r="J171" t="s">
        <v>400</v>
      </c>
      <c r="M171" t="s">
        <v>139</v>
      </c>
    </row>
    <row r="172" spans="1:13" x14ac:dyDescent="0.15">
      <c r="A172" t="s">
        <v>1188</v>
      </c>
      <c r="B172" t="s">
        <v>14</v>
      </c>
      <c r="C172" t="s">
        <v>23</v>
      </c>
      <c r="D172" t="s">
        <v>1189</v>
      </c>
      <c r="E172" t="s">
        <v>1190</v>
      </c>
      <c r="F172" t="s">
        <v>1191</v>
      </c>
      <c r="G172" t="s">
        <v>1192</v>
      </c>
      <c r="H172" t="s">
        <v>1192</v>
      </c>
      <c r="I172" t="s">
        <v>1193</v>
      </c>
      <c r="J172" t="s">
        <v>1194</v>
      </c>
      <c r="K172" t="s">
        <v>1195</v>
      </c>
      <c r="L172" t="s">
        <v>1193</v>
      </c>
      <c r="M172" t="s">
        <v>104</v>
      </c>
    </row>
    <row r="173" spans="1:13" x14ac:dyDescent="0.15">
      <c r="A173" t="s">
        <v>1196</v>
      </c>
      <c r="B173" t="s">
        <v>14</v>
      </c>
      <c r="C173" t="s">
        <v>23</v>
      </c>
      <c r="D173" t="s">
        <v>1197</v>
      </c>
      <c r="E173" t="s">
        <v>1198</v>
      </c>
      <c r="F173" t="s">
        <v>1199</v>
      </c>
      <c r="G173" t="s">
        <v>1200</v>
      </c>
      <c r="H173" t="s">
        <v>1200</v>
      </c>
      <c r="I173" t="s">
        <v>1201</v>
      </c>
      <c r="J173" t="s">
        <v>124</v>
      </c>
      <c r="K173" t="s">
        <v>694</v>
      </c>
      <c r="L173" t="s">
        <v>1201</v>
      </c>
      <c r="M173" t="s">
        <v>41</v>
      </c>
    </row>
    <row r="174" spans="1:13" x14ac:dyDescent="0.15">
      <c r="A174" t="s">
        <v>1202</v>
      </c>
      <c r="B174" t="s">
        <v>14</v>
      </c>
      <c r="C174" t="s">
        <v>23</v>
      </c>
      <c r="D174" t="s">
        <v>1203</v>
      </c>
      <c r="E174" t="s">
        <v>1204</v>
      </c>
      <c r="F174" t="s">
        <v>1205</v>
      </c>
      <c r="G174" t="s">
        <v>1206</v>
      </c>
      <c r="H174" t="s">
        <v>1206</v>
      </c>
      <c r="I174" t="s">
        <v>1207</v>
      </c>
      <c r="J174" t="s">
        <v>124</v>
      </c>
      <c r="K174" t="s">
        <v>1208</v>
      </c>
      <c r="L174" t="s">
        <v>1209</v>
      </c>
      <c r="M174" t="s">
        <v>41</v>
      </c>
    </row>
    <row r="175" spans="1:13" x14ac:dyDescent="0.15">
      <c r="A175" t="s">
        <v>1210</v>
      </c>
      <c r="B175" t="s">
        <v>14</v>
      </c>
      <c r="C175" t="s">
        <v>23</v>
      </c>
      <c r="D175" t="s">
        <v>1211</v>
      </c>
      <c r="E175" t="s">
        <v>1212</v>
      </c>
      <c r="F175" t="s">
        <v>1213</v>
      </c>
      <c r="G175" t="s">
        <v>1214</v>
      </c>
      <c r="H175" t="s">
        <v>1214</v>
      </c>
      <c r="I175" t="s">
        <v>1215</v>
      </c>
      <c r="J175" t="s">
        <v>1194</v>
      </c>
      <c r="K175" t="s">
        <v>1216</v>
      </c>
      <c r="L175" t="s">
        <v>1215</v>
      </c>
      <c r="M175" t="s">
        <v>41</v>
      </c>
    </row>
    <row r="176" spans="1:13" x14ac:dyDescent="0.15">
      <c r="A176" t="s">
        <v>1217</v>
      </c>
      <c r="B176" t="s">
        <v>14</v>
      </c>
      <c r="C176" t="s">
        <v>23</v>
      </c>
      <c r="D176" t="s">
        <v>1218</v>
      </c>
      <c r="E176" t="s">
        <v>1219</v>
      </c>
      <c r="F176" t="s">
        <v>1220</v>
      </c>
      <c r="G176" t="s">
        <v>1221</v>
      </c>
      <c r="H176" t="s">
        <v>1221</v>
      </c>
      <c r="I176" t="s">
        <v>1222</v>
      </c>
      <c r="J176" t="s">
        <v>344</v>
      </c>
      <c r="K176" t="s">
        <v>1223</v>
      </c>
      <c r="L176" t="s">
        <v>408</v>
      </c>
      <c r="M176" t="s">
        <v>216</v>
      </c>
    </row>
    <row r="177" spans="1:13" x14ac:dyDescent="0.15">
      <c r="A177" t="s">
        <v>1224</v>
      </c>
      <c r="B177" t="s">
        <v>14</v>
      </c>
      <c r="C177" t="s">
        <v>118</v>
      </c>
      <c r="D177" t="s">
        <v>1225</v>
      </c>
      <c r="E177" t="s">
        <v>1226</v>
      </c>
      <c r="F177" t="s">
        <v>1227</v>
      </c>
      <c r="G177" t="s">
        <v>1228</v>
      </c>
      <c r="H177" t="s">
        <v>1228</v>
      </c>
      <c r="I177" t="s">
        <v>1229</v>
      </c>
      <c r="J177" t="s">
        <v>20</v>
      </c>
      <c r="K177" t="s">
        <v>263</v>
      </c>
      <c r="L177" t="s">
        <v>1229</v>
      </c>
      <c r="M177" t="s">
        <v>313</v>
      </c>
    </row>
    <row r="178" spans="1:13" x14ac:dyDescent="0.15">
      <c r="A178" t="s">
        <v>1230</v>
      </c>
      <c r="B178" t="s">
        <v>14</v>
      </c>
      <c r="C178" t="s">
        <v>118</v>
      </c>
      <c r="D178" t="s">
        <v>1231</v>
      </c>
      <c r="E178" t="s">
        <v>1232</v>
      </c>
      <c r="F178" t="s">
        <v>1233</v>
      </c>
      <c r="G178" t="s">
        <v>1234</v>
      </c>
      <c r="H178" t="s">
        <v>1234</v>
      </c>
      <c r="I178" t="s">
        <v>1235</v>
      </c>
      <c r="J178" t="s">
        <v>20</v>
      </c>
      <c r="K178" t="s">
        <v>1236</v>
      </c>
      <c r="L178" t="s">
        <v>1235</v>
      </c>
      <c r="M178" t="s">
        <v>165</v>
      </c>
    </row>
    <row r="179" spans="1:13" x14ac:dyDescent="0.15">
      <c r="A179" t="s">
        <v>1237</v>
      </c>
      <c r="B179" t="s">
        <v>14</v>
      </c>
      <c r="C179" t="s">
        <v>118</v>
      </c>
      <c r="D179" t="s">
        <v>1238</v>
      </c>
      <c r="E179" t="s">
        <v>1239</v>
      </c>
      <c r="F179" t="s">
        <v>1240</v>
      </c>
      <c r="G179" t="s">
        <v>1241</v>
      </c>
      <c r="H179" t="s">
        <v>1241</v>
      </c>
      <c r="I179" t="s">
        <v>1242</v>
      </c>
      <c r="J179" t="s">
        <v>246</v>
      </c>
      <c r="K179" t="s">
        <v>567</v>
      </c>
      <c r="L179" t="s">
        <v>1242</v>
      </c>
      <c r="M179" t="s">
        <v>80</v>
      </c>
    </row>
    <row r="180" spans="1:13" x14ac:dyDescent="0.15">
      <c r="A180" t="s">
        <v>1243</v>
      </c>
      <c r="B180" t="s">
        <v>14</v>
      </c>
      <c r="C180" t="s">
        <v>118</v>
      </c>
      <c r="D180" t="s">
        <v>1244</v>
      </c>
      <c r="E180" t="s">
        <v>1245</v>
      </c>
      <c r="F180" t="s">
        <v>1246</v>
      </c>
      <c r="G180" t="s">
        <v>1247</v>
      </c>
      <c r="H180" t="s">
        <v>1247</v>
      </c>
      <c r="I180" t="s">
        <v>1248</v>
      </c>
      <c r="J180" t="s">
        <v>415</v>
      </c>
      <c r="K180" t="s">
        <v>173</v>
      </c>
      <c r="L180" t="s">
        <v>1248</v>
      </c>
      <c r="M180" t="s">
        <v>216</v>
      </c>
    </row>
    <row r="181" spans="1:13" x14ac:dyDescent="0.15">
      <c r="A181" t="s">
        <v>1249</v>
      </c>
      <c r="B181" t="s">
        <v>14</v>
      </c>
      <c r="C181" t="s">
        <v>118</v>
      </c>
      <c r="D181" t="s">
        <v>1250</v>
      </c>
      <c r="E181" t="s">
        <v>1251</v>
      </c>
      <c r="F181" t="s">
        <v>1252</v>
      </c>
      <c r="G181" t="s">
        <v>1253</v>
      </c>
      <c r="H181" t="s">
        <v>1253</v>
      </c>
      <c r="I181" t="s">
        <v>1254</v>
      </c>
      <c r="J181" t="s">
        <v>214</v>
      </c>
      <c r="K181" t="s">
        <v>407</v>
      </c>
      <c r="L181" t="s">
        <v>1255</v>
      </c>
      <c r="M181" t="s">
        <v>290</v>
      </c>
    </row>
    <row r="182" spans="1:13" x14ac:dyDescent="0.15">
      <c r="A182" t="s">
        <v>1256</v>
      </c>
      <c r="B182" t="s">
        <v>14</v>
      </c>
      <c r="C182" t="s">
        <v>118</v>
      </c>
      <c r="D182" t="s">
        <v>1257</v>
      </c>
      <c r="E182" t="s">
        <v>1258</v>
      </c>
      <c r="F182" t="s">
        <v>1259</v>
      </c>
      <c r="G182" t="s">
        <v>1260</v>
      </c>
      <c r="H182" t="s">
        <v>1260</v>
      </c>
      <c r="I182" t="s">
        <v>1261</v>
      </c>
      <c r="J182" t="s">
        <v>297</v>
      </c>
      <c r="K182" t="s">
        <v>1262</v>
      </c>
      <c r="L182" t="s">
        <v>1261</v>
      </c>
      <c r="M182" t="s">
        <v>80</v>
      </c>
    </row>
    <row r="183" spans="1:13" x14ac:dyDescent="0.15">
      <c r="A183" t="s">
        <v>1263</v>
      </c>
      <c r="B183" t="s">
        <v>14</v>
      </c>
      <c r="C183" t="s">
        <v>118</v>
      </c>
      <c r="D183" t="s">
        <v>1264</v>
      </c>
      <c r="E183" t="s">
        <v>1265</v>
      </c>
      <c r="F183" t="s">
        <v>1266</v>
      </c>
      <c r="G183" t="s">
        <v>1267</v>
      </c>
      <c r="H183" t="s">
        <v>1267</v>
      </c>
      <c r="I183" t="s">
        <v>1268</v>
      </c>
      <c r="J183" t="s">
        <v>352</v>
      </c>
      <c r="K183" t="s">
        <v>256</v>
      </c>
      <c r="L183" t="s">
        <v>1268</v>
      </c>
      <c r="M183" t="s">
        <v>361</v>
      </c>
    </row>
    <row r="184" spans="1:13" x14ac:dyDescent="0.15">
      <c r="A184" t="s">
        <v>1269</v>
      </c>
      <c r="B184" t="s">
        <v>14</v>
      </c>
      <c r="C184" t="s">
        <v>118</v>
      </c>
      <c r="D184" t="s">
        <v>1270</v>
      </c>
      <c r="E184" t="s">
        <v>1271</v>
      </c>
      <c r="F184" t="s">
        <v>1272</v>
      </c>
      <c r="G184" t="s">
        <v>1273</v>
      </c>
      <c r="H184" t="s">
        <v>1273</v>
      </c>
      <c r="I184" t="s">
        <v>1274</v>
      </c>
      <c r="J184" t="s">
        <v>352</v>
      </c>
      <c r="K184" t="s">
        <v>263</v>
      </c>
      <c r="L184" t="s">
        <v>1274</v>
      </c>
      <c r="M184" t="s">
        <v>290</v>
      </c>
    </row>
    <row r="185" spans="1:13" x14ac:dyDescent="0.15">
      <c r="A185" t="s">
        <v>1275</v>
      </c>
      <c r="B185" t="s">
        <v>14</v>
      </c>
      <c r="C185" t="s">
        <v>23</v>
      </c>
      <c r="D185" t="s">
        <v>1276</v>
      </c>
      <c r="E185" t="s">
        <v>1277</v>
      </c>
      <c r="F185" t="s">
        <v>1278</v>
      </c>
      <c r="G185" t="s">
        <v>1279</v>
      </c>
      <c r="H185" t="s">
        <v>1279</v>
      </c>
      <c r="I185" t="s">
        <v>1280</v>
      </c>
      <c r="J185" t="s">
        <v>124</v>
      </c>
      <c r="K185" t="s">
        <v>1281</v>
      </c>
      <c r="L185" t="s">
        <v>1282</v>
      </c>
      <c r="M185" t="s">
        <v>104</v>
      </c>
    </row>
    <row r="186" spans="1:13" x14ac:dyDescent="0.15">
      <c r="A186" t="s">
        <v>1283</v>
      </c>
      <c r="B186" t="s">
        <v>14</v>
      </c>
      <c r="C186" t="s">
        <v>118</v>
      </c>
      <c r="D186" t="s">
        <v>1284</v>
      </c>
      <c r="E186" t="s">
        <v>1285</v>
      </c>
      <c r="F186" t="s">
        <v>1286</v>
      </c>
      <c r="G186" t="s">
        <v>1287</v>
      </c>
      <c r="H186" t="s">
        <v>1287</v>
      </c>
      <c r="I186" t="s">
        <v>1288</v>
      </c>
      <c r="J186" t="s">
        <v>206</v>
      </c>
      <c r="K186" t="s">
        <v>339</v>
      </c>
      <c r="L186" t="s">
        <v>1288</v>
      </c>
      <c r="M186" t="s">
        <v>1015</v>
      </c>
    </row>
    <row r="187" spans="1:13" x14ac:dyDescent="0.15">
      <c r="A187" t="s">
        <v>1289</v>
      </c>
      <c r="B187" t="s">
        <v>14</v>
      </c>
      <c r="C187" t="s">
        <v>118</v>
      </c>
      <c r="D187" t="s">
        <v>1290</v>
      </c>
      <c r="E187" t="s">
        <v>1291</v>
      </c>
      <c r="F187" t="s">
        <v>1292</v>
      </c>
      <c r="G187" t="s">
        <v>1293</v>
      </c>
      <c r="H187" t="s">
        <v>1293</v>
      </c>
      <c r="I187" t="s">
        <v>1294</v>
      </c>
      <c r="J187" t="s">
        <v>124</v>
      </c>
      <c r="K187" t="s">
        <v>1295</v>
      </c>
      <c r="L187" t="s">
        <v>1294</v>
      </c>
      <c r="M187" t="s">
        <v>174</v>
      </c>
    </row>
    <row r="188" spans="1:13" x14ac:dyDescent="0.15">
      <c r="A188" t="s">
        <v>1296</v>
      </c>
      <c r="B188" t="s">
        <v>14</v>
      </c>
      <c r="C188" t="s">
        <v>118</v>
      </c>
      <c r="D188" t="s">
        <v>1297</v>
      </c>
      <c r="E188" t="s">
        <v>1298</v>
      </c>
      <c r="F188" t="s">
        <v>1299</v>
      </c>
      <c r="G188" t="s">
        <v>1300</v>
      </c>
      <c r="H188" t="s">
        <v>1300</v>
      </c>
      <c r="I188" t="s">
        <v>1301</v>
      </c>
      <c r="J188" t="s">
        <v>255</v>
      </c>
      <c r="K188" t="s">
        <v>811</v>
      </c>
      <c r="L188" t="s">
        <v>1301</v>
      </c>
      <c r="M188" t="s">
        <v>104</v>
      </c>
    </row>
    <row r="189" spans="1:13" x14ac:dyDescent="0.15">
      <c r="A189" t="s">
        <v>1302</v>
      </c>
      <c r="B189" t="s">
        <v>14</v>
      </c>
      <c r="C189" t="s">
        <v>23</v>
      </c>
      <c r="D189" t="s">
        <v>1303</v>
      </c>
      <c r="E189" t="s">
        <v>1304</v>
      </c>
      <c r="F189" t="s">
        <v>1305</v>
      </c>
      <c r="G189" t="s">
        <v>1306</v>
      </c>
      <c r="H189" t="s">
        <v>1306</v>
      </c>
      <c r="I189" t="s">
        <v>1307</v>
      </c>
      <c r="J189" t="s">
        <v>1308</v>
      </c>
      <c r="K189" t="s">
        <v>980</v>
      </c>
      <c r="L189" t="s">
        <v>1307</v>
      </c>
      <c r="M189" t="s">
        <v>41</v>
      </c>
    </row>
    <row r="190" spans="1:13" x14ac:dyDescent="0.15">
      <c r="A190" t="s">
        <v>1309</v>
      </c>
      <c r="B190" t="s">
        <v>14</v>
      </c>
      <c r="C190" t="s">
        <v>118</v>
      </c>
      <c r="D190" t="s">
        <v>1310</v>
      </c>
      <c r="E190" t="s">
        <v>1311</v>
      </c>
      <c r="F190" t="s">
        <v>1312</v>
      </c>
      <c r="G190" t="s">
        <v>1313</v>
      </c>
      <c r="H190" t="s">
        <v>1313</v>
      </c>
      <c r="I190" t="s">
        <v>1314</v>
      </c>
      <c r="J190" t="s">
        <v>255</v>
      </c>
      <c r="K190" t="s">
        <v>256</v>
      </c>
      <c r="L190" t="s">
        <v>1314</v>
      </c>
      <c r="M190" t="s">
        <v>248</v>
      </c>
    </row>
    <row r="191" spans="1:13" x14ac:dyDescent="0.15">
      <c r="A191" t="s">
        <v>1315</v>
      </c>
      <c r="B191" t="s">
        <v>14</v>
      </c>
      <c r="C191" t="s">
        <v>118</v>
      </c>
      <c r="D191" t="s">
        <v>1316</v>
      </c>
      <c r="E191" t="s">
        <v>1317</v>
      </c>
      <c r="F191" t="s">
        <v>1318</v>
      </c>
      <c r="G191" t="s">
        <v>1319</v>
      </c>
      <c r="H191" t="s">
        <v>1319</v>
      </c>
      <c r="I191" t="s">
        <v>1320</v>
      </c>
      <c r="J191" t="s">
        <v>481</v>
      </c>
      <c r="K191" t="s">
        <v>1321</v>
      </c>
      <c r="L191" t="s">
        <v>1320</v>
      </c>
      <c r="M191" t="s">
        <v>279</v>
      </c>
    </row>
    <row r="192" spans="1:13" x14ac:dyDescent="0.15">
      <c r="A192" t="s">
        <v>1322</v>
      </c>
      <c r="B192" t="s">
        <v>14</v>
      </c>
      <c r="C192" t="s">
        <v>118</v>
      </c>
      <c r="D192" t="s">
        <v>1316</v>
      </c>
      <c r="E192" t="s">
        <v>1317</v>
      </c>
      <c r="F192" t="s">
        <v>1318</v>
      </c>
      <c r="G192" t="s">
        <v>1319</v>
      </c>
      <c r="H192" t="s">
        <v>1319</v>
      </c>
      <c r="I192" t="s">
        <v>1320</v>
      </c>
      <c r="J192" t="s">
        <v>481</v>
      </c>
      <c r="K192" t="s">
        <v>1321</v>
      </c>
      <c r="L192" t="s">
        <v>1320</v>
      </c>
      <c r="M192" t="s">
        <v>279</v>
      </c>
    </row>
    <row r="193" spans="1:13" x14ac:dyDescent="0.15">
      <c r="A193" t="s">
        <v>1323</v>
      </c>
      <c r="B193" t="s">
        <v>14</v>
      </c>
      <c r="C193" t="s">
        <v>15</v>
      </c>
      <c r="D193" t="s">
        <v>1324</v>
      </c>
      <c r="E193" t="s">
        <v>1325</v>
      </c>
      <c r="F193" t="s">
        <v>1326</v>
      </c>
      <c r="H193" t="s">
        <v>145</v>
      </c>
      <c r="J193" t="s">
        <v>172</v>
      </c>
      <c r="M193" t="s">
        <v>139</v>
      </c>
    </row>
    <row r="194" spans="1:13" x14ac:dyDescent="0.15">
      <c r="A194" t="s">
        <v>1327</v>
      </c>
      <c r="B194" t="s">
        <v>14</v>
      </c>
      <c r="C194" t="s">
        <v>23</v>
      </c>
      <c r="D194" t="s">
        <v>1328</v>
      </c>
      <c r="E194" t="s">
        <v>1329</v>
      </c>
      <c r="F194" t="s">
        <v>1330</v>
      </c>
      <c r="G194" t="s">
        <v>1331</v>
      </c>
      <c r="H194" t="s">
        <v>1331</v>
      </c>
      <c r="I194" t="s">
        <v>1332</v>
      </c>
      <c r="J194" t="s">
        <v>481</v>
      </c>
      <c r="K194" t="s">
        <v>1333</v>
      </c>
      <c r="L194" t="s">
        <v>1332</v>
      </c>
      <c r="M194" t="s">
        <v>104</v>
      </c>
    </row>
    <row r="195" spans="1:13" x14ac:dyDescent="0.15">
      <c r="A195" t="s">
        <v>1334</v>
      </c>
      <c r="B195" t="s">
        <v>14</v>
      </c>
      <c r="C195" t="s">
        <v>23</v>
      </c>
      <c r="D195" t="s">
        <v>1335</v>
      </c>
      <c r="E195" t="s">
        <v>1336</v>
      </c>
      <c r="F195" t="s">
        <v>1337</v>
      </c>
      <c r="G195" t="s">
        <v>1338</v>
      </c>
      <c r="H195" t="s">
        <v>1338</v>
      </c>
      <c r="I195" t="s">
        <v>1339</v>
      </c>
      <c r="J195" t="s">
        <v>214</v>
      </c>
      <c r="K195" t="s">
        <v>694</v>
      </c>
      <c r="L195" t="s">
        <v>1339</v>
      </c>
      <c r="M195" t="s">
        <v>41</v>
      </c>
    </row>
    <row r="196" spans="1:13" x14ac:dyDescent="0.15">
      <c r="A196" t="s">
        <v>1340</v>
      </c>
      <c r="B196" t="s">
        <v>14</v>
      </c>
      <c r="C196" t="s">
        <v>23</v>
      </c>
      <c r="D196" t="s">
        <v>1341</v>
      </c>
      <c r="E196" t="s">
        <v>1342</v>
      </c>
      <c r="F196" t="s">
        <v>1343</v>
      </c>
      <c r="G196" t="s">
        <v>1344</v>
      </c>
      <c r="H196" t="s">
        <v>1344</v>
      </c>
      <c r="I196" t="s">
        <v>1345</v>
      </c>
      <c r="J196" t="s">
        <v>297</v>
      </c>
      <c r="K196" t="s">
        <v>506</v>
      </c>
      <c r="L196" t="s">
        <v>1345</v>
      </c>
      <c r="M196" t="s">
        <v>80</v>
      </c>
    </row>
    <row r="197" spans="1:13" x14ac:dyDescent="0.15">
      <c r="A197" t="s">
        <v>1346</v>
      </c>
      <c r="B197" t="s">
        <v>14</v>
      </c>
      <c r="C197" t="s">
        <v>118</v>
      </c>
      <c r="D197" t="s">
        <v>1347</v>
      </c>
      <c r="E197" t="s">
        <v>1348</v>
      </c>
      <c r="F197" t="s">
        <v>1349</v>
      </c>
      <c r="G197" t="s">
        <v>1350</v>
      </c>
      <c r="H197" t="s">
        <v>1350</v>
      </c>
      <c r="I197" t="s">
        <v>1351</v>
      </c>
      <c r="J197" t="s">
        <v>415</v>
      </c>
      <c r="K197" t="s">
        <v>1352</v>
      </c>
      <c r="L197" t="s">
        <v>1353</v>
      </c>
      <c r="M197" t="s">
        <v>361</v>
      </c>
    </row>
    <row r="198" spans="1:13" x14ac:dyDescent="0.15">
      <c r="A198" t="s">
        <v>1354</v>
      </c>
      <c r="B198" t="s">
        <v>14</v>
      </c>
      <c r="C198" t="s">
        <v>118</v>
      </c>
      <c r="D198" t="s">
        <v>1355</v>
      </c>
      <c r="E198" t="s">
        <v>1356</v>
      </c>
      <c r="F198" t="s">
        <v>1357</v>
      </c>
      <c r="G198" t="s">
        <v>1358</v>
      </c>
      <c r="H198" t="s">
        <v>1358</v>
      </c>
      <c r="I198" t="s">
        <v>1359</v>
      </c>
      <c r="J198" t="s">
        <v>415</v>
      </c>
      <c r="K198" t="s">
        <v>709</v>
      </c>
      <c r="L198" t="s">
        <v>1255</v>
      </c>
      <c r="M198" t="s">
        <v>361</v>
      </c>
    </row>
    <row r="199" spans="1:13" x14ac:dyDescent="0.15">
      <c r="A199" t="s">
        <v>1360</v>
      </c>
      <c r="B199" t="s">
        <v>14</v>
      </c>
      <c r="C199" t="s">
        <v>118</v>
      </c>
      <c r="D199" t="s">
        <v>1361</v>
      </c>
      <c r="E199" t="s">
        <v>1362</v>
      </c>
      <c r="F199" t="s">
        <v>1363</v>
      </c>
      <c r="G199" t="s">
        <v>1364</v>
      </c>
      <c r="H199" t="s">
        <v>1364</v>
      </c>
      <c r="I199" t="s">
        <v>1365</v>
      </c>
      <c r="J199" t="s">
        <v>415</v>
      </c>
      <c r="K199" t="s">
        <v>1366</v>
      </c>
      <c r="L199" t="s">
        <v>1367</v>
      </c>
      <c r="M199" t="s">
        <v>361</v>
      </c>
    </row>
    <row r="200" spans="1:13" x14ac:dyDescent="0.15">
      <c r="A200" t="s">
        <v>1368</v>
      </c>
      <c r="B200" t="s">
        <v>14</v>
      </c>
      <c r="C200" t="s">
        <v>118</v>
      </c>
      <c r="D200" t="s">
        <v>1369</v>
      </c>
      <c r="E200" t="s">
        <v>1370</v>
      </c>
      <c r="F200" t="s">
        <v>1371</v>
      </c>
      <c r="G200" t="s">
        <v>943</v>
      </c>
      <c r="H200" t="s">
        <v>943</v>
      </c>
      <c r="I200" t="s">
        <v>944</v>
      </c>
      <c r="J200" t="s">
        <v>124</v>
      </c>
      <c r="K200" t="s">
        <v>173</v>
      </c>
      <c r="L200" t="s">
        <v>944</v>
      </c>
      <c r="M200" t="s">
        <v>31</v>
      </c>
    </row>
    <row r="201" spans="1:13" x14ac:dyDescent="0.15">
      <c r="A201" t="s">
        <v>1372</v>
      </c>
      <c r="B201" t="s">
        <v>14</v>
      </c>
      <c r="C201" t="s">
        <v>118</v>
      </c>
      <c r="D201" t="s">
        <v>1373</v>
      </c>
      <c r="E201" t="s">
        <v>1374</v>
      </c>
      <c r="F201" t="s">
        <v>1375</v>
      </c>
      <c r="G201" t="s">
        <v>779</v>
      </c>
      <c r="H201" t="s">
        <v>779</v>
      </c>
      <c r="I201" t="s">
        <v>1376</v>
      </c>
      <c r="J201" t="s">
        <v>124</v>
      </c>
      <c r="K201" t="s">
        <v>1377</v>
      </c>
      <c r="L201" t="s">
        <v>1376</v>
      </c>
      <c r="M201" t="s">
        <v>1132</v>
      </c>
    </row>
    <row r="202" spans="1:13" x14ac:dyDescent="0.15">
      <c r="A202" t="s">
        <v>1378</v>
      </c>
      <c r="B202" t="s">
        <v>14</v>
      </c>
      <c r="C202" t="s">
        <v>118</v>
      </c>
      <c r="D202" t="s">
        <v>1379</v>
      </c>
      <c r="E202" t="s">
        <v>1380</v>
      </c>
      <c r="F202" t="s">
        <v>1381</v>
      </c>
      <c r="G202" t="s">
        <v>1382</v>
      </c>
      <c r="H202" t="s">
        <v>1382</v>
      </c>
      <c r="I202" t="s">
        <v>1383</v>
      </c>
      <c r="J202" t="s">
        <v>124</v>
      </c>
      <c r="K202" t="s">
        <v>1384</v>
      </c>
      <c r="L202" t="s">
        <v>1383</v>
      </c>
      <c r="M202" t="s">
        <v>1385</v>
      </c>
    </row>
    <row r="203" spans="1:13" x14ac:dyDescent="0.15">
      <c r="A203" t="s">
        <v>1386</v>
      </c>
      <c r="B203" t="s">
        <v>14</v>
      </c>
      <c r="C203" t="s">
        <v>118</v>
      </c>
      <c r="D203" t="s">
        <v>1387</v>
      </c>
      <c r="E203" t="s">
        <v>1388</v>
      </c>
      <c r="F203" t="s">
        <v>1389</v>
      </c>
      <c r="G203" t="s">
        <v>1390</v>
      </c>
      <c r="H203" t="s">
        <v>1390</v>
      </c>
      <c r="I203" t="s">
        <v>1391</v>
      </c>
      <c r="J203" t="s">
        <v>124</v>
      </c>
      <c r="K203" t="s">
        <v>239</v>
      </c>
      <c r="L203" t="s">
        <v>1391</v>
      </c>
      <c r="M203" t="s">
        <v>1392</v>
      </c>
    </row>
    <row r="204" spans="1:13" x14ac:dyDescent="0.15">
      <c r="A204" t="s">
        <v>1393</v>
      </c>
      <c r="B204" t="s">
        <v>14</v>
      </c>
      <c r="C204" t="s">
        <v>118</v>
      </c>
      <c r="D204" t="s">
        <v>1394</v>
      </c>
      <c r="E204" t="s">
        <v>1395</v>
      </c>
      <c r="F204" t="s">
        <v>1396</v>
      </c>
      <c r="G204" t="s">
        <v>1397</v>
      </c>
      <c r="H204" t="s">
        <v>1397</v>
      </c>
      <c r="I204" t="s">
        <v>1398</v>
      </c>
      <c r="J204" t="s">
        <v>124</v>
      </c>
      <c r="K204" t="s">
        <v>601</v>
      </c>
      <c r="L204" t="s">
        <v>1398</v>
      </c>
      <c r="M204" t="s">
        <v>1392</v>
      </c>
    </row>
    <row r="205" spans="1:13" x14ac:dyDescent="0.15">
      <c r="A205" t="s">
        <v>1399</v>
      </c>
      <c r="B205" t="s">
        <v>14</v>
      </c>
      <c r="C205" t="s">
        <v>118</v>
      </c>
      <c r="D205" t="s">
        <v>1400</v>
      </c>
      <c r="E205" t="s">
        <v>1401</v>
      </c>
      <c r="F205" t="s">
        <v>1402</v>
      </c>
      <c r="G205" t="s">
        <v>1403</v>
      </c>
      <c r="H205" t="s">
        <v>1403</v>
      </c>
      <c r="I205" t="s">
        <v>1404</v>
      </c>
      <c r="J205" t="s">
        <v>230</v>
      </c>
      <c r="K205" t="s">
        <v>1045</v>
      </c>
      <c r="L205" t="s">
        <v>1404</v>
      </c>
      <c r="M205" t="s">
        <v>31</v>
      </c>
    </row>
    <row r="206" spans="1:13" x14ac:dyDescent="0.15">
      <c r="A206" t="s">
        <v>1405</v>
      </c>
      <c r="B206" t="s">
        <v>14</v>
      </c>
      <c r="C206" t="s">
        <v>118</v>
      </c>
      <c r="D206" t="s">
        <v>1406</v>
      </c>
      <c r="E206" t="s">
        <v>1407</v>
      </c>
      <c r="F206" t="s">
        <v>1408</v>
      </c>
      <c r="G206" t="s">
        <v>1409</v>
      </c>
      <c r="H206" t="s">
        <v>1409</v>
      </c>
      <c r="I206" t="s">
        <v>1410</v>
      </c>
      <c r="J206" t="s">
        <v>124</v>
      </c>
      <c r="K206" t="s">
        <v>786</v>
      </c>
      <c r="L206" t="s">
        <v>1410</v>
      </c>
      <c r="M206" t="s">
        <v>1411</v>
      </c>
    </row>
    <row r="207" spans="1:13" x14ac:dyDescent="0.15">
      <c r="A207" t="s">
        <v>1412</v>
      </c>
      <c r="B207" t="s">
        <v>14</v>
      </c>
      <c r="C207" t="s">
        <v>118</v>
      </c>
      <c r="D207" t="s">
        <v>1413</v>
      </c>
      <c r="E207" t="s">
        <v>1414</v>
      </c>
      <c r="F207" t="s">
        <v>1415</v>
      </c>
      <c r="G207" t="s">
        <v>1260</v>
      </c>
      <c r="H207" t="s">
        <v>1260</v>
      </c>
      <c r="I207" t="s">
        <v>1416</v>
      </c>
      <c r="J207" t="s">
        <v>124</v>
      </c>
      <c r="K207" t="s">
        <v>506</v>
      </c>
      <c r="L207" t="s">
        <v>1416</v>
      </c>
      <c r="M207" t="s">
        <v>1392</v>
      </c>
    </row>
    <row r="208" spans="1:13" x14ac:dyDescent="0.15">
      <c r="A208" t="s">
        <v>1417</v>
      </c>
      <c r="B208" t="s">
        <v>14</v>
      </c>
      <c r="C208" t="s">
        <v>118</v>
      </c>
      <c r="D208" t="s">
        <v>1418</v>
      </c>
      <c r="E208" t="s">
        <v>1419</v>
      </c>
      <c r="F208" t="s">
        <v>1420</v>
      </c>
      <c r="G208" t="s">
        <v>1421</v>
      </c>
      <c r="H208" t="s">
        <v>1421</v>
      </c>
      <c r="I208" t="s">
        <v>1422</v>
      </c>
      <c r="J208" t="s">
        <v>1423</v>
      </c>
      <c r="K208" t="s">
        <v>1424</v>
      </c>
      <c r="L208" t="s">
        <v>1422</v>
      </c>
      <c r="M208" t="s">
        <v>165</v>
      </c>
    </row>
    <row r="209" spans="1:13" x14ac:dyDescent="0.15">
      <c r="A209" t="s">
        <v>1425</v>
      </c>
      <c r="B209" t="s">
        <v>14</v>
      </c>
      <c r="C209" t="s">
        <v>118</v>
      </c>
      <c r="D209" t="s">
        <v>1426</v>
      </c>
      <c r="E209" t="s">
        <v>1427</v>
      </c>
      <c r="F209" t="s">
        <v>1428</v>
      </c>
      <c r="G209" t="s">
        <v>1429</v>
      </c>
      <c r="H209" t="s">
        <v>1429</v>
      </c>
      <c r="I209" t="s">
        <v>1430</v>
      </c>
      <c r="J209" t="s">
        <v>230</v>
      </c>
      <c r="K209" t="s">
        <v>256</v>
      </c>
      <c r="L209" t="s">
        <v>1430</v>
      </c>
      <c r="M209" t="s">
        <v>80</v>
      </c>
    </row>
    <row r="210" spans="1:13" x14ac:dyDescent="0.15">
      <c r="A210" t="s">
        <v>1431</v>
      </c>
      <c r="B210" t="s">
        <v>14</v>
      </c>
      <c r="C210" t="s">
        <v>118</v>
      </c>
      <c r="D210" t="s">
        <v>1432</v>
      </c>
      <c r="E210" t="s">
        <v>1433</v>
      </c>
      <c r="F210" t="s">
        <v>1434</v>
      </c>
      <c r="G210" t="s">
        <v>1435</v>
      </c>
      <c r="H210" t="s">
        <v>1435</v>
      </c>
      <c r="I210" t="s">
        <v>1436</v>
      </c>
      <c r="J210" t="s">
        <v>1194</v>
      </c>
      <c r="K210" t="s">
        <v>1437</v>
      </c>
      <c r="L210" t="s">
        <v>1436</v>
      </c>
      <c r="M210" t="s">
        <v>126</v>
      </c>
    </row>
    <row r="211" spans="1:13" x14ac:dyDescent="0.15">
      <c r="A211" t="s">
        <v>1438</v>
      </c>
      <c r="B211" t="s">
        <v>14</v>
      </c>
      <c r="C211" t="s">
        <v>118</v>
      </c>
      <c r="D211" t="s">
        <v>1439</v>
      </c>
      <c r="E211" t="s">
        <v>1440</v>
      </c>
      <c r="F211" t="s">
        <v>1441</v>
      </c>
      <c r="G211" t="s">
        <v>1442</v>
      </c>
      <c r="H211" t="s">
        <v>1442</v>
      </c>
      <c r="I211" t="s">
        <v>1443</v>
      </c>
      <c r="J211" t="s">
        <v>1194</v>
      </c>
      <c r="K211" t="s">
        <v>567</v>
      </c>
      <c r="L211" t="s">
        <v>1443</v>
      </c>
      <c r="M211" t="s">
        <v>192</v>
      </c>
    </row>
    <row r="212" spans="1:13" x14ac:dyDescent="0.15">
      <c r="A212" t="s">
        <v>1444</v>
      </c>
      <c r="B212" t="s">
        <v>14</v>
      </c>
      <c r="C212" t="s">
        <v>118</v>
      </c>
      <c r="D212" t="s">
        <v>1445</v>
      </c>
      <c r="E212" t="s">
        <v>1446</v>
      </c>
      <c r="F212" t="s">
        <v>1447</v>
      </c>
      <c r="G212" t="s">
        <v>1448</v>
      </c>
      <c r="H212" t="s">
        <v>1448</v>
      </c>
      <c r="I212" t="s">
        <v>1449</v>
      </c>
      <c r="J212" t="s">
        <v>1194</v>
      </c>
      <c r="K212" t="s">
        <v>1450</v>
      </c>
      <c r="L212" t="s">
        <v>1449</v>
      </c>
      <c r="M212" t="s">
        <v>192</v>
      </c>
    </row>
    <row r="213" spans="1:13" x14ac:dyDescent="0.15">
      <c r="A213" t="s">
        <v>1451</v>
      </c>
      <c r="B213" t="s">
        <v>14</v>
      </c>
      <c r="C213" t="s">
        <v>118</v>
      </c>
      <c r="D213" t="s">
        <v>1452</v>
      </c>
      <c r="E213" t="s">
        <v>1453</v>
      </c>
      <c r="F213" t="s">
        <v>1454</v>
      </c>
      <c r="G213" t="s">
        <v>1455</v>
      </c>
      <c r="H213" t="s">
        <v>1455</v>
      </c>
      <c r="I213" t="s">
        <v>1456</v>
      </c>
      <c r="J213" t="s">
        <v>1457</v>
      </c>
      <c r="K213" t="s">
        <v>1458</v>
      </c>
      <c r="L213" t="s">
        <v>1459</v>
      </c>
      <c r="M213" t="s">
        <v>183</v>
      </c>
    </row>
    <row r="214" spans="1:13" x14ac:dyDescent="0.15">
      <c r="A214" t="s">
        <v>1460</v>
      </c>
      <c r="B214" t="s">
        <v>14</v>
      </c>
      <c r="C214" t="s">
        <v>118</v>
      </c>
      <c r="D214" t="s">
        <v>1461</v>
      </c>
      <c r="E214" t="s">
        <v>1462</v>
      </c>
      <c r="F214" t="s">
        <v>1463</v>
      </c>
      <c r="G214" t="s">
        <v>1464</v>
      </c>
      <c r="H214" t="s">
        <v>1464</v>
      </c>
      <c r="I214" t="s">
        <v>1465</v>
      </c>
      <c r="J214" t="s">
        <v>214</v>
      </c>
      <c r="K214" t="s">
        <v>256</v>
      </c>
      <c r="L214" t="s">
        <v>1465</v>
      </c>
      <c r="M214" t="s">
        <v>126</v>
      </c>
    </row>
    <row r="215" spans="1:13" x14ac:dyDescent="0.15">
      <c r="A215" t="s">
        <v>1466</v>
      </c>
      <c r="B215" t="s">
        <v>14</v>
      </c>
      <c r="C215" t="s">
        <v>23</v>
      </c>
      <c r="D215" t="s">
        <v>1467</v>
      </c>
      <c r="E215" t="s">
        <v>1468</v>
      </c>
      <c r="F215" t="s">
        <v>1469</v>
      </c>
      <c r="G215" t="s">
        <v>1470</v>
      </c>
      <c r="H215" t="s">
        <v>1470</v>
      </c>
      <c r="I215" t="s">
        <v>1471</v>
      </c>
      <c r="J215" t="s">
        <v>415</v>
      </c>
      <c r="K215" t="s">
        <v>709</v>
      </c>
      <c r="L215" t="s">
        <v>1472</v>
      </c>
      <c r="M215" t="s">
        <v>80</v>
      </c>
    </row>
    <row r="216" spans="1:13" x14ac:dyDescent="0.15">
      <c r="A216" t="s">
        <v>1473</v>
      </c>
      <c r="B216" t="s">
        <v>14</v>
      </c>
      <c r="C216" t="s">
        <v>145</v>
      </c>
      <c r="D216" t="s">
        <v>1474</v>
      </c>
      <c r="E216" t="s">
        <v>1475</v>
      </c>
      <c r="F216" t="s">
        <v>1476</v>
      </c>
      <c r="H216" t="s">
        <v>1477</v>
      </c>
      <c r="I216" t="s">
        <v>1478</v>
      </c>
      <c r="J216" t="s">
        <v>270</v>
      </c>
      <c r="M216" t="s">
        <v>126</v>
      </c>
    </row>
    <row r="217" spans="1:13" x14ac:dyDescent="0.15">
      <c r="A217" t="s">
        <v>1479</v>
      </c>
      <c r="B217" t="s">
        <v>14</v>
      </c>
      <c r="C217" t="s">
        <v>118</v>
      </c>
      <c r="D217" t="s">
        <v>1480</v>
      </c>
      <c r="E217" t="s">
        <v>1481</v>
      </c>
      <c r="F217" t="s">
        <v>1482</v>
      </c>
      <c r="G217" t="s">
        <v>1483</v>
      </c>
      <c r="H217" t="s">
        <v>1483</v>
      </c>
      <c r="I217" t="s">
        <v>1484</v>
      </c>
      <c r="J217" t="s">
        <v>138</v>
      </c>
      <c r="K217" t="s">
        <v>1485</v>
      </c>
      <c r="L217" t="s">
        <v>1484</v>
      </c>
      <c r="M217" t="s">
        <v>1132</v>
      </c>
    </row>
    <row r="218" spans="1:13" x14ac:dyDescent="0.15">
      <c r="A218" t="s">
        <v>1486</v>
      </c>
      <c r="B218" t="s">
        <v>14</v>
      </c>
      <c r="C218" t="s">
        <v>118</v>
      </c>
      <c r="D218" t="s">
        <v>1487</v>
      </c>
      <c r="E218" t="s">
        <v>1488</v>
      </c>
      <c r="F218" t="s">
        <v>1489</v>
      </c>
      <c r="G218" t="s">
        <v>1490</v>
      </c>
      <c r="H218" t="s">
        <v>1490</v>
      </c>
      <c r="I218" t="s">
        <v>1491</v>
      </c>
      <c r="J218" t="s">
        <v>138</v>
      </c>
      <c r="K218" t="s">
        <v>360</v>
      </c>
      <c r="L218" t="s">
        <v>1491</v>
      </c>
      <c r="M218" t="s">
        <v>1411</v>
      </c>
    </row>
    <row r="219" spans="1:13" x14ac:dyDescent="0.15">
      <c r="A219" t="s">
        <v>1492</v>
      </c>
      <c r="B219" t="s">
        <v>14</v>
      </c>
      <c r="C219" t="s">
        <v>118</v>
      </c>
      <c r="D219" t="s">
        <v>1493</v>
      </c>
      <c r="E219" t="s">
        <v>1494</v>
      </c>
      <c r="F219" t="s">
        <v>1495</v>
      </c>
      <c r="G219" t="s">
        <v>1496</v>
      </c>
      <c r="H219" t="s">
        <v>1496</v>
      </c>
      <c r="I219" t="s">
        <v>1497</v>
      </c>
      <c r="J219" t="s">
        <v>138</v>
      </c>
      <c r="K219" t="s">
        <v>173</v>
      </c>
      <c r="L219" t="s">
        <v>1497</v>
      </c>
      <c r="M219" t="s">
        <v>1498</v>
      </c>
    </row>
    <row r="220" spans="1:13" x14ac:dyDescent="0.15">
      <c r="A220" t="s">
        <v>1499</v>
      </c>
      <c r="B220" t="s">
        <v>14</v>
      </c>
      <c r="C220" t="s">
        <v>194</v>
      </c>
      <c r="D220" t="s">
        <v>1500</v>
      </c>
      <c r="E220" t="s">
        <v>1501</v>
      </c>
      <c r="F220" t="s">
        <v>1502</v>
      </c>
      <c r="G220" t="s">
        <v>1503</v>
      </c>
      <c r="H220" t="s">
        <v>1504</v>
      </c>
      <c r="J220" t="s">
        <v>206</v>
      </c>
      <c r="M220" t="s">
        <v>139</v>
      </c>
    </row>
    <row r="221" spans="1:13" x14ac:dyDescent="0.15">
      <c r="A221" t="s">
        <v>1505</v>
      </c>
      <c r="B221" t="s">
        <v>14</v>
      </c>
      <c r="C221" t="s">
        <v>118</v>
      </c>
      <c r="D221" t="s">
        <v>1506</v>
      </c>
      <c r="E221" t="s">
        <v>1507</v>
      </c>
      <c r="F221" t="s">
        <v>1502</v>
      </c>
      <c r="G221" t="s">
        <v>1508</v>
      </c>
      <c r="H221" t="s">
        <v>1508</v>
      </c>
      <c r="I221" t="s">
        <v>1509</v>
      </c>
      <c r="J221" t="s">
        <v>138</v>
      </c>
      <c r="K221" t="s">
        <v>231</v>
      </c>
      <c r="L221" t="s">
        <v>1509</v>
      </c>
      <c r="M221" t="s">
        <v>1132</v>
      </c>
    </row>
    <row r="222" spans="1:13" x14ac:dyDescent="0.15">
      <c r="A222" t="s">
        <v>1510</v>
      </c>
      <c r="B222" t="s">
        <v>14</v>
      </c>
      <c r="C222" t="s">
        <v>23</v>
      </c>
      <c r="D222" t="s">
        <v>1511</v>
      </c>
      <c r="E222" t="s">
        <v>1512</v>
      </c>
      <c r="F222" t="s">
        <v>1513</v>
      </c>
      <c r="G222" t="s">
        <v>1514</v>
      </c>
      <c r="H222" t="s">
        <v>1514</v>
      </c>
      <c r="I222" t="s">
        <v>1515</v>
      </c>
      <c r="J222" t="s">
        <v>1194</v>
      </c>
      <c r="K222" t="s">
        <v>853</v>
      </c>
      <c r="L222" t="s">
        <v>1515</v>
      </c>
      <c r="M222" t="s">
        <v>41</v>
      </c>
    </row>
    <row r="223" spans="1:13" x14ac:dyDescent="0.15">
      <c r="A223" t="s">
        <v>1516</v>
      </c>
      <c r="B223" t="s">
        <v>14</v>
      </c>
      <c r="C223" t="s">
        <v>15</v>
      </c>
      <c r="D223" t="s">
        <v>128</v>
      </c>
      <c r="E223" t="s">
        <v>1517</v>
      </c>
      <c r="F223" t="s">
        <v>1518</v>
      </c>
      <c r="G223" t="s">
        <v>1519</v>
      </c>
      <c r="H223" t="s">
        <v>1519</v>
      </c>
      <c r="J223" t="s">
        <v>132</v>
      </c>
      <c r="M223" t="s">
        <v>21</v>
      </c>
    </row>
    <row r="224" spans="1:13" x14ac:dyDescent="0.15">
      <c r="A224" t="s">
        <v>1520</v>
      </c>
      <c r="B224" t="s">
        <v>14</v>
      </c>
      <c r="C224" t="s">
        <v>118</v>
      </c>
      <c r="D224" t="s">
        <v>1521</v>
      </c>
      <c r="E224" t="s">
        <v>1522</v>
      </c>
      <c r="F224" t="s">
        <v>1523</v>
      </c>
      <c r="G224" t="s">
        <v>1524</v>
      </c>
      <c r="H224" t="s">
        <v>1524</v>
      </c>
      <c r="I224" t="s">
        <v>1525</v>
      </c>
      <c r="J224" t="s">
        <v>626</v>
      </c>
      <c r="K224" t="s">
        <v>1526</v>
      </c>
      <c r="L224" t="s">
        <v>1525</v>
      </c>
      <c r="M224" t="s">
        <v>80</v>
      </c>
    </row>
    <row r="225" spans="1:13" x14ac:dyDescent="0.15">
      <c r="A225" t="s">
        <v>1527</v>
      </c>
      <c r="B225" t="s">
        <v>14</v>
      </c>
      <c r="C225" t="s">
        <v>118</v>
      </c>
      <c r="D225" t="s">
        <v>1528</v>
      </c>
      <c r="E225" t="s">
        <v>1529</v>
      </c>
      <c r="F225" t="s">
        <v>1530</v>
      </c>
      <c r="G225" t="s">
        <v>1531</v>
      </c>
      <c r="H225" t="s">
        <v>1531</v>
      </c>
      <c r="I225" t="s">
        <v>1532</v>
      </c>
      <c r="J225" t="s">
        <v>1533</v>
      </c>
      <c r="K225" t="s">
        <v>431</v>
      </c>
      <c r="L225" t="s">
        <v>1534</v>
      </c>
      <c r="M225" t="s">
        <v>139</v>
      </c>
    </row>
    <row r="226" spans="1:13" x14ac:dyDescent="0.15">
      <c r="A226" t="s">
        <v>1535</v>
      </c>
      <c r="B226" t="s">
        <v>14</v>
      </c>
      <c r="C226" t="s">
        <v>118</v>
      </c>
      <c r="D226" t="s">
        <v>1536</v>
      </c>
      <c r="E226" t="s">
        <v>1537</v>
      </c>
      <c r="F226" t="s">
        <v>1538</v>
      </c>
      <c r="G226" t="s">
        <v>1539</v>
      </c>
      <c r="H226" t="s">
        <v>1539</v>
      </c>
      <c r="I226" t="s">
        <v>1540</v>
      </c>
      <c r="J226" t="s">
        <v>352</v>
      </c>
      <c r="K226" t="s">
        <v>1541</v>
      </c>
      <c r="L226" t="s">
        <v>1540</v>
      </c>
      <c r="M226" t="s">
        <v>21</v>
      </c>
    </row>
    <row r="227" spans="1:13" x14ac:dyDescent="0.15">
      <c r="A227" t="s">
        <v>1542</v>
      </c>
      <c r="B227" t="s">
        <v>14</v>
      </c>
      <c r="C227" t="s">
        <v>15</v>
      </c>
      <c r="D227" t="s">
        <v>1543</v>
      </c>
      <c r="E227" t="s">
        <v>1544</v>
      </c>
      <c r="F227" t="s">
        <v>1545</v>
      </c>
      <c r="G227" t="s">
        <v>1546</v>
      </c>
      <c r="H227" t="s">
        <v>1546</v>
      </c>
      <c r="J227" t="s">
        <v>246</v>
      </c>
      <c r="M227" t="s">
        <v>432</v>
      </c>
    </row>
    <row r="228" spans="1:13" x14ac:dyDescent="0.15">
      <c r="A228" t="s">
        <v>1547</v>
      </c>
      <c r="B228" t="s">
        <v>14</v>
      </c>
      <c r="C228" t="s">
        <v>15</v>
      </c>
      <c r="D228" t="s">
        <v>1548</v>
      </c>
      <c r="E228" t="s">
        <v>1549</v>
      </c>
      <c r="F228" t="s">
        <v>1550</v>
      </c>
      <c r="G228" t="s">
        <v>1551</v>
      </c>
      <c r="H228" t="s">
        <v>1551</v>
      </c>
      <c r="J228" t="s">
        <v>230</v>
      </c>
      <c r="M228" t="s">
        <v>21</v>
      </c>
    </row>
    <row r="229" spans="1:13" x14ac:dyDescent="0.15">
      <c r="A229" t="s">
        <v>1552</v>
      </c>
      <c r="B229" t="s">
        <v>14</v>
      </c>
      <c r="C229" t="s">
        <v>23</v>
      </c>
      <c r="D229" t="s">
        <v>1553</v>
      </c>
      <c r="E229" t="s">
        <v>1554</v>
      </c>
      <c r="F229" t="s">
        <v>1555</v>
      </c>
      <c r="H229" t="s">
        <v>1556</v>
      </c>
      <c r="I229" t="s">
        <v>1557</v>
      </c>
      <c r="J229" t="s">
        <v>246</v>
      </c>
      <c r="K229" t="s">
        <v>1558</v>
      </c>
      <c r="L229" t="s">
        <v>1557</v>
      </c>
      <c r="M229" t="s">
        <v>216</v>
      </c>
    </row>
    <row r="230" spans="1:13" x14ac:dyDescent="0.15">
      <c r="A230" t="s">
        <v>1559</v>
      </c>
      <c r="B230" t="s">
        <v>14</v>
      </c>
      <c r="C230" t="s">
        <v>23</v>
      </c>
      <c r="D230" t="s">
        <v>1560</v>
      </c>
      <c r="E230" t="s">
        <v>1561</v>
      </c>
      <c r="F230" t="s">
        <v>1562</v>
      </c>
      <c r="H230" t="s">
        <v>1563</v>
      </c>
      <c r="I230" t="s">
        <v>372</v>
      </c>
      <c r="J230" t="s">
        <v>246</v>
      </c>
      <c r="K230" t="s">
        <v>360</v>
      </c>
      <c r="L230" t="s">
        <v>372</v>
      </c>
      <c r="M230" t="s">
        <v>216</v>
      </c>
    </row>
    <row r="231" spans="1:13" x14ac:dyDescent="0.15">
      <c r="A231" t="s">
        <v>1564</v>
      </c>
      <c r="B231" t="s">
        <v>14</v>
      </c>
      <c r="C231" t="s">
        <v>23</v>
      </c>
      <c r="D231" t="s">
        <v>1565</v>
      </c>
      <c r="E231" t="s">
        <v>1566</v>
      </c>
      <c r="F231" t="s">
        <v>1567</v>
      </c>
      <c r="G231" t="s">
        <v>1568</v>
      </c>
      <c r="H231" t="s">
        <v>1568</v>
      </c>
      <c r="I231" t="s">
        <v>1569</v>
      </c>
      <c r="J231" t="s">
        <v>415</v>
      </c>
      <c r="K231" t="s">
        <v>271</v>
      </c>
      <c r="L231" t="s">
        <v>1569</v>
      </c>
      <c r="M231" t="s">
        <v>216</v>
      </c>
    </row>
    <row r="232" spans="1:13" x14ac:dyDescent="0.15">
      <c r="A232" t="s">
        <v>1570</v>
      </c>
      <c r="B232" t="s">
        <v>14</v>
      </c>
      <c r="C232" t="s">
        <v>23</v>
      </c>
      <c r="D232" t="s">
        <v>1571</v>
      </c>
      <c r="E232" t="s">
        <v>1572</v>
      </c>
      <c r="F232" t="s">
        <v>1573</v>
      </c>
      <c r="G232" t="s">
        <v>1574</v>
      </c>
      <c r="H232" t="s">
        <v>1574</v>
      </c>
      <c r="I232" t="s">
        <v>1575</v>
      </c>
      <c r="J232" t="s">
        <v>415</v>
      </c>
      <c r="K232" t="s">
        <v>819</v>
      </c>
      <c r="L232" t="s">
        <v>1575</v>
      </c>
      <c r="M232" t="s">
        <v>216</v>
      </c>
    </row>
    <row r="233" spans="1:13" x14ac:dyDescent="0.15">
      <c r="A233" t="s">
        <v>1576</v>
      </c>
      <c r="B233" t="s">
        <v>14</v>
      </c>
      <c r="C233" t="s">
        <v>118</v>
      </c>
      <c r="D233" t="s">
        <v>1577</v>
      </c>
      <c r="E233" t="s">
        <v>1578</v>
      </c>
      <c r="F233" t="s">
        <v>1579</v>
      </c>
      <c r="G233" t="s">
        <v>1580</v>
      </c>
      <c r="H233" t="s">
        <v>1580</v>
      </c>
      <c r="I233" t="s">
        <v>1581</v>
      </c>
      <c r="J233" t="s">
        <v>415</v>
      </c>
      <c r="K233" t="s">
        <v>1582</v>
      </c>
      <c r="L233" t="s">
        <v>1581</v>
      </c>
      <c r="M233" t="s">
        <v>1583</v>
      </c>
    </row>
    <row r="234" spans="1:13" x14ac:dyDescent="0.15">
      <c r="A234" t="s">
        <v>1584</v>
      </c>
      <c r="B234" t="s">
        <v>14</v>
      </c>
      <c r="C234" t="s">
        <v>23</v>
      </c>
      <c r="D234" t="s">
        <v>1585</v>
      </c>
      <c r="E234" t="s">
        <v>1586</v>
      </c>
      <c r="F234" t="s">
        <v>1587</v>
      </c>
      <c r="G234" t="s">
        <v>1588</v>
      </c>
      <c r="H234" t="s">
        <v>1589</v>
      </c>
      <c r="I234" t="s">
        <v>1590</v>
      </c>
      <c r="J234" t="s">
        <v>214</v>
      </c>
      <c r="K234" t="s">
        <v>407</v>
      </c>
      <c r="L234" t="s">
        <v>1591</v>
      </c>
      <c r="M234" t="s">
        <v>41</v>
      </c>
    </row>
    <row r="235" spans="1:13" x14ac:dyDescent="0.15">
      <c r="A235" t="s">
        <v>1592</v>
      </c>
      <c r="B235" t="s">
        <v>14</v>
      </c>
      <c r="C235" t="s">
        <v>23</v>
      </c>
      <c r="D235" t="s">
        <v>1593</v>
      </c>
      <c r="E235" t="s">
        <v>1594</v>
      </c>
      <c r="F235" t="s">
        <v>1595</v>
      </c>
      <c r="G235" t="s">
        <v>1596</v>
      </c>
      <c r="H235" t="s">
        <v>1596</v>
      </c>
      <c r="I235" t="s">
        <v>1597</v>
      </c>
      <c r="J235" t="s">
        <v>514</v>
      </c>
      <c r="K235" t="s">
        <v>231</v>
      </c>
      <c r="L235" t="s">
        <v>1597</v>
      </c>
      <c r="M235" t="s">
        <v>41</v>
      </c>
    </row>
    <row r="236" spans="1:13" x14ac:dyDescent="0.15">
      <c r="A236" t="s">
        <v>1598</v>
      </c>
      <c r="B236" t="s">
        <v>14</v>
      </c>
      <c r="C236" t="s">
        <v>118</v>
      </c>
      <c r="D236" t="s">
        <v>1599</v>
      </c>
      <c r="E236" t="s">
        <v>1600</v>
      </c>
      <c r="F236" t="s">
        <v>1601</v>
      </c>
      <c r="G236" t="s">
        <v>1602</v>
      </c>
      <c r="H236" t="s">
        <v>1602</v>
      </c>
      <c r="I236" t="s">
        <v>1603</v>
      </c>
      <c r="J236" t="s">
        <v>514</v>
      </c>
      <c r="K236" t="s">
        <v>1604</v>
      </c>
      <c r="L236" t="s">
        <v>1603</v>
      </c>
      <c r="M236" t="s">
        <v>126</v>
      </c>
    </row>
    <row r="237" spans="1:13" x14ac:dyDescent="0.15">
      <c r="A237" t="s">
        <v>1605</v>
      </c>
      <c r="B237" t="s">
        <v>14</v>
      </c>
      <c r="C237" t="s">
        <v>118</v>
      </c>
      <c r="D237" t="s">
        <v>1606</v>
      </c>
      <c r="E237" t="s">
        <v>1607</v>
      </c>
      <c r="F237" t="s">
        <v>1608</v>
      </c>
      <c r="H237" t="s">
        <v>1609</v>
      </c>
      <c r="I237" t="s">
        <v>1610</v>
      </c>
      <c r="J237" t="s">
        <v>110</v>
      </c>
      <c r="K237" t="s">
        <v>1216</v>
      </c>
      <c r="L237" t="s">
        <v>1610</v>
      </c>
      <c r="M237" t="s">
        <v>21</v>
      </c>
    </row>
    <row r="238" spans="1:13" x14ac:dyDescent="0.15">
      <c r="A238" t="s">
        <v>1611</v>
      </c>
      <c r="B238" t="s">
        <v>14</v>
      </c>
      <c r="C238" t="s">
        <v>118</v>
      </c>
      <c r="D238" t="s">
        <v>1612</v>
      </c>
      <c r="E238" t="s">
        <v>1613</v>
      </c>
      <c r="F238" t="s">
        <v>1614</v>
      </c>
      <c r="G238" t="s">
        <v>1615</v>
      </c>
      <c r="H238" t="s">
        <v>1615</v>
      </c>
      <c r="I238" t="s">
        <v>1616</v>
      </c>
      <c r="J238" t="s">
        <v>20</v>
      </c>
      <c r="K238" t="s">
        <v>786</v>
      </c>
      <c r="L238" t="s">
        <v>1616</v>
      </c>
      <c r="M238" t="s">
        <v>1015</v>
      </c>
    </row>
    <row r="239" spans="1:13" x14ac:dyDescent="0.15">
      <c r="A239" t="s">
        <v>1617</v>
      </c>
      <c r="B239" t="s">
        <v>14</v>
      </c>
      <c r="C239" t="s">
        <v>118</v>
      </c>
      <c r="D239" t="s">
        <v>1618</v>
      </c>
      <c r="E239" t="s">
        <v>1619</v>
      </c>
      <c r="F239" t="s">
        <v>1620</v>
      </c>
      <c r="H239" t="s">
        <v>1621</v>
      </c>
      <c r="I239" t="s">
        <v>1622</v>
      </c>
      <c r="J239" t="s">
        <v>1623</v>
      </c>
      <c r="K239" t="s">
        <v>1624</v>
      </c>
      <c r="L239" t="s">
        <v>1625</v>
      </c>
      <c r="M239" t="s">
        <v>21</v>
      </c>
    </row>
    <row r="240" spans="1:13" x14ac:dyDescent="0.15">
      <c r="A240" t="s">
        <v>1626</v>
      </c>
      <c r="B240" t="s">
        <v>14</v>
      </c>
      <c r="C240" t="s">
        <v>118</v>
      </c>
      <c r="D240" t="s">
        <v>1627</v>
      </c>
      <c r="E240" t="s">
        <v>1628</v>
      </c>
      <c r="F240" t="s">
        <v>1629</v>
      </c>
      <c r="G240" t="s">
        <v>1630</v>
      </c>
      <c r="H240" t="s">
        <v>1630</v>
      </c>
      <c r="I240" t="s">
        <v>1631</v>
      </c>
      <c r="J240" t="s">
        <v>352</v>
      </c>
      <c r="K240" t="s">
        <v>1632</v>
      </c>
      <c r="L240" t="s">
        <v>1631</v>
      </c>
      <c r="M240" t="s">
        <v>880</v>
      </c>
    </row>
    <row r="241" spans="1:13" x14ac:dyDescent="0.15">
      <c r="A241" t="s">
        <v>1633</v>
      </c>
      <c r="B241" t="s">
        <v>14</v>
      </c>
      <c r="C241" t="s">
        <v>118</v>
      </c>
      <c r="D241" t="s">
        <v>1634</v>
      </c>
      <c r="E241" t="s">
        <v>1635</v>
      </c>
      <c r="F241" t="s">
        <v>1636</v>
      </c>
      <c r="G241" t="s">
        <v>1637</v>
      </c>
      <c r="H241" t="s">
        <v>1637</v>
      </c>
      <c r="I241" t="s">
        <v>1638</v>
      </c>
      <c r="J241" t="s">
        <v>255</v>
      </c>
      <c r="K241" t="s">
        <v>811</v>
      </c>
      <c r="L241" t="s">
        <v>1638</v>
      </c>
      <c r="M241" t="s">
        <v>248</v>
      </c>
    </row>
    <row r="242" spans="1:13" x14ac:dyDescent="0.15">
      <c r="A242" t="s">
        <v>1639</v>
      </c>
      <c r="B242" t="s">
        <v>14</v>
      </c>
      <c r="C242" t="s">
        <v>118</v>
      </c>
      <c r="D242" t="s">
        <v>1640</v>
      </c>
      <c r="E242" t="s">
        <v>1641</v>
      </c>
      <c r="F242" t="s">
        <v>1642</v>
      </c>
      <c r="G242" t="s">
        <v>1643</v>
      </c>
      <c r="H242" t="s">
        <v>1643</v>
      </c>
      <c r="I242" t="s">
        <v>1644</v>
      </c>
      <c r="J242" t="s">
        <v>206</v>
      </c>
      <c r="K242" t="s">
        <v>554</v>
      </c>
      <c r="L242" t="s">
        <v>1644</v>
      </c>
      <c r="M242" t="s">
        <v>165</v>
      </c>
    </row>
    <row r="243" spans="1:13" x14ac:dyDescent="0.15">
      <c r="A243" t="s">
        <v>1645</v>
      </c>
      <c r="B243" t="s">
        <v>14</v>
      </c>
      <c r="C243" t="s">
        <v>118</v>
      </c>
      <c r="D243" t="s">
        <v>1646</v>
      </c>
      <c r="E243" t="s">
        <v>1647</v>
      </c>
      <c r="F243" t="s">
        <v>1648</v>
      </c>
      <c r="G243" t="s">
        <v>1649</v>
      </c>
      <c r="H243" t="s">
        <v>1649</v>
      </c>
      <c r="I243" t="s">
        <v>1650</v>
      </c>
      <c r="J243" t="s">
        <v>514</v>
      </c>
      <c r="K243" t="s">
        <v>1651</v>
      </c>
      <c r="L243" t="s">
        <v>1652</v>
      </c>
      <c r="M243" t="s">
        <v>1015</v>
      </c>
    </row>
    <row r="244" spans="1:13" x14ac:dyDescent="0.15">
      <c r="A244" t="s">
        <v>1653</v>
      </c>
      <c r="B244" t="s">
        <v>14</v>
      </c>
      <c r="C244" t="s">
        <v>23</v>
      </c>
      <c r="D244" t="s">
        <v>1654</v>
      </c>
      <c r="E244" t="s">
        <v>1655</v>
      </c>
      <c r="F244" t="s">
        <v>1656</v>
      </c>
      <c r="G244" t="s">
        <v>1657</v>
      </c>
      <c r="H244" t="s">
        <v>1657</v>
      </c>
      <c r="I244" t="s">
        <v>1658</v>
      </c>
      <c r="J244" t="s">
        <v>400</v>
      </c>
      <c r="K244" t="s">
        <v>39</v>
      </c>
      <c r="L244" t="s">
        <v>1659</v>
      </c>
      <c r="M244" t="s">
        <v>80</v>
      </c>
    </row>
    <row r="245" spans="1:13" x14ac:dyDescent="0.15">
      <c r="A245" t="s">
        <v>1660</v>
      </c>
      <c r="B245" t="s">
        <v>14</v>
      </c>
      <c r="C245" t="s">
        <v>118</v>
      </c>
      <c r="D245" t="s">
        <v>1661</v>
      </c>
      <c r="E245" t="s">
        <v>1662</v>
      </c>
      <c r="F245" t="s">
        <v>1663</v>
      </c>
      <c r="G245" t="s">
        <v>1664</v>
      </c>
      <c r="H245" t="s">
        <v>1664</v>
      </c>
      <c r="I245" t="s">
        <v>1665</v>
      </c>
      <c r="J245" t="s">
        <v>1194</v>
      </c>
      <c r="K245" t="s">
        <v>239</v>
      </c>
      <c r="L245" t="s">
        <v>1665</v>
      </c>
      <c r="M245" t="s">
        <v>41</v>
      </c>
    </row>
    <row r="246" spans="1:13" x14ac:dyDescent="0.15">
      <c r="A246" t="s">
        <v>1666</v>
      </c>
      <c r="B246" t="s">
        <v>14</v>
      </c>
      <c r="C246" t="s">
        <v>118</v>
      </c>
      <c r="D246" t="s">
        <v>1667</v>
      </c>
      <c r="E246" t="s">
        <v>1668</v>
      </c>
      <c r="F246" t="s">
        <v>1669</v>
      </c>
      <c r="G246" t="s">
        <v>1670</v>
      </c>
      <c r="H246" t="s">
        <v>1670</v>
      </c>
      <c r="I246" t="s">
        <v>1671</v>
      </c>
      <c r="J246" t="s">
        <v>1194</v>
      </c>
      <c r="K246" t="s">
        <v>1672</v>
      </c>
      <c r="L246" t="s">
        <v>1671</v>
      </c>
      <c r="M246" t="s">
        <v>104</v>
      </c>
    </row>
    <row r="247" spans="1:13" x14ac:dyDescent="0.15">
      <c r="A247" t="s">
        <v>1673</v>
      </c>
      <c r="B247" t="s">
        <v>14</v>
      </c>
      <c r="C247" t="s">
        <v>23</v>
      </c>
      <c r="D247" t="s">
        <v>1674</v>
      </c>
      <c r="E247" t="s">
        <v>1675</v>
      </c>
      <c r="F247" t="s">
        <v>1676</v>
      </c>
      <c r="G247" t="s">
        <v>1677</v>
      </c>
      <c r="H247" t="s">
        <v>1677</v>
      </c>
      <c r="I247" t="s">
        <v>1678</v>
      </c>
      <c r="J247" t="s">
        <v>29</v>
      </c>
      <c r="K247" t="s">
        <v>1679</v>
      </c>
      <c r="L247" t="s">
        <v>1680</v>
      </c>
      <c r="M247" t="s">
        <v>80</v>
      </c>
    </row>
    <row r="248" spans="1:13" x14ac:dyDescent="0.15">
      <c r="A248" t="s">
        <v>1681</v>
      </c>
      <c r="B248" t="s">
        <v>14</v>
      </c>
      <c r="C248" t="s">
        <v>23</v>
      </c>
      <c r="D248" t="s">
        <v>1682</v>
      </c>
      <c r="E248" t="s">
        <v>1683</v>
      </c>
      <c r="F248" t="s">
        <v>1684</v>
      </c>
      <c r="G248" t="s">
        <v>1685</v>
      </c>
      <c r="H248" t="s">
        <v>1685</v>
      </c>
      <c r="I248" t="s">
        <v>1686</v>
      </c>
      <c r="J248" t="s">
        <v>297</v>
      </c>
      <c r="K248" t="s">
        <v>271</v>
      </c>
      <c r="L248" t="s">
        <v>1686</v>
      </c>
      <c r="M248" t="s">
        <v>41</v>
      </c>
    </row>
    <row r="249" spans="1:13" x14ac:dyDescent="0.15">
      <c r="A249" t="s">
        <v>1687</v>
      </c>
      <c r="B249" t="s">
        <v>14</v>
      </c>
      <c r="C249" t="s">
        <v>23</v>
      </c>
      <c r="D249" t="s">
        <v>1688</v>
      </c>
      <c r="E249" t="s">
        <v>1689</v>
      </c>
      <c r="F249" t="s">
        <v>1690</v>
      </c>
      <c r="G249" t="s">
        <v>1691</v>
      </c>
      <c r="H249" t="s">
        <v>1691</v>
      </c>
      <c r="I249" t="s">
        <v>1692</v>
      </c>
      <c r="J249" t="s">
        <v>246</v>
      </c>
      <c r="K249" t="s">
        <v>853</v>
      </c>
      <c r="L249" t="s">
        <v>1692</v>
      </c>
      <c r="M249" t="s">
        <v>80</v>
      </c>
    </row>
    <row r="250" spans="1:13" x14ac:dyDescent="0.15">
      <c r="A250" t="s">
        <v>1693</v>
      </c>
      <c r="B250" t="s">
        <v>14</v>
      </c>
      <c r="C250" t="s">
        <v>23</v>
      </c>
      <c r="D250" t="s">
        <v>1694</v>
      </c>
      <c r="E250" t="s">
        <v>1695</v>
      </c>
      <c r="F250" t="s">
        <v>1696</v>
      </c>
      <c r="G250" t="s">
        <v>1697</v>
      </c>
      <c r="H250" t="s">
        <v>1697</v>
      </c>
      <c r="I250" t="s">
        <v>1698</v>
      </c>
      <c r="J250" t="s">
        <v>473</v>
      </c>
      <c r="K250" t="s">
        <v>231</v>
      </c>
      <c r="L250" t="s">
        <v>1698</v>
      </c>
      <c r="M250" t="s">
        <v>216</v>
      </c>
    </row>
    <row r="251" spans="1:13" x14ac:dyDescent="0.15">
      <c r="A251" t="s">
        <v>1699</v>
      </c>
      <c r="B251" t="s">
        <v>14</v>
      </c>
      <c r="C251" t="s">
        <v>23</v>
      </c>
      <c r="D251" t="s">
        <v>1700</v>
      </c>
      <c r="E251" t="s">
        <v>1701</v>
      </c>
      <c r="F251" t="s">
        <v>1702</v>
      </c>
      <c r="G251" t="s">
        <v>1703</v>
      </c>
      <c r="H251" t="s">
        <v>1703</v>
      </c>
      <c r="I251" t="s">
        <v>1704</v>
      </c>
      <c r="J251" t="s">
        <v>473</v>
      </c>
      <c r="K251" t="s">
        <v>1170</v>
      </c>
      <c r="L251" t="s">
        <v>1704</v>
      </c>
      <c r="M251" t="s">
        <v>216</v>
      </c>
    </row>
    <row r="252" spans="1:13" x14ac:dyDescent="0.15">
      <c r="A252" t="s">
        <v>1705</v>
      </c>
      <c r="B252" t="s">
        <v>14</v>
      </c>
      <c r="C252" t="s">
        <v>118</v>
      </c>
      <c r="D252" t="s">
        <v>1706</v>
      </c>
      <c r="E252" t="s">
        <v>1707</v>
      </c>
      <c r="F252" t="s">
        <v>1708</v>
      </c>
      <c r="G252" t="s">
        <v>1709</v>
      </c>
      <c r="H252" t="s">
        <v>1709</v>
      </c>
      <c r="I252" t="s">
        <v>1710</v>
      </c>
      <c r="J252" t="s">
        <v>246</v>
      </c>
      <c r="K252" t="s">
        <v>853</v>
      </c>
      <c r="L252" t="s">
        <v>1710</v>
      </c>
      <c r="M252" t="s">
        <v>41</v>
      </c>
    </row>
    <row r="253" spans="1:13" x14ac:dyDescent="0.15">
      <c r="A253" t="s">
        <v>1711</v>
      </c>
      <c r="B253" t="s">
        <v>14</v>
      </c>
      <c r="C253" t="s">
        <v>118</v>
      </c>
      <c r="D253" t="s">
        <v>1712</v>
      </c>
      <c r="E253" t="s">
        <v>1713</v>
      </c>
      <c r="F253" t="s">
        <v>1714</v>
      </c>
      <c r="G253" t="s">
        <v>1715</v>
      </c>
      <c r="H253" t="s">
        <v>1715</v>
      </c>
      <c r="I253" t="s">
        <v>1716</v>
      </c>
      <c r="J253" t="s">
        <v>1717</v>
      </c>
      <c r="K253" t="s">
        <v>1718</v>
      </c>
      <c r="L253" t="s">
        <v>1716</v>
      </c>
      <c r="M253" t="s">
        <v>41</v>
      </c>
    </row>
    <row r="254" spans="1:13" x14ac:dyDescent="0.15">
      <c r="A254" t="s">
        <v>1719</v>
      </c>
      <c r="B254" t="s">
        <v>14</v>
      </c>
      <c r="C254" t="s">
        <v>118</v>
      </c>
      <c r="D254" t="s">
        <v>1720</v>
      </c>
      <c r="E254" t="s">
        <v>1721</v>
      </c>
      <c r="F254" t="s">
        <v>1722</v>
      </c>
      <c r="G254" t="s">
        <v>920</v>
      </c>
      <c r="H254" t="s">
        <v>920</v>
      </c>
      <c r="I254" t="s">
        <v>1723</v>
      </c>
      <c r="J254" t="s">
        <v>1724</v>
      </c>
      <c r="K254" t="s">
        <v>431</v>
      </c>
      <c r="L254" t="s">
        <v>1723</v>
      </c>
      <c r="M254" t="s">
        <v>1725</v>
      </c>
    </row>
    <row r="255" spans="1:13" x14ac:dyDescent="0.15">
      <c r="A255" t="s">
        <v>1726</v>
      </c>
      <c r="B255" t="s">
        <v>14</v>
      </c>
      <c r="C255" t="s">
        <v>15</v>
      </c>
      <c r="D255" t="s">
        <v>1727</v>
      </c>
      <c r="E255" t="s">
        <v>1728</v>
      </c>
      <c r="F255" t="s">
        <v>1729</v>
      </c>
      <c r="G255" t="s">
        <v>1730</v>
      </c>
      <c r="H255" t="s">
        <v>1730</v>
      </c>
      <c r="J255" t="s">
        <v>400</v>
      </c>
      <c r="M255" t="s">
        <v>139</v>
      </c>
    </row>
    <row r="256" spans="1:13" x14ac:dyDescent="0.15">
      <c r="A256" t="s">
        <v>1731</v>
      </c>
      <c r="B256" t="s">
        <v>14</v>
      </c>
      <c r="C256" t="s">
        <v>118</v>
      </c>
      <c r="D256" t="s">
        <v>1732</v>
      </c>
      <c r="E256" t="s">
        <v>1733</v>
      </c>
      <c r="F256" t="s">
        <v>1734</v>
      </c>
      <c r="G256" t="s">
        <v>1735</v>
      </c>
      <c r="H256" t="s">
        <v>1735</v>
      </c>
      <c r="I256" t="s">
        <v>1736</v>
      </c>
      <c r="J256" t="s">
        <v>481</v>
      </c>
      <c r="K256" t="s">
        <v>903</v>
      </c>
      <c r="L256" t="s">
        <v>1736</v>
      </c>
      <c r="M256" t="s">
        <v>80</v>
      </c>
    </row>
    <row r="257" spans="1:13" x14ac:dyDescent="0.15">
      <c r="A257" t="s">
        <v>1737</v>
      </c>
      <c r="B257" t="s">
        <v>14</v>
      </c>
      <c r="C257" t="s">
        <v>23</v>
      </c>
      <c r="D257" t="s">
        <v>1738</v>
      </c>
      <c r="E257" t="s">
        <v>1739</v>
      </c>
      <c r="F257" t="s">
        <v>1740</v>
      </c>
      <c r="G257" t="s">
        <v>1741</v>
      </c>
      <c r="H257" t="s">
        <v>1741</v>
      </c>
      <c r="I257" t="s">
        <v>1742</v>
      </c>
      <c r="J257" t="s">
        <v>1037</v>
      </c>
      <c r="K257" t="s">
        <v>1743</v>
      </c>
      <c r="L257" t="s">
        <v>1742</v>
      </c>
      <c r="M257" t="s">
        <v>248</v>
      </c>
    </row>
    <row r="258" spans="1:13" x14ac:dyDescent="0.15">
      <c r="A258" t="s">
        <v>1744</v>
      </c>
      <c r="B258" t="s">
        <v>14</v>
      </c>
      <c r="C258" t="s">
        <v>23</v>
      </c>
      <c r="D258" t="s">
        <v>1745</v>
      </c>
      <c r="E258" t="s">
        <v>1746</v>
      </c>
      <c r="F258" t="s">
        <v>1747</v>
      </c>
      <c r="G258" t="s">
        <v>1748</v>
      </c>
      <c r="H258" t="s">
        <v>1748</v>
      </c>
      <c r="I258" t="s">
        <v>1749</v>
      </c>
      <c r="J258" t="s">
        <v>400</v>
      </c>
      <c r="K258" t="s">
        <v>39</v>
      </c>
      <c r="L258" t="s">
        <v>1750</v>
      </c>
      <c r="M258" t="s">
        <v>41</v>
      </c>
    </row>
    <row r="259" spans="1:13" x14ac:dyDescent="0.15">
      <c r="A259" t="s">
        <v>1751</v>
      </c>
      <c r="B259" t="s">
        <v>14</v>
      </c>
      <c r="C259" t="s">
        <v>23</v>
      </c>
      <c r="D259" t="s">
        <v>1752</v>
      </c>
      <c r="E259" t="s">
        <v>1753</v>
      </c>
      <c r="F259" t="s">
        <v>1754</v>
      </c>
      <c r="G259" t="s">
        <v>1755</v>
      </c>
      <c r="H259" t="s">
        <v>1755</v>
      </c>
      <c r="I259" t="s">
        <v>1756</v>
      </c>
      <c r="J259" t="s">
        <v>29</v>
      </c>
      <c r="K259" t="s">
        <v>1757</v>
      </c>
      <c r="L259" t="s">
        <v>1758</v>
      </c>
      <c r="M259" t="s">
        <v>80</v>
      </c>
    </row>
    <row r="260" spans="1:13" x14ac:dyDescent="0.15">
      <c r="A260" t="s">
        <v>1759</v>
      </c>
      <c r="B260" t="s">
        <v>14</v>
      </c>
      <c r="C260" t="s">
        <v>118</v>
      </c>
      <c r="D260" t="s">
        <v>1760</v>
      </c>
      <c r="E260" t="s">
        <v>1761</v>
      </c>
      <c r="F260" t="s">
        <v>1762</v>
      </c>
      <c r="G260" t="s">
        <v>1763</v>
      </c>
      <c r="H260" t="s">
        <v>1763</v>
      </c>
      <c r="I260" t="s">
        <v>1764</v>
      </c>
      <c r="J260" t="s">
        <v>246</v>
      </c>
      <c r="K260" t="s">
        <v>1672</v>
      </c>
      <c r="L260" t="s">
        <v>1764</v>
      </c>
      <c r="M260" t="s">
        <v>192</v>
      </c>
    </row>
    <row r="261" spans="1:13" x14ac:dyDescent="0.15">
      <c r="A261" t="s">
        <v>1765</v>
      </c>
      <c r="B261" t="s">
        <v>14</v>
      </c>
      <c r="C261" t="s">
        <v>118</v>
      </c>
      <c r="D261" t="s">
        <v>1766</v>
      </c>
      <c r="E261" t="s">
        <v>1767</v>
      </c>
      <c r="F261" t="s">
        <v>1768</v>
      </c>
      <c r="G261" t="s">
        <v>1769</v>
      </c>
      <c r="H261" t="s">
        <v>1769</v>
      </c>
      <c r="I261" t="s">
        <v>1770</v>
      </c>
      <c r="J261" t="s">
        <v>246</v>
      </c>
      <c r="K261" t="s">
        <v>247</v>
      </c>
      <c r="L261" t="s">
        <v>1770</v>
      </c>
      <c r="M261" t="s">
        <v>192</v>
      </c>
    </row>
    <row r="262" spans="1:13" x14ac:dyDescent="0.15">
      <c r="A262" t="s">
        <v>1771</v>
      </c>
      <c r="B262" t="s">
        <v>14</v>
      </c>
      <c r="C262" t="s">
        <v>118</v>
      </c>
      <c r="D262" t="s">
        <v>1772</v>
      </c>
      <c r="E262" t="s">
        <v>1773</v>
      </c>
      <c r="F262" t="s">
        <v>1774</v>
      </c>
      <c r="G262" t="s">
        <v>1775</v>
      </c>
      <c r="H262" t="s">
        <v>1775</v>
      </c>
      <c r="I262" t="s">
        <v>1776</v>
      </c>
      <c r="J262" t="s">
        <v>230</v>
      </c>
      <c r="K262" t="s">
        <v>1541</v>
      </c>
      <c r="L262" t="s">
        <v>1776</v>
      </c>
      <c r="M262" t="s">
        <v>432</v>
      </c>
    </row>
    <row r="263" spans="1:13" x14ac:dyDescent="0.15">
      <c r="A263" t="s">
        <v>1777</v>
      </c>
      <c r="B263" t="s">
        <v>14</v>
      </c>
      <c r="C263" t="s">
        <v>118</v>
      </c>
      <c r="D263" t="s">
        <v>1778</v>
      </c>
      <c r="E263" t="s">
        <v>1779</v>
      </c>
      <c r="F263" t="s">
        <v>1780</v>
      </c>
      <c r="G263" t="s">
        <v>1781</v>
      </c>
      <c r="H263" t="s">
        <v>1781</v>
      </c>
      <c r="I263" t="s">
        <v>1782</v>
      </c>
      <c r="J263" t="s">
        <v>246</v>
      </c>
      <c r="K263" t="s">
        <v>1783</v>
      </c>
      <c r="L263" t="s">
        <v>1782</v>
      </c>
      <c r="M263" t="s">
        <v>126</v>
      </c>
    </row>
    <row r="264" spans="1:13" x14ac:dyDescent="0.15">
      <c r="A264" t="s">
        <v>1784</v>
      </c>
      <c r="B264" t="s">
        <v>14</v>
      </c>
      <c r="C264" t="s">
        <v>118</v>
      </c>
      <c r="D264" t="s">
        <v>1785</v>
      </c>
      <c r="E264" t="s">
        <v>1786</v>
      </c>
      <c r="F264" t="s">
        <v>1787</v>
      </c>
      <c r="G264" t="s">
        <v>1775</v>
      </c>
      <c r="H264" t="s">
        <v>1775</v>
      </c>
      <c r="I264" t="s">
        <v>1776</v>
      </c>
      <c r="J264" t="s">
        <v>230</v>
      </c>
      <c r="K264" t="s">
        <v>839</v>
      </c>
      <c r="L264" t="s">
        <v>1776</v>
      </c>
      <c r="M264" t="s">
        <v>432</v>
      </c>
    </row>
    <row r="265" spans="1:13" x14ac:dyDescent="0.15">
      <c r="A265" t="s">
        <v>1788</v>
      </c>
      <c r="B265" t="s">
        <v>14</v>
      </c>
      <c r="C265" t="s">
        <v>118</v>
      </c>
      <c r="D265" t="s">
        <v>1789</v>
      </c>
      <c r="E265" t="s">
        <v>1790</v>
      </c>
      <c r="F265" t="s">
        <v>1791</v>
      </c>
      <c r="G265" t="s">
        <v>1792</v>
      </c>
      <c r="H265" t="s">
        <v>1792</v>
      </c>
      <c r="I265" t="s">
        <v>1793</v>
      </c>
      <c r="J265" t="s">
        <v>246</v>
      </c>
      <c r="K265" t="s">
        <v>271</v>
      </c>
      <c r="L265" t="s">
        <v>1793</v>
      </c>
      <c r="M265" t="s">
        <v>192</v>
      </c>
    </row>
    <row r="266" spans="1:13" x14ac:dyDescent="0.15">
      <c r="A266" t="s">
        <v>1794</v>
      </c>
      <c r="B266" t="s">
        <v>14</v>
      </c>
      <c r="C266" t="s">
        <v>118</v>
      </c>
      <c r="D266" t="s">
        <v>1795</v>
      </c>
      <c r="E266" t="s">
        <v>1796</v>
      </c>
      <c r="F266" t="s">
        <v>1797</v>
      </c>
      <c r="G266" t="s">
        <v>1798</v>
      </c>
      <c r="H266" t="s">
        <v>1798</v>
      </c>
      <c r="I266" t="s">
        <v>1799</v>
      </c>
      <c r="J266" t="s">
        <v>20</v>
      </c>
      <c r="K266" t="s">
        <v>1800</v>
      </c>
      <c r="L266" t="s">
        <v>1799</v>
      </c>
      <c r="M266" t="s">
        <v>174</v>
      </c>
    </row>
    <row r="267" spans="1:13" x14ac:dyDescent="0.15">
      <c r="A267" t="s">
        <v>1801</v>
      </c>
      <c r="B267" t="s">
        <v>14</v>
      </c>
      <c r="C267" t="s">
        <v>23</v>
      </c>
      <c r="D267" t="s">
        <v>1802</v>
      </c>
      <c r="E267" t="s">
        <v>1803</v>
      </c>
      <c r="F267" t="s">
        <v>1804</v>
      </c>
      <c r="G267" t="s">
        <v>1805</v>
      </c>
      <c r="H267" t="s">
        <v>1805</v>
      </c>
      <c r="I267" t="s">
        <v>1806</v>
      </c>
      <c r="J267" t="s">
        <v>1717</v>
      </c>
      <c r="K267" t="s">
        <v>1651</v>
      </c>
      <c r="L267" t="s">
        <v>1807</v>
      </c>
      <c r="M267" t="s">
        <v>126</v>
      </c>
    </row>
    <row r="268" spans="1:13" x14ac:dyDescent="0.15">
      <c r="A268" t="s">
        <v>1808</v>
      </c>
      <c r="B268" t="s">
        <v>14</v>
      </c>
      <c r="C268" t="s">
        <v>118</v>
      </c>
      <c r="D268" t="s">
        <v>1809</v>
      </c>
      <c r="E268" t="s">
        <v>1810</v>
      </c>
      <c r="F268" t="s">
        <v>1811</v>
      </c>
      <c r="G268" t="s">
        <v>1812</v>
      </c>
      <c r="H268" t="s">
        <v>1812</v>
      </c>
      <c r="I268" t="s">
        <v>1813</v>
      </c>
      <c r="J268" t="s">
        <v>255</v>
      </c>
      <c r="K268" t="s">
        <v>256</v>
      </c>
      <c r="L268" t="s">
        <v>1813</v>
      </c>
      <c r="M268" t="s">
        <v>482</v>
      </c>
    </row>
    <row r="269" spans="1:13" x14ac:dyDescent="0.15">
      <c r="A269" t="s">
        <v>1814</v>
      </c>
      <c r="B269" t="s">
        <v>14</v>
      </c>
      <c r="C269" t="s">
        <v>118</v>
      </c>
      <c r="D269" t="s">
        <v>1815</v>
      </c>
      <c r="E269" t="s">
        <v>1816</v>
      </c>
      <c r="F269" t="s">
        <v>1817</v>
      </c>
      <c r="G269" t="s">
        <v>1818</v>
      </c>
      <c r="H269" t="s">
        <v>1818</v>
      </c>
      <c r="I269" t="s">
        <v>1819</v>
      </c>
      <c r="J269" t="s">
        <v>255</v>
      </c>
      <c r="K269" t="s">
        <v>540</v>
      </c>
      <c r="L269" t="s">
        <v>1819</v>
      </c>
      <c r="M269" t="s">
        <v>216</v>
      </c>
    </row>
    <row r="270" spans="1:13" x14ac:dyDescent="0.15">
      <c r="A270" t="s">
        <v>1820</v>
      </c>
      <c r="B270" t="s">
        <v>14</v>
      </c>
      <c r="C270" t="s">
        <v>23</v>
      </c>
      <c r="D270" t="s">
        <v>1821</v>
      </c>
      <c r="E270" t="s">
        <v>1822</v>
      </c>
      <c r="F270" t="s">
        <v>1823</v>
      </c>
      <c r="G270" t="s">
        <v>1824</v>
      </c>
      <c r="H270" t="s">
        <v>1824</v>
      </c>
      <c r="I270" t="s">
        <v>1825</v>
      </c>
      <c r="J270" t="s">
        <v>415</v>
      </c>
      <c r="K270" t="s">
        <v>312</v>
      </c>
      <c r="L270" t="s">
        <v>1825</v>
      </c>
      <c r="M270" t="s">
        <v>248</v>
      </c>
    </row>
    <row r="271" spans="1:13" x14ac:dyDescent="0.15">
      <c r="A271" t="s">
        <v>1826</v>
      </c>
      <c r="B271" t="s">
        <v>14</v>
      </c>
      <c r="C271" t="s">
        <v>23</v>
      </c>
      <c r="D271" t="s">
        <v>1827</v>
      </c>
      <c r="E271" t="s">
        <v>1828</v>
      </c>
      <c r="F271" t="s">
        <v>1829</v>
      </c>
      <c r="G271" t="s">
        <v>1830</v>
      </c>
      <c r="H271" t="s">
        <v>1830</v>
      </c>
      <c r="I271" t="s">
        <v>1831</v>
      </c>
      <c r="J271" t="s">
        <v>415</v>
      </c>
      <c r="K271" t="s">
        <v>832</v>
      </c>
      <c r="L271" t="s">
        <v>1831</v>
      </c>
      <c r="M271" t="s">
        <v>248</v>
      </c>
    </row>
    <row r="272" spans="1:13" x14ac:dyDescent="0.15">
      <c r="A272" t="s">
        <v>1832</v>
      </c>
      <c r="B272" t="s">
        <v>14</v>
      </c>
      <c r="C272" t="s">
        <v>23</v>
      </c>
      <c r="D272" t="s">
        <v>1833</v>
      </c>
      <c r="E272" t="s">
        <v>1834</v>
      </c>
      <c r="F272" t="s">
        <v>1835</v>
      </c>
      <c r="G272" t="s">
        <v>1836</v>
      </c>
      <c r="H272" t="s">
        <v>1836</v>
      </c>
      <c r="I272" t="s">
        <v>1837</v>
      </c>
      <c r="J272" t="s">
        <v>415</v>
      </c>
      <c r="K272" t="s">
        <v>239</v>
      </c>
      <c r="L272" t="s">
        <v>1837</v>
      </c>
      <c r="M272" t="s">
        <v>248</v>
      </c>
    </row>
    <row r="273" spans="1:13" x14ac:dyDescent="0.15">
      <c r="A273" t="s">
        <v>1838</v>
      </c>
      <c r="B273" t="s">
        <v>14</v>
      </c>
      <c r="C273" t="s">
        <v>23</v>
      </c>
      <c r="D273" t="s">
        <v>1839</v>
      </c>
      <c r="E273" t="s">
        <v>1840</v>
      </c>
      <c r="F273" t="s">
        <v>1841</v>
      </c>
      <c r="G273" t="s">
        <v>1836</v>
      </c>
      <c r="H273" t="s">
        <v>1836</v>
      </c>
      <c r="I273" t="s">
        <v>1837</v>
      </c>
      <c r="J273" t="s">
        <v>415</v>
      </c>
      <c r="K273" t="s">
        <v>1321</v>
      </c>
      <c r="L273" t="s">
        <v>1837</v>
      </c>
      <c r="M273" t="s">
        <v>248</v>
      </c>
    </row>
    <row r="274" spans="1:13" x14ac:dyDescent="0.15">
      <c r="A274" t="s">
        <v>1842</v>
      </c>
      <c r="B274" t="s">
        <v>14</v>
      </c>
      <c r="C274" t="s">
        <v>23</v>
      </c>
      <c r="D274" t="s">
        <v>1843</v>
      </c>
      <c r="E274" t="s">
        <v>1844</v>
      </c>
      <c r="F274" t="s">
        <v>1845</v>
      </c>
      <c r="G274" t="s">
        <v>1836</v>
      </c>
      <c r="H274" t="s">
        <v>1836</v>
      </c>
      <c r="I274" t="s">
        <v>1837</v>
      </c>
      <c r="J274" t="s">
        <v>415</v>
      </c>
      <c r="K274" t="s">
        <v>1846</v>
      </c>
      <c r="L274" t="s">
        <v>1837</v>
      </c>
      <c r="M274" t="s">
        <v>248</v>
      </c>
    </row>
    <row r="275" spans="1:13" x14ac:dyDescent="0.15">
      <c r="A275" t="s">
        <v>1847</v>
      </c>
      <c r="B275" t="s">
        <v>14</v>
      </c>
      <c r="C275" t="s">
        <v>118</v>
      </c>
      <c r="D275" t="s">
        <v>1848</v>
      </c>
      <c r="E275" t="s">
        <v>1849</v>
      </c>
      <c r="F275" t="s">
        <v>1850</v>
      </c>
      <c r="G275" t="s">
        <v>1851</v>
      </c>
      <c r="H275" t="s">
        <v>1851</v>
      </c>
      <c r="I275" t="s">
        <v>285</v>
      </c>
      <c r="J275" t="s">
        <v>415</v>
      </c>
      <c r="K275" t="s">
        <v>709</v>
      </c>
      <c r="L275" t="s">
        <v>417</v>
      </c>
      <c r="M275" t="s">
        <v>248</v>
      </c>
    </row>
    <row r="276" spans="1:13" x14ac:dyDescent="0.15">
      <c r="A276" t="s">
        <v>1852</v>
      </c>
      <c r="B276" t="s">
        <v>14</v>
      </c>
      <c r="C276" t="s">
        <v>23</v>
      </c>
      <c r="D276" t="s">
        <v>1853</v>
      </c>
      <c r="E276" t="s">
        <v>1854</v>
      </c>
      <c r="F276" t="s">
        <v>1855</v>
      </c>
      <c r="G276" t="s">
        <v>1856</v>
      </c>
      <c r="H276" t="s">
        <v>1856</v>
      </c>
      <c r="I276" t="s">
        <v>1857</v>
      </c>
      <c r="J276" t="s">
        <v>352</v>
      </c>
      <c r="K276" t="s">
        <v>215</v>
      </c>
      <c r="L276" t="s">
        <v>1857</v>
      </c>
      <c r="M276" t="s">
        <v>41</v>
      </c>
    </row>
    <row r="277" spans="1:13" x14ac:dyDescent="0.15">
      <c r="A277" t="s">
        <v>1858</v>
      </c>
      <c r="B277" t="s">
        <v>14</v>
      </c>
      <c r="C277" t="s">
        <v>194</v>
      </c>
      <c r="D277" t="s">
        <v>1859</v>
      </c>
      <c r="E277" t="s">
        <v>1860</v>
      </c>
      <c r="F277" t="s">
        <v>1861</v>
      </c>
      <c r="G277" t="s">
        <v>1862</v>
      </c>
      <c r="H277" t="s">
        <v>1863</v>
      </c>
      <c r="J277" t="s">
        <v>206</v>
      </c>
      <c r="M277" t="s">
        <v>139</v>
      </c>
    </row>
    <row r="278" spans="1:13" x14ac:dyDescent="0.15">
      <c r="A278" t="s">
        <v>1864</v>
      </c>
      <c r="B278" t="s">
        <v>14</v>
      </c>
      <c r="C278" t="s">
        <v>118</v>
      </c>
      <c r="D278" t="s">
        <v>1865</v>
      </c>
      <c r="E278" t="s">
        <v>1866</v>
      </c>
      <c r="F278" t="s">
        <v>1867</v>
      </c>
      <c r="G278" t="s">
        <v>1868</v>
      </c>
      <c r="H278" t="s">
        <v>1868</v>
      </c>
      <c r="I278" t="s">
        <v>1869</v>
      </c>
      <c r="J278" t="s">
        <v>521</v>
      </c>
      <c r="K278" t="s">
        <v>30</v>
      </c>
      <c r="L278" t="s">
        <v>1869</v>
      </c>
      <c r="M278" t="s">
        <v>279</v>
      </c>
    </row>
    <row r="279" spans="1:13" x14ac:dyDescent="0.15">
      <c r="A279" t="s">
        <v>1870</v>
      </c>
      <c r="B279" t="s">
        <v>14</v>
      </c>
      <c r="C279" t="s">
        <v>23</v>
      </c>
      <c r="D279" t="s">
        <v>1871</v>
      </c>
      <c r="E279" t="s">
        <v>1872</v>
      </c>
      <c r="F279" t="s">
        <v>1873</v>
      </c>
      <c r="G279" t="s">
        <v>1874</v>
      </c>
      <c r="H279" t="s">
        <v>1874</v>
      </c>
      <c r="I279" t="s">
        <v>1875</v>
      </c>
      <c r="J279" t="s">
        <v>415</v>
      </c>
      <c r="K279" t="s">
        <v>980</v>
      </c>
      <c r="L279" t="s">
        <v>1875</v>
      </c>
      <c r="M279" t="s">
        <v>41</v>
      </c>
    </row>
    <row r="280" spans="1:13" x14ac:dyDescent="0.15">
      <c r="A280" t="s">
        <v>1876</v>
      </c>
      <c r="B280" t="s">
        <v>14</v>
      </c>
      <c r="C280" t="s">
        <v>23</v>
      </c>
      <c r="D280" t="s">
        <v>1877</v>
      </c>
      <c r="E280" t="s">
        <v>1878</v>
      </c>
      <c r="F280" t="s">
        <v>1879</v>
      </c>
      <c r="G280" t="s">
        <v>1880</v>
      </c>
      <c r="H280" t="s">
        <v>1880</v>
      </c>
      <c r="I280" t="s">
        <v>1881</v>
      </c>
      <c r="J280" t="s">
        <v>124</v>
      </c>
      <c r="K280" t="s">
        <v>1882</v>
      </c>
      <c r="L280" t="s">
        <v>1883</v>
      </c>
      <c r="M280" t="s">
        <v>41</v>
      </c>
    </row>
    <row r="281" spans="1:13" x14ac:dyDescent="0.15">
      <c r="A281" t="s">
        <v>1884</v>
      </c>
      <c r="B281" t="s">
        <v>14</v>
      </c>
      <c r="C281" t="s">
        <v>23</v>
      </c>
      <c r="D281" t="s">
        <v>1885</v>
      </c>
      <c r="E281" t="s">
        <v>1886</v>
      </c>
      <c r="F281" t="s">
        <v>1887</v>
      </c>
      <c r="G281" t="s">
        <v>1888</v>
      </c>
      <c r="H281" t="s">
        <v>1888</v>
      </c>
      <c r="I281" t="s">
        <v>1889</v>
      </c>
      <c r="J281" t="s">
        <v>415</v>
      </c>
      <c r="K281" t="s">
        <v>256</v>
      </c>
      <c r="L281" t="s">
        <v>1889</v>
      </c>
      <c r="M281" t="s">
        <v>104</v>
      </c>
    </row>
    <row r="282" spans="1:13" x14ac:dyDescent="0.15">
      <c r="A282" t="s">
        <v>1890</v>
      </c>
      <c r="B282" t="s">
        <v>14</v>
      </c>
      <c r="C282" t="s">
        <v>118</v>
      </c>
      <c r="D282" t="s">
        <v>1891</v>
      </c>
      <c r="E282" t="s">
        <v>1892</v>
      </c>
      <c r="F282" t="s">
        <v>1893</v>
      </c>
      <c r="G282" t="s">
        <v>1894</v>
      </c>
      <c r="H282" t="s">
        <v>1894</v>
      </c>
      <c r="I282" t="s">
        <v>1895</v>
      </c>
      <c r="J282" t="s">
        <v>415</v>
      </c>
      <c r="K282" t="s">
        <v>1896</v>
      </c>
      <c r="L282" t="s">
        <v>1895</v>
      </c>
      <c r="M282" t="s">
        <v>765</v>
      </c>
    </row>
    <row r="283" spans="1:13" x14ac:dyDescent="0.15">
      <c r="A283" t="s">
        <v>1897</v>
      </c>
      <c r="B283" t="s">
        <v>14</v>
      </c>
      <c r="C283" t="s">
        <v>118</v>
      </c>
      <c r="D283" t="s">
        <v>1898</v>
      </c>
      <c r="E283" t="s">
        <v>1899</v>
      </c>
      <c r="F283" t="s">
        <v>1900</v>
      </c>
      <c r="G283" t="s">
        <v>1901</v>
      </c>
      <c r="H283" t="s">
        <v>1901</v>
      </c>
      <c r="I283" t="s">
        <v>1902</v>
      </c>
      <c r="J283" t="s">
        <v>415</v>
      </c>
      <c r="K283" t="s">
        <v>811</v>
      </c>
      <c r="L283" t="s">
        <v>1902</v>
      </c>
      <c r="M283" t="s">
        <v>248</v>
      </c>
    </row>
    <row r="284" spans="1:13" x14ac:dyDescent="0.15">
      <c r="A284" t="s">
        <v>1903</v>
      </c>
      <c r="B284" t="s">
        <v>14</v>
      </c>
      <c r="C284" t="s">
        <v>118</v>
      </c>
      <c r="D284" t="s">
        <v>1904</v>
      </c>
      <c r="E284" t="s">
        <v>1905</v>
      </c>
      <c r="F284" t="s">
        <v>1906</v>
      </c>
      <c r="G284" t="s">
        <v>1907</v>
      </c>
      <c r="H284" t="s">
        <v>1907</v>
      </c>
      <c r="I284" t="s">
        <v>1908</v>
      </c>
      <c r="J284" t="s">
        <v>514</v>
      </c>
      <c r="K284" t="s">
        <v>540</v>
      </c>
      <c r="L284" t="s">
        <v>1908</v>
      </c>
      <c r="M284" t="s">
        <v>594</v>
      </c>
    </row>
    <row r="285" spans="1:13" x14ac:dyDescent="0.15">
      <c r="A285" t="s">
        <v>1909</v>
      </c>
      <c r="B285" t="s">
        <v>14</v>
      </c>
      <c r="C285" t="s">
        <v>118</v>
      </c>
      <c r="D285" t="s">
        <v>1910</v>
      </c>
      <c r="E285" t="s">
        <v>1911</v>
      </c>
      <c r="F285" t="s">
        <v>1912</v>
      </c>
      <c r="G285" t="s">
        <v>1913</v>
      </c>
      <c r="H285" t="s">
        <v>1913</v>
      </c>
      <c r="I285" t="s">
        <v>1914</v>
      </c>
      <c r="J285" t="s">
        <v>514</v>
      </c>
      <c r="K285" t="s">
        <v>1915</v>
      </c>
      <c r="L285" t="s">
        <v>1914</v>
      </c>
      <c r="M285" t="s">
        <v>1132</v>
      </c>
    </row>
    <row r="286" spans="1:13" x14ac:dyDescent="0.15">
      <c r="A286" t="s">
        <v>1916</v>
      </c>
      <c r="B286" t="s">
        <v>14</v>
      </c>
      <c r="C286" t="s">
        <v>23</v>
      </c>
      <c r="D286" t="s">
        <v>1917</v>
      </c>
      <c r="E286" t="s">
        <v>1918</v>
      </c>
      <c r="F286" t="s">
        <v>1919</v>
      </c>
      <c r="G286" t="s">
        <v>1920</v>
      </c>
      <c r="H286" t="s">
        <v>1920</v>
      </c>
      <c r="I286" t="s">
        <v>1921</v>
      </c>
      <c r="J286" t="s">
        <v>138</v>
      </c>
      <c r="K286" t="s">
        <v>1922</v>
      </c>
      <c r="L286" t="s">
        <v>1923</v>
      </c>
      <c r="M286" t="s">
        <v>104</v>
      </c>
    </row>
    <row r="287" spans="1:13" x14ac:dyDescent="0.15">
      <c r="A287" t="s">
        <v>1924</v>
      </c>
      <c r="B287" t="s">
        <v>14</v>
      </c>
      <c r="C287" t="s">
        <v>23</v>
      </c>
      <c r="D287" t="s">
        <v>1925</v>
      </c>
      <c r="E287" t="s">
        <v>1926</v>
      </c>
      <c r="F287" t="s">
        <v>1927</v>
      </c>
      <c r="G287" t="s">
        <v>1928</v>
      </c>
      <c r="H287" t="s">
        <v>1928</v>
      </c>
      <c r="I287" t="s">
        <v>1929</v>
      </c>
      <c r="J287" t="s">
        <v>138</v>
      </c>
      <c r="K287" t="s">
        <v>1930</v>
      </c>
      <c r="L287" t="s">
        <v>1931</v>
      </c>
      <c r="M287" t="s">
        <v>104</v>
      </c>
    </row>
    <row r="288" spans="1:13" x14ac:dyDescent="0.15">
      <c r="A288" t="s">
        <v>1932</v>
      </c>
      <c r="B288" t="s">
        <v>14</v>
      </c>
      <c r="C288" t="s">
        <v>23</v>
      </c>
      <c r="D288" t="s">
        <v>1933</v>
      </c>
      <c r="E288" t="s">
        <v>1934</v>
      </c>
      <c r="F288" t="s">
        <v>1935</v>
      </c>
      <c r="G288" t="s">
        <v>1936</v>
      </c>
      <c r="H288" t="s">
        <v>1936</v>
      </c>
      <c r="I288" t="s">
        <v>1937</v>
      </c>
      <c r="J288" t="s">
        <v>521</v>
      </c>
      <c r="K288" t="s">
        <v>239</v>
      </c>
      <c r="L288" t="s">
        <v>1938</v>
      </c>
      <c r="M288" t="s">
        <v>104</v>
      </c>
    </row>
    <row r="289" spans="1:13" x14ac:dyDescent="0.15">
      <c r="A289" t="s">
        <v>1939</v>
      </c>
      <c r="B289" t="s">
        <v>14</v>
      </c>
      <c r="C289" t="s">
        <v>118</v>
      </c>
      <c r="D289" t="s">
        <v>1940</v>
      </c>
      <c r="E289" t="s">
        <v>1941</v>
      </c>
      <c r="F289" t="s">
        <v>1942</v>
      </c>
      <c r="G289" t="s">
        <v>1943</v>
      </c>
      <c r="H289" t="s">
        <v>1943</v>
      </c>
      <c r="I289" t="s">
        <v>1944</v>
      </c>
      <c r="J289" t="s">
        <v>1945</v>
      </c>
      <c r="K289" t="s">
        <v>1946</v>
      </c>
      <c r="L289" t="s">
        <v>1944</v>
      </c>
      <c r="M289" t="s">
        <v>192</v>
      </c>
    </row>
    <row r="290" spans="1:13" x14ac:dyDescent="0.15">
      <c r="A290" t="s">
        <v>1947</v>
      </c>
      <c r="B290" t="s">
        <v>14</v>
      </c>
      <c r="C290" t="s">
        <v>118</v>
      </c>
      <c r="D290" t="s">
        <v>1948</v>
      </c>
      <c r="E290" t="s">
        <v>1949</v>
      </c>
      <c r="F290" t="s">
        <v>1950</v>
      </c>
      <c r="G290" t="s">
        <v>1951</v>
      </c>
      <c r="H290" t="s">
        <v>1951</v>
      </c>
      <c r="I290" t="s">
        <v>1952</v>
      </c>
      <c r="J290" t="s">
        <v>297</v>
      </c>
      <c r="K290" t="s">
        <v>839</v>
      </c>
      <c r="L290" t="s">
        <v>1952</v>
      </c>
      <c r="M290" t="s">
        <v>279</v>
      </c>
    </row>
    <row r="291" spans="1:13" x14ac:dyDescent="0.15">
      <c r="A291" t="s">
        <v>1953</v>
      </c>
      <c r="B291" t="s">
        <v>14</v>
      </c>
      <c r="C291" t="s">
        <v>23</v>
      </c>
      <c r="D291" t="s">
        <v>1954</v>
      </c>
      <c r="E291" t="s">
        <v>1955</v>
      </c>
      <c r="F291" t="s">
        <v>1956</v>
      </c>
      <c r="G291" t="s">
        <v>1957</v>
      </c>
      <c r="H291" t="s">
        <v>1957</v>
      </c>
      <c r="I291" t="s">
        <v>1958</v>
      </c>
      <c r="J291" t="s">
        <v>297</v>
      </c>
      <c r="K291" t="s">
        <v>231</v>
      </c>
      <c r="L291" t="s">
        <v>1958</v>
      </c>
      <c r="M291" t="s">
        <v>216</v>
      </c>
    </row>
    <row r="292" spans="1:13" x14ac:dyDescent="0.15">
      <c r="A292" t="s">
        <v>1959</v>
      </c>
      <c r="B292" t="s">
        <v>14</v>
      </c>
      <c r="C292" t="s">
        <v>118</v>
      </c>
      <c r="D292" t="s">
        <v>1960</v>
      </c>
      <c r="E292" t="s">
        <v>1961</v>
      </c>
      <c r="F292" t="s">
        <v>1962</v>
      </c>
      <c r="G292" t="s">
        <v>1963</v>
      </c>
      <c r="H292" t="s">
        <v>1963</v>
      </c>
      <c r="I292" t="s">
        <v>1964</v>
      </c>
      <c r="J292" t="s">
        <v>110</v>
      </c>
      <c r="K292" t="s">
        <v>1743</v>
      </c>
      <c r="L292" t="s">
        <v>1965</v>
      </c>
      <c r="M292" t="s">
        <v>21</v>
      </c>
    </row>
    <row r="293" spans="1:13" x14ac:dyDescent="0.15">
      <c r="A293" t="s">
        <v>1966</v>
      </c>
      <c r="B293" t="s">
        <v>14</v>
      </c>
      <c r="C293" t="s">
        <v>118</v>
      </c>
      <c r="D293" t="s">
        <v>1967</v>
      </c>
      <c r="E293" t="s">
        <v>1968</v>
      </c>
      <c r="F293" t="s">
        <v>1969</v>
      </c>
      <c r="G293" t="s">
        <v>1970</v>
      </c>
      <c r="H293" t="s">
        <v>1970</v>
      </c>
      <c r="I293" t="s">
        <v>1971</v>
      </c>
      <c r="J293" t="s">
        <v>156</v>
      </c>
      <c r="K293" t="s">
        <v>231</v>
      </c>
      <c r="L293" t="s">
        <v>1971</v>
      </c>
      <c r="M293" t="s">
        <v>1972</v>
      </c>
    </row>
    <row r="294" spans="1:13" x14ac:dyDescent="0.15">
      <c r="A294" t="s">
        <v>1973</v>
      </c>
      <c r="B294" t="s">
        <v>14</v>
      </c>
      <c r="C294" t="s">
        <v>118</v>
      </c>
      <c r="D294" t="s">
        <v>1974</v>
      </c>
      <c r="E294" t="s">
        <v>1975</v>
      </c>
      <c r="F294" t="s">
        <v>1976</v>
      </c>
      <c r="G294" t="s">
        <v>1977</v>
      </c>
      <c r="H294" t="s">
        <v>1977</v>
      </c>
      <c r="I294" t="s">
        <v>1978</v>
      </c>
      <c r="J294" t="s">
        <v>156</v>
      </c>
      <c r="K294" t="s">
        <v>1979</v>
      </c>
      <c r="L294" t="s">
        <v>1978</v>
      </c>
      <c r="M294" t="s">
        <v>1972</v>
      </c>
    </row>
    <row r="295" spans="1:13" x14ac:dyDescent="0.15">
      <c r="A295" t="s">
        <v>1980</v>
      </c>
      <c r="B295" t="s">
        <v>14</v>
      </c>
      <c r="C295" t="s">
        <v>23</v>
      </c>
      <c r="D295" t="s">
        <v>1981</v>
      </c>
      <c r="E295" t="s">
        <v>1982</v>
      </c>
      <c r="F295" t="s">
        <v>1983</v>
      </c>
      <c r="G295" t="s">
        <v>1984</v>
      </c>
      <c r="H295" t="s">
        <v>1984</v>
      </c>
      <c r="I295" t="s">
        <v>1985</v>
      </c>
      <c r="J295" t="s">
        <v>214</v>
      </c>
      <c r="K295" t="s">
        <v>407</v>
      </c>
      <c r="L295" t="s">
        <v>1986</v>
      </c>
      <c r="M295" t="s">
        <v>104</v>
      </c>
    </row>
    <row r="296" spans="1:13" x14ac:dyDescent="0.15">
      <c r="A296" t="s">
        <v>1987</v>
      </c>
      <c r="B296" t="s">
        <v>14</v>
      </c>
      <c r="C296" t="s">
        <v>118</v>
      </c>
      <c r="D296" t="s">
        <v>1988</v>
      </c>
      <c r="E296" t="s">
        <v>1989</v>
      </c>
      <c r="F296" t="s">
        <v>1990</v>
      </c>
      <c r="G296" t="s">
        <v>1991</v>
      </c>
      <c r="H296" t="s">
        <v>1991</v>
      </c>
      <c r="I296" t="s">
        <v>1992</v>
      </c>
      <c r="J296" t="s">
        <v>214</v>
      </c>
      <c r="K296" t="s">
        <v>540</v>
      </c>
      <c r="L296" t="s">
        <v>1992</v>
      </c>
      <c r="M296" t="s">
        <v>165</v>
      </c>
    </row>
    <row r="297" spans="1:13" x14ac:dyDescent="0.15">
      <c r="A297" t="s">
        <v>1993</v>
      </c>
      <c r="B297" t="s">
        <v>14</v>
      </c>
      <c r="C297" t="s">
        <v>118</v>
      </c>
      <c r="D297" t="s">
        <v>1994</v>
      </c>
      <c r="E297" t="s">
        <v>1995</v>
      </c>
      <c r="F297" t="s">
        <v>1996</v>
      </c>
      <c r="G297" t="s">
        <v>1997</v>
      </c>
      <c r="H297" t="s">
        <v>1997</v>
      </c>
      <c r="I297" t="s">
        <v>1998</v>
      </c>
      <c r="J297" t="s">
        <v>626</v>
      </c>
      <c r="K297" t="s">
        <v>64</v>
      </c>
      <c r="L297" t="s">
        <v>1998</v>
      </c>
      <c r="M297" t="s">
        <v>126</v>
      </c>
    </row>
    <row r="298" spans="1:13" x14ac:dyDescent="0.15">
      <c r="A298" t="s">
        <v>1999</v>
      </c>
      <c r="B298" t="s">
        <v>14</v>
      </c>
      <c r="C298" t="s">
        <v>23</v>
      </c>
      <c r="D298" t="s">
        <v>2000</v>
      </c>
      <c r="E298" t="s">
        <v>2001</v>
      </c>
      <c r="F298" t="s">
        <v>2002</v>
      </c>
      <c r="G298" t="s">
        <v>2003</v>
      </c>
      <c r="H298" t="s">
        <v>2003</v>
      </c>
      <c r="I298" t="s">
        <v>2004</v>
      </c>
      <c r="J298" t="s">
        <v>29</v>
      </c>
      <c r="K298" t="s">
        <v>1679</v>
      </c>
      <c r="L298" t="s">
        <v>2005</v>
      </c>
      <c r="M298" t="s">
        <v>41</v>
      </c>
    </row>
    <row r="299" spans="1:13" x14ac:dyDescent="0.15">
      <c r="A299" t="s">
        <v>2006</v>
      </c>
      <c r="B299" t="s">
        <v>14</v>
      </c>
      <c r="C299" t="s">
        <v>15</v>
      </c>
      <c r="D299" t="s">
        <v>2007</v>
      </c>
      <c r="E299" t="s">
        <v>2008</v>
      </c>
      <c r="F299" t="s">
        <v>2009</v>
      </c>
      <c r="G299" t="s">
        <v>2010</v>
      </c>
      <c r="H299" t="s">
        <v>2010</v>
      </c>
      <c r="J299" t="s">
        <v>297</v>
      </c>
      <c r="M299" t="s">
        <v>21</v>
      </c>
    </row>
    <row r="300" spans="1:13" x14ac:dyDescent="0.15">
      <c r="A300" t="s">
        <v>2011</v>
      </c>
      <c r="B300" t="s">
        <v>14</v>
      </c>
      <c r="C300" t="s">
        <v>118</v>
      </c>
      <c r="D300" t="s">
        <v>2012</v>
      </c>
      <c r="E300" t="s">
        <v>2013</v>
      </c>
      <c r="F300" t="s">
        <v>2014</v>
      </c>
      <c r="G300" t="s">
        <v>2015</v>
      </c>
      <c r="H300" t="s">
        <v>2015</v>
      </c>
      <c r="I300" t="s">
        <v>2016</v>
      </c>
      <c r="J300" t="s">
        <v>473</v>
      </c>
      <c r="K300" t="s">
        <v>540</v>
      </c>
      <c r="L300" t="s">
        <v>2016</v>
      </c>
      <c r="M300" t="s">
        <v>2017</v>
      </c>
    </row>
    <row r="301" spans="1:13" x14ac:dyDescent="0.15">
      <c r="A301" t="s">
        <v>2018</v>
      </c>
      <c r="B301" t="s">
        <v>14</v>
      </c>
      <c r="C301" t="s">
        <v>118</v>
      </c>
      <c r="D301" t="s">
        <v>2019</v>
      </c>
      <c r="E301" t="s">
        <v>2020</v>
      </c>
      <c r="F301" t="s">
        <v>2021</v>
      </c>
      <c r="G301" t="s">
        <v>2022</v>
      </c>
      <c r="H301" t="s">
        <v>2022</v>
      </c>
      <c r="I301" t="s">
        <v>2023</v>
      </c>
      <c r="J301" t="s">
        <v>473</v>
      </c>
      <c r="K301" t="s">
        <v>231</v>
      </c>
      <c r="L301" t="s">
        <v>2023</v>
      </c>
      <c r="M301" t="s">
        <v>1583</v>
      </c>
    </row>
    <row r="302" spans="1:13" x14ac:dyDescent="0.15">
      <c r="A302" t="s">
        <v>2024</v>
      </c>
      <c r="B302" t="s">
        <v>14</v>
      </c>
      <c r="C302" t="s">
        <v>118</v>
      </c>
      <c r="D302" t="s">
        <v>2025</v>
      </c>
      <c r="E302" t="s">
        <v>2026</v>
      </c>
      <c r="F302" t="s">
        <v>2027</v>
      </c>
      <c r="G302" t="s">
        <v>2028</v>
      </c>
      <c r="H302" t="s">
        <v>2028</v>
      </c>
      <c r="I302" t="s">
        <v>2029</v>
      </c>
      <c r="J302" t="s">
        <v>20</v>
      </c>
      <c r="K302" t="s">
        <v>2030</v>
      </c>
      <c r="L302" t="s">
        <v>2029</v>
      </c>
      <c r="M302" t="s">
        <v>432</v>
      </c>
    </row>
    <row r="303" spans="1:13" x14ac:dyDescent="0.15">
      <c r="A303" t="s">
        <v>2031</v>
      </c>
      <c r="B303" t="s">
        <v>14</v>
      </c>
      <c r="C303" t="s">
        <v>118</v>
      </c>
      <c r="D303" t="s">
        <v>2032</v>
      </c>
      <c r="E303" t="s">
        <v>2033</v>
      </c>
      <c r="F303" t="s">
        <v>2034</v>
      </c>
      <c r="G303" t="s">
        <v>2035</v>
      </c>
      <c r="H303" t="s">
        <v>2035</v>
      </c>
      <c r="I303" t="s">
        <v>2036</v>
      </c>
      <c r="J303" t="s">
        <v>270</v>
      </c>
      <c r="K303" t="s">
        <v>2037</v>
      </c>
      <c r="L303" t="s">
        <v>2036</v>
      </c>
      <c r="M303" t="s">
        <v>165</v>
      </c>
    </row>
    <row r="304" spans="1:13" x14ac:dyDescent="0.15">
      <c r="A304" t="s">
        <v>2038</v>
      </c>
      <c r="B304" t="s">
        <v>14</v>
      </c>
      <c r="C304" t="s">
        <v>23</v>
      </c>
      <c r="D304" t="s">
        <v>2039</v>
      </c>
      <c r="E304" t="s">
        <v>2040</v>
      </c>
      <c r="F304" t="s">
        <v>2041</v>
      </c>
      <c r="G304" t="s">
        <v>1657</v>
      </c>
      <c r="H304" t="s">
        <v>1657</v>
      </c>
      <c r="I304" t="s">
        <v>2042</v>
      </c>
      <c r="J304" t="s">
        <v>459</v>
      </c>
      <c r="K304" t="s">
        <v>2043</v>
      </c>
      <c r="L304" t="s">
        <v>1807</v>
      </c>
      <c r="M304" t="s">
        <v>41</v>
      </c>
    </row>
    <row r="305" spans="1:13" x14ac:dyDescent="0.15">
      <c r="A305" t="s">
        <v>2044</v>
      </c>
      <c r="B305" t="s">
        <v>14</v>
      </c>
      <c r="C305" t="s">
        <v>23</v>
      </c>
      <c r="D305" t="s">
        <v>2045</v>
      </c>
      <c r="E305" t="s">
        <v>2046</v>
      </c>
      <c r="F305" t="s">
        <v>2047</v>
      </c>
      <c r="G305" t="s">
        <v>2048</v>
      </c>
      <c r="H305" t="s">
        <v>2048</v>
      </c>
      <c r="I305" t="s">
        <v>2049</v>
      </c>
      <c r="J305" t="s">
        <v>214</v>
      </c>
      <c r="K305" t="s">
        <v>298</v>
      </c>
      <c r="L305" t="s">
        <v>2049</v>
      </c>
      <c r="M305" t="s">
        <v>31</v>
      </c>
    </row>
    <row r="306" spans="1:13" x14ac:dyDescent="0.15">
      <c r="A306" t="s">
        <v>2050</v>
      </c>
      <c r="B306" t="s">
        <v>14</v>
      </c>
      <c r="C306" t="s">
        <v>23</v>
      </c>
      <c r="D306" t="s">
        <v>2051</v>
      </c>
      <c r="E306" t="s">
        <v>2052</v>
      </c>
      <c r="F306" t="s">
        <v>2053</v>
      </c>
      <c r="G306" t="s">
        <v>2048</v>
      </c>
      <c r="H306" t="s">
        <v>2048</v>
      </c>
      <c r="I306" t="s">
        <v>2049</v>
      </c>
      <c r="J306" t="s">
        <v>214</v>
      </c>
      <c r="K306" t="s">
        <v>1295</v>
      </c>
      <c r="L306" t="s">
        <v>2049</v>
      </c>
      <c r="M306" t="s">
        <v>31</v>
      </c>
    </row>
    <row r="307" spans="1:13" x14ac:dyDescent="0.15">
      <c r="A307" t="s">
        <v>2054</v>
      </c>
      <c r="B307" t="s">
        <v>14</v>
      </c>
      <c r="C307" t="s">
        <v>118</v>
      </c>
      <c r="D307" t="s">
        <v>2055</v>
      </c>
      <c r="E307" t="s">
        <v>2056</v>
      </c>
      <c r="F307" t="s">
        <v>2057</v>
      </c>
      <c r="G307" t="s">
        <v>2058</v>
      </c>
      <c r="H307" t="s">
        <v>2058</v>
      </c>
      <c r="I307" t="s">
        <v>2059</v>
      </c>
      <c r="J307" t="s">
        <v>214</v>
      </c>
      <c r="K307" t="s">
        <v>540</v>
      </c>
      <c r="L307" t="s">
        <v>2059</v>
      </c>
      <c r="M307" t="s">
        <v>482</v>
      </c>
    </row>
    <row r="308" spans="1:13" x14ac:dyDescent="0.15">
      <c r="A308" t="s">
        <v>2060</v>
      </c>
      <c r="B308" t="s">
        <v>14</v>
      </c>
      <c r="C308" t="s">
        <v>118</v>
      </c>
      <c r="D308" t="s">
        <v>2061</v>
      </c>
      <c r="E308" t="s">
        <v>2062</v>
      </c>
      <c r="F308" t="s">
        <v>2063</v>
      </c>
      <c r="G308" t="s">
        <v>2064</v>
      </c>
      <c r="H308" t="s">
        <v>2064</v>
      </c>
      <c r="I308" t="s">
        <v>2065</v>
      </c>
      <c r="J308" t="s">
        <v>352</v>
      </c>
      <c r="K308" t="s">
        <v>452</v>
      </c>
      <c r="L308" t="s">
        <v>2065</v>
      </c>
      <c r="M308" t="s">
        <v>165</v>
      </c>
    </row>
    <row r="309" spans="1:13" x14ac:dyDescent="0.15">
      <c r="A309" t="s">
        <v>2066</v>
      </c>
      <c r="B309" t="s">
        <v>14</v>
      </c>
      <c r="C309" t="s">
        <v>118</v>
      </c>
      <c r="D309" t="s">
        <v>2067</v>
      </c>
      <c r="E309" t="s">
        <v>2068</v>
      </c>
      <c r="F309" t="s">
        <v>2069</v>
      </c>
      <c r="G309" t="s">
        <v>2070</v>
      </c>
      <c r="H309" t="s">
        <v>2070</v>
      </c>
      <c r="I309" t="s">
        <v>2071</v>
      </c>
      <c r="J309" t="s">
        <v>352</v>
      </c>
      <c r="K309" t="s">
        <v>431</v>
      </c>
      <c r="L309" t="s">
        <v>2071</v>
      </c>
      <c r="M309" t="s">
        <v>432</v>
      </c>
    </row>
    <row r="310" spans="1:13" x14ac:dyDescent="0.15">
      <c r="A310" t="s">
        <v>2072</v>
      </c>
      <c r="B310" t="s">
        <v>14</v>
      </c>
      <c r="C310" t="s">
        <v>23</v>
      </c>
      <c r="D310" t="s">
        <v>2073</v>
      </c>
      <c r="E310" t="s">
        <v>2074</v>
      </c>
      <c r="F310" t="s">
        <v>2075</v>
      </c>
      <c r="G310" t="s">
        <v>2076</v>
      </c>
      <c r="H310" t="s">
        <v>2076</v>
      </c>
      <c r="I310" t="s">
        <v>2077</v>
      </c>
      <c r="J310" t="s">
        <v>352</v>
      </c>
      <c r="K310" t="s">
        <v>744</v>
      </c>
      <c r="L310" t="s">
        <v>2078</v>
      </c>
      <c r="M310" t="s">
        <v>41</v>
      </c>
    </row>
    <row r="311" spans="1:13" x14ac:dyDescent="0.15">
      <c r="A311" t="s">
        <v>2079</v>
      </c>
      <c r="B311" t="s">
        <v>14</v>
      </c>
      <c r="C311" t="s">
        <v>15</v>
      </c>
      <c r="D311" t="s">
        <v>2080</v>
      </c>
      <c r="E311" t="s">
        <v>2081</v>
      </c>
      <c r="F311" t="s">
        <v>2082</v>
      </c>
      <c r="G311" t="s">
        <v>2083</v>
      </c>
      <c r="H311" t="s">
        <v>2083</v>
      </c>
      <c r="J311" t="s">
        <v>514</v>
      </c>
      <c r="M311" t="s">
        <v>21</v>
      </c>
    </row>
    <row r="312" spans="1:13" x14ac:dyDescent="0.15">
      <c r="A312" t="s">
        <v>2084</v>
      </c>
      <c r="B312" t="s">
        <v>14</v>
      </c>
      <c r="C312" t="s">
        <v>118</v>
      </c>
      <c r="D312" t="s">
        <v>2085</v>
      </c>
      <c r="E312" t="s">
        <v>2086</v>
      </c>
      <c r="F312" t="s">
        <v>2087</v>
      </c>
      <c r="G312" t="s">
        <v>2088</v>
      </c>
      <c r="H312" t="s">
        <v>2088</v>
      </c>
      <c r="I312" t="s">
        <v>96</v>
      </c>
      <c r="J312" t="s">
        <v>344</v>
      </c>
      <c r="K312" t="s">
        <v>1582</v>
      </c>
      <c r="L312" t="s">
        <v>96</v>
      </c>
      <c r="M312" t="s">
        <v>361</v>
      </c>
    </row>
    <row r="313" spans="1:13" x14ac:dyDescent="0.15">
      <c r="A313" t="s">
        <v>2089</v>
      </c>
      <c r="B313" t="s">
        <v>14</v>
      </c>
      <c r="C313" t="s">
        <v>118</v>
      </c>
      <c r="D313" t="s">
        <v>2090</v>
      </c>
      <c r="E313" t="s">
        <v>2091</v>
      </c>
      <c r="F313" t="s">
        <v>2092</v>
      </c>
      <c r="G313" t="s">
        <v>2093</v>
      </c>
      <c r="H313" t="s">
        <v>2093</v>
      </c>
      <c r="I313" t="s">
        <v>2094</v>
      </c>
      <c r="J313" t="s">
        <v>230</v>
      </c>
      <c r="K313" t="s">
        <v>1922</v>
      </c>
      <c r="L313" t="s">
        <v>2094</v>
      </c>
      <c r="M313" t="s">
        <v>2095</v>
      </c>
    </row>
    <row r="314" spans="1:13" x14ac:dyDescent="0.15">
      <c r="A314" t="s">
        <v>2096</v>
      </c>
      <c r="B314" t="s">
        <v>14</v>
      </c>
      <c r="C314" t="s">
        <v>23</v>
      </c>
      <c r="D314" t="s">
        <v>2097</v>
      </c>
      <c r="E314" t="s">
        <v>2098</v>
      </c>
      <c r="F314" t="s">
        <v>2099</v>
      </c>
      <c r="G314" t="s">
        <v>2100</v>
      </c>
      <c r="H314" t="s">
        <v>2100</v>
      </c>
      <c r="I314" t="s">
        <v>2101</v>
      </c>
      <c r="J314" t="s">
        <v>1037</v>
      </c>
      <c r="K314" t="s">
        <v>1743</v>
      </c>
      <c r="L314" t="s">
        <v>2102</v>
      </c>
      <c r="M314" t="s">
        <v>80</v>
      </c>
    </row>
    <row r="315" spans="1:13" x14ac:dyDescent="0.15">
      <c r="A315" t="s">
        <v>2103</v>
      </c>
      <c r="B315" t="s">
        <v>14</v>
      </c>
      <c r="C315" t="s">
        <v>23</v>
      </c>
      <c r="D315" t="s">
        <v>2104</v>
      </c>
      <c r="E315" t="s">
        <v>2105</v>
      </c>
      <c r="F315" t="s">
        <v>2106</v>
      </c>
      <c r="G315" t="s">
        <v>1187</v>
      </c>
      <c r="H315" t="s">
        <v>1187</v>
      </c>
      <c r="I315" t="s">
        <v>2107</v>
      </c>
      <c r="J315" t="s">
        <v>1037</v>
      </c>
      <c r="K315" t="s">
        <v>647</v>
      </c>
      <c r="L315" t="s">
        <v>2108</v>
      </c>
      <c r="M315" t="s">
        <v>80</v>
      </c>
    </row>
    <row r="316" spans="1:13" x14ac:dyDescent="0.15">
      <c r="A316" t="s">
        <v>2109</v>
      </c>
      <c r="B316" t="s">
        <v>14</v>
      </c>
      <c r="C316" t="s">
        <v>23</v>
      </c>
      <c r="D316" t="s">
        <v>2110</v>
      </c>
      <c r="E316" t="s">
        <v>2111</v>
      </c>
      <c r="F316" t="s">
        <v>2112</v>
      </c>
      <c r="G316" t="s">
        <v>2113</v>
      </c>
      <c r="H316" t="s">
        <v>2113</v>
      </c>
      <c r="I316" t="s">
        <v>2114</v>
      </c>
      <c r="J316" t="s">
        <v>29</v>
      </c>
      <c r="K316" t="s">
        <v>661</v>
      </c>
      <c r="L316" t="s">
        <v>2115</v>
      </c>
      <c r="M316" t="s">
        <v>104</v>
      </c>
    </row>
    <row r="317" spans="1:13" x14ac:dyDescent="0.15">
      <c r="A317" t="s">
        <v>2116</v>
      </c>
      <c r="B317" t="s">
        <v>14</v>
      </c>
      <c r="C317" t="s">
        <v>118</v>
      </c>
      <c r="D317" t="s">
        <v>2117</v>
      </c>
      <c r="E317" t="s">
        <v>2118</v>
      </c>
      <c r="F317" t="s">
        <v>2119</v>
      </c>
      <c r="G317" t="s">
        <v>2120</v>
      </c>
      <c r="H317" t="s">
        <v>2120</v>
      </c>
      <c r="I317" t="s">
        <v>2121</v>
      </c>
      <c r="J317" t="s">
        <v>230</v>
      </c>
      <c r="K317" t="s">
        <v>2122</v>
      </c>
      <c r="L317" t="s">
        <v>2121</v>
      </c>
      <c r="M317" t="s">
        <v>248</v>
      </c>
    </row>
    <row r="318" spans="1:13" x14ac:dyDescent="0.15">
      <c r="A318" t="s">
        <v>2123</v>
      </c>
      <c r="B318" t="s">
        <v>14</v>
      </c>
      <c r="C318" t="s">
        <v>23</v>
      </c>
      <c r="D318" t="s">
        <v>2124</v>
      </c>
      <c r="E318" t="s">
        <v>2125</v>
      </c>
      <c r="F318" t="s">
        <v>2126</v>
      </c>
      <c r="G318" t="s">
        <v>2127</v>
      </c>
      <c r="H318" t="s">
        <v>2127</v>
      </c>
      <c r="I318" t="s">
        <v>2128</v>
      </c>
      <c r="J318" t="s">
        <v>1037</v>
      </c>
      <c r="K318" t="s">
        <v>647</v>
      </c>
      <c r="L318" t="s">
        <v>2129</v>
      </c>
      <c r="M318" t="s">
        <v>80</v>
      </c>
    </row>
    <row r="319" spans="1:13" x14ac:dyDescent="0.15">
      <c r="A319" t="s">
        <v>2130</v>
      </c>
      <c r="B319" t="s">
        <v>14</v>
      </c>
      <c r="C319" t="s">
        <v>23</v>
      </c>
      <c r="D319" t="s">
        <v>2131</v>
      </c>
      <c r="E319" t="s">
        <v>2132</v>
      </c>
      <c r="F319" t="s">
        <v>2133</v>
      </c>
      <c r="G319" t="s">
        <v>2134</v>
      </c>
      <c r="H319" t="s">
        <v>2134</v>
      </c>
      <c r="I319" t="s">
        <v>2135</v>
      </c>
      <c r="J319" t="s">
        <v>29</v>
      </c>
      <c r="K319" t="s">
        <v>380</v>
      </c>
      <c r="L319" t="s">
        <v>2135</v>
      </c>
      <c r="M319" t="s">
        <v>41</v>
      </c>
    </row>
    <row r="320" spans="1:13" x14ac:dyDescent="0.15">
      <c r="A320" t="s">
        <v>2136</v>
      </c>
      <c r="B320" t="s">
        <v>14</v>
      </c>
      <c r="C320" t="s">
        <v>23</v>
      </c>
      <c r="D320" t="s">
        <v>2137</v>
      </c>
      <c r="E320" t="s">
        <v>2138</v>
      </c>
      <c r="F320" t="s">
        <v>2139</v>
      </c>
      <c r="G320" t="s">
        <v>2140</v>
      </c>
      <c r="H320" t="s">
        <v>2140</v>
      </c>
      <c r="I320" t="s">
        <v>2141</v>
      </c>
      <c r="J320" t="s">
        <v>415</v>
      </c>
      <c r="K320" t="s">
        <v>709</v>
      </c>
      <c r="L320" t="s">
        <v>2142</v>
      </c>
      <c r="M320" t="s">
        <v>104</v>
      </c>
    </row>
    <row r="321" spans="1:13" x14ac:dyDescent="0.15">
      <c r="A321" t="s">
        <v>2143</v>
      </c>
      <c r="B321" t="s">
        <v>14</v>
      </c>
      <c r="C321" t="s">
        <v>23</v>
      </c>
      <c r="D321" t="s">
        <v>2144</v>
      </c>
      <c r="E321" t="s">
        <v>2145</v>
      </c>
      <c r="F321" t="s">
        <v>2146</v>
      </c>
      <c r="G321" t="s">
        <v>2147</v>
      </c>
      <c r="H321" t="s">
        <v>2147</v>
      </c>
      <c r="I321" t="s">
        <v>2148</v>
      </c>
      <c r="J321" t="s">
        <v>415</v>
      </c>
      <c r="K321" t="s">
        <v>416</v>
      </c>
      <c r="L321" t="s">
        <v>2149</v>
      </c>
      <c r="M321" t="s">
        <v>104</v>
      </c>
    </row>
    <row r="322" spans="1:13" x14ac:dyDescent="0.15">
      <c r="A322" t="s">
        <v>2150</v>
      </c>
      <c r="B322" t="s">
        <v>14</v>
      </c>
      <c r="C322" t="s">
        <v>118</v>
      </c>
      <c r="D322" t="s">
        <v>2151</v>
      </c>
      <c r="E322" t="s">
        <v>2152</v>
      </c>
      <c r="F322" t="s">
        <v>2153</v>
      </c>
      <c r="G322" t="s">
        <v>2154</v>
      </c>
      <c r="H322" t="s">
        <v>2154</v>
      </c>
      <c r="I322" t="s">
        <v>2155</v>
      </c>
      <c r="J322" t="s">
        <v>206</v>
      </c>
      <c r="K322" t="s">
        <v>1541</v>
      </c>
      <c r="L322" t="s">
        <v>2155</v>
      </c>
      <c r="M322" t="s">
        <v>183</v>
      </c>
    </row>
    <row r="323" spans="1:13" x14ac:dyDescent="0.15">
      <c r="A323" t="s">
        <v>2156</v>
      </c>
      <c r="B323" t="s">
        <v>14</v>
      </c>
      <c r="C323" t="s">
        <v>118</v>
      </c>
      <c r="D323" t="s">
        <v>2157</v>
      </c>
      <c r="E323" t="s">
        <v>2158</v>
      </c>
      <c r="F323" t="s">
        <v>2159</v>
      </c>
      <c r="G323" t="s">
        <v>2160</v>
      </c>
      <c r="H323" t="s">
        <v>2160</v>
      </c>
      <c r="I323" t="s">
        <v>2161</v>
      </c>
      <c r="J323" t="s">
        <v>255</v>
      </c>
      <c r="K323" t="s">
        <v>567</v>
      </c>
      <c r="L323" t="s">
        <v>2161</v>
      </c>
      <c r="M323" t="s">
        <v>183</v>
      </c>
    </row>
    <row r="324" spans="1:13" x14ac:dyDescent="0.15">
      <c r="A324" t="s">
        <v>2162</v>
      </c>
      <c r="B324" t="s">
        <v>14</v>
      </c>
      <c r="C324" t="s">
        <v>23</v>
      </c>
      <c r="D324" t="s">
        <v>2163</v>
      </c>
      <c r="E324" t="s">
        <v>2164</v>
      </c>
      <c r="F324" t="s">
        <v>2165</v>
      </c>
      <c r="G324" t="s">
        <v>2166</v>
      </c>
      <c r="H324" t="s">
        <v>2166</v>
      </c>
      <c r="I324" t="s">
        <v>2167</v>
      </c>
      <c r="J324" t="s">
        <v>514</v>
      </c>
      <c r="K324" t="s">
        <v>2030</v>
      </c>
      <c r="L324" t="s">
        <v>2167</v>
      </c>
      <c r="M324" t="s">
        <v>104</v>
      </c>
    </row>
    <row r="325" spans="1:13" x14ac:dyDescent="0.15">
      <c r="A325" t="s">
        <v>2168</v>
      </c>
      <c r="B325" t="s">
        <v>14</v>
      </c>
      <c r="C325" t="s">
        <v>118</v>
      </c>
      <c r="D325" t="s">
        <v>2169</v>
      </c>
      <c r="E325" t="s">
        <v>2170</v>
      </c>
      <c r="F325" t="s">
        <v>2171</v>
      </c>
      <c r="G325" t="s">
        <v>2172</v>
      </c>
      <c r="H325" t="s">
        <v>2172</v>
      </c>
      <c r="I325" t="s">
        <v>2173</v>
      </c>
      <c r="J325" t="s">
        <v>1194</v>
      </c>
      <c r="K325" t="s">
        <v>2037</v>
      </c>
      <c r="L325" t="s">
        <v>2174</v>
      </c>
      <c r="M325" t="s">
        <v>1015</v>
      </c>
    </row>
    <row r="326" spans="1:13" x14ac:dyDescent="0.15">
      <c r="A326" t="s">
        <v>2175</v>
      </c>
      <c r="B326" t="s">
        <v>14</v>
      </c>
      <c r="C326" t="s">
        <v>118</v>
      </c>
      <c r="D326" t="s">
        <v>2176</v>
      </c>
      <c r="E326" t="s">
        <v>2177</v>
      </c>
      <c r="F326" t="s">
        <v>2178</v>
      </c>
      <c r="G326" t="s">
        <v>2179</v>
      </c>
      <c r="H326" t="s">
        <v>2179</v>
      </c>
      <c r="I326" t="s">
        <v>2180</v>
      </c>
      <c r="J326" t="s">
        <v>2181</v>
      </c>
      <c r="K326" t="s">
        <v>853</v>
      </c>
      <c r="L326" t="s">
        <v>2180</v>
      </c>
      <c r="M326" t="s">
        <v>432</v>
      </c>
    </row>
    <row r="327" spans="1:13" x14ac:dyDescent="0.15">
      <c r="A327" t="s">
        <v>2182</v>
      </c>
      <c r="B327" t="s">
        <v>14</v>
      </c>
      <c r="C327" t="s">
        <v>23</v>
      </c>
      <c r="D327" t="s">
        <v>2183</v>
      </c>
      <c r="E327" t="s">
        <v>2184</v>
      </c>
      <c r="F327" t="s">
        <v>2185</v>
      </c>
      <c r="G327" t="s">
        <v>2186</v>
      </c>
      <c r="H327" t="s">
        <v>2186</v>
      </c>
      <c r="I327" t="s">
        <v>2187</v>
      </c>
      <c r="J327" t="s">
        <v>29</v>
      </c>
      <c r="K327" t="s">
        <v>832</v>
      </c>
      <c r="L327" t="s">
        <v>2187</v>
      </c>
      <c r="M327" t="s">
        <v>41</v>
      </c>
    </row>
    <row r="328" spans="1:13" x14ac:dyDescent="0.15">
      <c r="A328" t="s">
        <v>2188</v>
      </c>
      <c r="B328" t="s">
        <v>14</v>
      </c>
      <c r="C328" t="s">
        <v>23</v>
      </c>
      <c r="D328" t="s">
        <v>2189</v>
      </c>
      <c r="E328" t="s">
        <v>2190</v>
      </c>
      <c r="F328" t="s">
        <v>2191</v>
      </c>
      <c r="G328" t="s">
        <v>2192</v>
      </c>
      <c r="H328" t="s">
        <v>2192</v>
      </c>
      <c r="I328" t="s">
        <v>2193</v>
      </c>
      <c r="J328" t="s">
        <v>352</v>
      </c>
      <c r="K328" t="s">
        <v>231</v>
      </c>
      <c r="L328" t="s">
        <v>2193</v>
      </c>
      <c r="M328" t="s">
        <v>216</v>
      </c>
    </row>
    <row r="329" spans="1:13" x14ac:dyDescent="0.15">
      <c r="A329" t="s">
        <v>2194</v>
      </c>
      <c r="B329" t="s">
        <v>14</v>
      </c>
      <c r="C329" t="s">
        <v>118</v>
      </c>
      <c r="D329" t="s">
        <v>2195</v>
      </c>
      <c r="E329" t="s">
        <v>2196</v>
      </c>
      <c r="F329" t="s">
        <v>2197</v>
      </c>
      <c r="G329" t="s">
        <v>2198</v>
      </c>
      <c r="H329" t="s">
        <v>2198</v>
      </c>
      <c r="I329" t="s">
        <v>2199</v>
      </c>
      <c r="J329" t="s">
        <v>29</v>
      </c>
      <c r="K329" t="s">
        <v>980</v>
      </c>
      <c r="L329" t="s">
        <v>2199</v>
      </c>
      <c r="M329" t="s">
        <v>165</v>
      </c>
    </row>
    <row r="330" spans="1:13" x14ac:dyDescent="0.15">
      <c r="A330" t="s">
        <v>2200</v>
      </c>
      <c r="B330" t="s">
        <v>14</v>
      </c>
      <c r="C330" t="s">
        <v>15</v>
      </c>
      <c r="D330" t="s">
        <v>2201</v>
      </c>
      <c r="E330" t="s">
        <v>2202</v>
      </c>
      <c r="F330" t="s">
        <v>2203</v>
      </c>
      <c r="G330" t="s">
        <v>2204</v>
      </c>
      <c r="H330" t="s">
        <v>145</v>
      </c>
      <c r="J330" t="s">
        <v>2205</v>
      </c>
      <c r="M330" t="s">
        <v>139</v>
      </c>
    </row>
    <row r="331" spans="1:13" x14ac:dyDescent="0.15">
      <c r="A331" t="s">
        <v>2206</v>
      </c>
      <c r="B331" t="s">
        <v>14</v>
      </c>
      <c r="C331" t="s">
        <v>15</v>
      </c>
      <c r="D331" t="s">
        <v>2207</v>
      </c>
      <c r="E331" t="s">
        <v>2208</v>
      </c>
      <c r="F331" t="s">
        <v>2209</v>
      </c>
      <c r="G331" t="s">
        <v>2210</v>
      </c>
      <c r="H331" t="s">
        <v>145</v>
      </c>
      <c r="J331" t="s">
        <v>2205</v>
      </c>
      <c r="M331" t="s">
        <v>139</v>
      </c>
    </row>
    <row r="332" spans="1:13" x14ac:dyDescent="0.15">
      <c r="A332" t="s">
        <v>2211</v>
      </c>
      <c r="B332" t="s">
        <v>14</v>
      </c>
      <c r="C332" t="s">
        <v>118</v>
      </c>
      <c r="D332" t="s">
        <v>2212</v>
      </c>
      <c r="E332" t="s">
        <v>2213</v>
      </c>
      <c r="F332" t="s">
        <v>2214</v>
      </c>
      <c r="G332" t="s">
        <v>2215</v>
      </c>
      <c r="H332" t="s">
        <v>2215</v>
      </c>
      <c r="I332" t="s">
        <v>2216</v>
      </c>
      <c r="J332" t="s">
        <v>270</v>
      </c>
      <c r="K332" t="s">
        <v>2217</v>
      </c>
      <c r="L332" t="s">
        <v>2216</v>
      </c>
      <c r="M332" t="s">
        <v>1015</v>
      </c>
    </row>
    <row r="333" spans="1:13" x14ac:dyDescent="0.15">
      <c r="A333" t="s">
        <v>2218</v>
      </c>
      <c r="B333" t="s">
        <v>14</v>
      </c>
      <c r="C333" t="s">
        <v>118</v>
      </c>
      <c r="D333" t="s">
        <v>2219</v>
      </c>
      <c r="E333" t="s">
        <v>2220</v>
      </c>
      <c r="F333" t="s">
        <v>2221</v>
      </c>
      <c r="G333" t="s">
        <v>2222</v>
      </c>
      <c r="H333" t="s">
        <v>2222</v>
      </c>
      <c r="I333" t="s">
        <v>2223</v>
      </c>
      <c r="J333" t="s">
        <v>2181</v>
      </c>
      <c r="K333" t="s">
        <v>2217</v>
      </c>
      <c r="L333" t="s">
        <v>2223</v>
      </c>
      <c r="M333" t="s">
        <v>183</v>
      </c>
    </row>
    <row r="334" spans="1:13" x14ac:dyDescent="0.15">
      <c r="A334" t="s">
        <v>2224</v>
      </c>
      <c r="B334" t="s">
        <v>14</v>
      </c>
      <c r="C334" t="s">
        <v>118</v>
      </c>
      <c r="D334" t="s">
        <v>2225</v>
      </c>
      <c r="E334" t="s">
        <v>2226</v>
      </c>
      <c r="F334" t="s">
        <v>2227</v>
      </c>
      <c r="H334" t="s">
        <v>2228</v>
      </c>
      <c r="I334" t="s">
        <v>2229</v>
      </c>
      <c r="J334" t="s">
        <v>1945</v>
      </c>
      <c r="K334" t="s">
        <v>256</v>
      </c>
      <c r="L334" t="s">
        <v>2229</v>
      </c>
      <c r="M334" t="s">
        <v>104</v>
      </c>
    </row>
    <row r="335" spans="1:13" x14ac:dyDescent="0.15">
      <c r="A335" t="s">
        <v>2230</v>
      </c>
      <c r="B335" t="s">
        <v>14</v>
      </c>
      <c r="C335" t="s">
        <v>23</v>
      </c>
      <c r="D335" t="s">
        <v>2231</v>
      </c>
      <c r="E335" t="s">
        <v>2232</v>
      </c>
      <c r="F335" t="s">
        <v>2233</v>
      </c>
      <c r="G335" t="s">
        <v>2234</v>
      </c>
      <c r="H335" t="s">
        <v>2234</v>
      </c>
      <c r="I335" t="s">
        <v>2235</v>
      </c>
      <c r="J335" t="s">
        <v>2236</v>
      </c>
      <c r="K335" t="s">
        <v>72</v>
      </c>
      <c r="L335" t="s">
        <v>2237</v>
      </c>
      <c r="M335" t="s">
        <v>41</v>
      </c>
    </row>
    <row r="336" spans="1:13" x14ac:dyDescent="0.15">
      <c r="A336" t="s">
        <v>2238</v>
      </c>
      <c r="B336" t="s">
        <v>14</v>
      </c>
      <c r="C336" t="s">
        <v>118</v>
      </c>
      <c r="D336" t="s">
        <v>2239</v>
      </c>
      <c r="E336" t="s">
        <v>2240</v>
      </c>
      <c r="F336" t="s">
        <v>2241</v>
      </c>
      <c r="G336" t="s">
        <v>2242</v>
      </c>
      <c r="H336" t="s">
        <v>2242</v>
      </c>
      <c r="I336" t="s">
        <v>2243</v>
      </c>
      <c r="J336" t="s">
        <v>514</v>
      </c>
      <c r="K336" t="s">
        <v>215</v>
      </c>
      <c r="L336" t="s">
        <v>2243</v>
      </c>
      <c r="M336" t="s">
        <v>353</v>
      </c>
    </row>
    <row r="337" spans="1:13" x14ac:dyDescent="0.15">
      <c r="A337" t="s">
        <v>2244</v>
      </c>
      <c r="B337" t="s">
        <v>14</v>
      </c>
      <c r="C337" t="s">
        <v>118</v>
      </c>
      <c r="D337" t="s">
        <v>2245</v>
      </c>
      <c r="E337" t="s">
        <v>2246</v>
      </c>
      <c r="F337" t="s">
        <v>2247</v>
      </c>
      <c r="G337" t="s">
        <v>2248</v>
      </c>
      <c r="H337" t="s">
        <v>2248</v>
      </c>
      <c r="I337" t="s">
        <v>2249</v>
      </c>
      <c r="J337" t="s">
        <v>246</v>
      </c>
      <c r="K337" t="s">
        <v>1104</v>
      </c>
      <c r="L337" t="s">
        <v>2249</v>
      </c>
      <c r="M337" t="s">
        <v>126</v>
      </c>
    </row>
    <row r="338" spans="1:13" x14ac:dyDescent="0.15">
      <c r="A338" t="s">
        <v>2250</v>
      </c>
      <c r="B338" t="s">
        <v>14</v>
      </c>
      <c r="C338" t="s">
        <v>23</v>
      </c>
      <c r="D338" t="s">
        <v>2251</v>
      </c>
      <c r="E338" t="s">
        <v>2252</v>
      </c>
      <c r="F338" t="s">
        <v>2253</v>
      </c>
      <c r="G338" t="s">
        <v>2254</v>
      </c>
      <c r="H338" t="s">
        <v>2254</v>
      </c>
      <c r="I338" t="s">
        <v>57</v>
      </c>
      <c r="J338" t="s">
        <v>521</v>
      </c>
      <c r="K338" t="s">
        <v>231</v>
      </c>
      <c r="L338" t="s">
        <v>57</v>
      </c>
      <c r="M338" t="s">
        <v>104</v>
      </c>
    </row>
    <row r="339" spans="1:13" x14ac:dyDescent="0.15">
      <c r="A339" t="s">
        <v>2255</v>
      </c>
      <c r="B339" t="s">
        <v>14</v>
      </c>
      <c r="C339" t="s">
        <v>23</v>
      </c>
      <c r="D339" t="s">
        <v>2256</v>
      </c>
      <c r="E339" t="s">
        <v>2257</v>
      </c>
      <c r="F339" t="s">
        <v>2258</v>
      </c>
      <c r="G339" t="s">
        <v>2259</v>
      </c>
      <c r="H339" t="s">
        <v>2259</v>
      </c>
      <c r="I339" t="s">
        <v>2260</v>
      </c>
      <c r="J339" t="s">
        <v>521</v>
      </c>
      <c r="K339" t="s">
        <v>540</v>
      </c>
      <c r="L339" t="s">
        <v>2260</v>
      </c>
      <c r="M339" t="s">
        <v>104</v>
      </c>
    </row>
    <row r="340" spans="1:13" x14ac:dyDescent="0.15">
      <c r="A340" t="s">
        <v>2261</v>
      </c>
      <c r="B340" t="s">
        <v>14</v>
      </c>
      <c r="C340" t="s">
        <v>23</v>
      </c>
      <c r="D340" t="s">
        <v>2262</v>
      </c>
      <c r="E340" t="s">
        <v>2263</v>
      </c>
      <c r="F340" t="s">
        <v>2264</v>
      </c>
      <c r="G340" t="s">
        <v>2265</v>
      </c>
      <c r="H340" t="s">
        <v>2265</v>
      </c>
      <c r="I340" t="s">
        <v>2266</v>
      </c>
      <c r="J340" t="s">
        <v>138</v>
      </c>
      <c r="K340" t="s">
        <v>2267</v>
      </c>
      <c r="L340" t="s">
        <v>1534</v>
      </c>
      <c r="M340" t="s">
        <v>80</v>
      </c>
    </row>
    <row r="341" spans="1:13" x14ac:dyDescent="0.15">
      <c r="A341" t="s">
        <v>2268</v>
      </c>
      <c r="B341" t="s">
        <v>14</v>
      </c>
      <c r="C341" t="s">
        <v>118</v>
      </c>
      <c r="D341" t="s">
        <v>2269</v>
      </c>
      <c r="E341" t="s">
        <v>2270</v>
      </c>
      <c r="F341" t="s">
        <v>2271</v>
      </c>
      <c r="G341" t="s">
        <v>2272</v>
      </c>
      <c r="H341" t="s">
        <v>2272</v>
      </c>
      <c r="I341" t="s">
        <v>2273</v>
      </c>
      <c r="J341" t="s">
        <v>246</v>
      </c>
      <c r="K341" t="s">
        <v>1672</v>
      </c>
      <c r="L341" t="s">
        <v>2274</v>
      </c>
      <c r="M341" t="s">
        <v>192</v>
      </c>
    </row>
    <row r="342" spans="1:13" x14ac:dyDescent="0.15">
      <c r="A342" t="s">
        <v>2275</v>
      </c>
      <c r="B342" t="s">
        <v>14</v>
      </c>
      <c r="C342" t="s">
        <v>118</v>
      </c>
      <c r="D342" t="s">
        <v>2276</v>
      </c>
      <c r="E342" t="s">
        <v>2277</v>
      </c>
      <c r="F342" t="s">
        <v>2278</v>
      </c>
      <c r="G342" t="s">
        <v>2279</v>
      </c>
      <c r="H342" t="s">
        <v>2279</v>
      </c>
      <c r="I342" t="s">
        <v>2280</v>
      </c>
      <c r="J342" t="s">
        <v>246</v>
      </c>
      <c r="K342" t="s">
        <v>567</v>
      </c>
      <c r="L342" t="s">
        <v>2281</v>
      </c>
      <c r="M342" t="s">
        <v>174</v>
      </c>
    </row>
    <row r="343" spans="1:13" x14ac:dyDescent="0.15">
      <c r="A343" t="s">
        <v>2282</v>
      </c>
      <c r="B343" t="s">
        <v>14</v>
      </c>
      <c r="C343" t="s">
        <v>118</v>
      </c>
      <c r="D343" t="s">
        <v>2283</v>
      </c>
      <c r="E343" t="s">
        <v>2284</v>
      </c>
      <c r="F343" t="s">
        <v>2285</v>
      </c>
      <c r="G343" t="s">
        <v>2215</v>
      </c>
      <c r="H343" t="s">
        <v>2215</v>
      </c>
      <c r="I343" t="s">
        <v>2286</v>
      </c>
      <c r="J343" t="s">
        <v>246</v>
      </c>
      <c r="K343" t="s">
        <v>1437</v>
      </c>
      <c r="L343" t="s">
        <v>2286</v>
      </c>
      <c r="M343" t="s">
        <v>174</v>
      </c>
    </row>
    <row r="344" spans="1:13" x14ac:dyDescent="0.15">
      <c r="A344" t="s">
        <v>2287</v>
      </c>
      <c r="B344" t="s">
        <v>14</v>
      </c>
      <c r="C344" t="s">
        <v>23</v>
      </c>
      <c r="D344" t="s">
        <v>2288</v>
      </c>
      <c r="E344" t="s">
        <v>2289</v>
      </c>
      <c r="F344" t="s">
        <v>2290</v>
      </c>
      <c r="G344" t="s">
        <v>2291</v>
      </c>
      <c r="H344" t="s">
        <v>2291</v>
      </c>
      <c r="I344" t="s">
        <v>2292</v>
      </c>
      <c r="J344" t="s">
        <v>20</v>
      </c>
      <c r="K344" t="s">
        <v>980</v>
      </c>
      <c r="L344" t="s">
        <v>2292</v>
      </c>
      <c r="M344" t="s">
        <v>104</v>
      </c>
    </row>
    <row r="345" spans="1:13" x14ac:dyDescent="0.15">
      <c r="A345" t="s">
        <v>2293</v>
      </c>
      <c r="B345" t="s">
        <v>14</v>
      </c>
      <c r="C345" t="s">
        <v>23</v>
      </c>
      <c r="D345" t="s">
        <v>2294</v>
      </c>
      <c r="E345" t="s">
        <v>2295</v>
      </c>
      <c r="F345" t="s">
        <v>2296</v>
      </c>
      <c r="G345" t="s">
        <v>2297</v>
      </c>
      <c r="H345" t="s">
        <v>2297</v>
      </c>
      <c r="I345" t="s">
        <v>2298</v>
      </c>
      <c r="J345" t="s">
        <v>246</v>
      </c>
      <c r="K345" t="s">
        <v>48</v>
      </c>
      <c r="L345" t="s">
        <v>2298</v>
      </c>
      <c r="M345" t="s">
        <v>216</v>
      </c>
    </row>
    <row r="346" spans="1:13" x14ac:dyDescent="0.15">
      <c r="A346" t="s">
        <v>2299</v>
      </c>
      <c r="B346" t="s">
        <v>14</v>
      </c>
      <c r="C346" t="s">
        <v>23</v>
      </c>
      <c r="D346" t="s">
        <v>2300</v>
      </c>
      <c r="E346" t="s">
        <v>2301</v>
      </c>
      <c r="F346" t="s">
        <v>2302</v>
      </c>
      <c r="G346" t="s">
        <v>1163</v>
      </c>
      <c r="H346" t="s">
        <v>1163</v>
      </c>
      <c r="I346" t="s">
        <v>2303</v>
      </c>
      <c r="J346" t="s">
        <v>124</v>
      </c>
      <c r="K346" t="s">
        <v>1170</v>
      </c>
      <c r="L346" t="s">
        <v>2303</v>
      </c>
      <c r="M346" t="s">
        <v>104</v>
      </c>
    </row>
    <row r="347" spans="1:13" x14ac:dyDescent="0.15">
      <c r="A347" t="s">
        <v>2304</v>
      </c>
      <c r="B347" t="s">
        <v>14</v>
      </c>
      <c r="C347" t="s">
        <v>23</v>
      </c>
      <c r="D347" t="s">
        <v>2305</v>
      </c>
      <c r="E347" t="s">
        <v>2306</v>
      </c>
      <c r="F347" t="s">
        <v>2307</v>
      </c>
      <c r="G347" t="s">
        <v>2308</v>
      </c>
      <c r="H347" t="s">
        <v>2308</v>
      </c>
      <c r="I347" t="s">
        <v>2309</v>
      </c>
      <c r="J347" t="s">
        <v>481</v>
      </c>
      <c r="K347" t="s">
        <v>1262</v>
      </c>
      <c r="L347" t="s">
        <v>2309</v>
      </c>
      <c r="M347" t="s">
        <v>31</v>
      </c>
    </row>
    <row r="348" spans="1:13" x14ac:dyDescent="0.15">
      <c r="A348" t="s">
        <v>2310</v>
      </c>
      <c r="B348" t="s">
        <v>14</v>
      </c>
      <c r="C348" t="s">
        <v>118</v>
      </c>
      <c r="D348" t="s">
        <v>2311</v>
      </c>
      <c r="E348" t="s">
        <v>2312</v>
      </c>
      <c r="F348" t="s">
        <v>2313</v>
      </c>
      <c r="G348" t="s">
        <v>2314</v>
      </c>
      <c r="H348" t="s">
        <v>2314</v>
      </c>
      <c r="I348" t="s">
        <v>2315</v>
      </c>
      <c r="J348" t="s">
        <v>124</v>
      </c>
      <c r="K348" t="s">
        <v>215</v>
      </c>
      <c r="L348" t="s">
        <v>2315</v>
      </c>
      <c r="M348" t="s">
        <v>290</v>
      </c>
    </row>
    <row r="349" spans="1:13" x14ac:dyDescent="0.15">
      <c r="A349" t="s">
        <v>2316</v>
      </c>
      <c r="B349" t="s">
        <v>14</v>
      </c>
      <c r="C349" t="s">
        <v>23</v>
      </c>
      <c r="D349" t="s">
        <v>2317</v>
      </c>
      <c r="E349" t="s">
        <v>2318</v>
      </c>
      <c r="F349" t="s">
        <v>2319</v>
      </c>
      <c r="G349" t="s">
        <v>2320</v>
      </c>
      <c r="H349" t="s">
        <v>2320</v>
      </c>
      <c r="I349" t="s">
        <v>2321</v>
      </c>
      <c r="J349" t="s">
        <v>415</v>
      </c>
      <c r="K349" t="s">
        <v>1321</v>
      </c>
      <c r="L349" t="s">
        <v>2321</v>
      </c>
      <c r="M349" t="s">
        <v>104</v>
      </c>
    </row>
    <row r="350" spans="1:13" x14ac:dyDescent="0.15">
      <c r="A350" t="s">
        <v>2322</v>
      </c>
      <c r="B350" t="s">
        <v>14</v>
      </c>
      <c r="C350" t="s">
        <v>118</v>
      </c>
      <c r="D350" t="s">
        <v>2323</v>
      </c>
      <c r="E350" t="s">
        <v>2324</v>
      </c>
      <c r="F350" t="s">
        <v>2325</v>
      </c>
      <c r="G350" t="s">
        <v>2326</v>
      </c>
      <c r="H350" t="s">
        <v>2326</v>
      </c>
      <c r="I350" t="s">
        <v>2327</v>
      </c>
      <c r="J350" t="s">
        <v>514</v>
      </c>
      <c r="K350" t="s">
        <v>173</v>
      </c>
      <c r="L350" t="s">
        <v>2327</v>
      </c>
      <c r="M350" t="s">
        <v>80</v>
      </c>
    </row>
    <row r="351" spans="1:13" x14ac:dyDescent="0.15">
      <c r="A351" t="s">
        <v>2328</v>
      </c>
      <c r="B351" t="s">
        <v>14</v>
      </c>
      <c r="C351" t="s">
        <v>118</v>
      </c>
      <c r="D351" t="s">
        <v>2329</v>
      </c>
      <c r="E351" t="s">
        <v>2330</v>
      </c>
      <c r="F351" t="s">
        <v>2331</v>
      </c>
      <c r="G351" t="s">
        <v>1775</v>
      </c>
      <c r="H351" t="s">
        <v>1775</v>
      </c>
      <c r="I351" t="s">
        <v>1776</v>
      </c>
      <c r="J351" t="s">
        <v>1194</v>
      </c>
      <c r="K351" t="s">
        <v>2332</v>
      </c>
      <c r="L351" t="s">
        <v>1776</v>
      </c>
      <c r="M351" t="s">
        <v>192</v>
      </c>
    </row>
    <row r="352" spans="1:13" x14ac:dyDescent="0.15">
      <c r="A352" t="s">
        <v>2333</v>
      </c>
      <c r="B352" t="s">
        <v>14</v>
      </c>
      <c r="C352" t="s">
        <v>118</v>
      </c>
      <c r="D352" t="s">
        <v>2334</v>
      </c>
      <c r="E352" t="s">
        <v>2335</v>
      </c>
      <c r="F352" t="s">
        <v>2336</v>
      </c>
      <c r="G352" t="s">
        <v>2337</v>
      </c>
      <c r="H352" t="s">
        <v>145</v>
      </c>
      <c r="I352" t="s">
        <v>2338</v>
      </c>
      <c r="J352" t="s">
        <v>172</v>
      </c>
      <c r="K352" t="s">
        <v>431</v>
      </c>
      <c r="L352" t="s">
        <v>2338</v>
      </c>
      <c r="M352" t="s">
        <v>104</v>
      </c>
    </row>
    <row r="353" spans="1:13" x14ac:dyDescent="0.15">
      <c r="A353" t="s">
        <v>2339</v>
      </c>
      <c r="B353" t="s">
        <v>14</v>
      </c>
      <c r="C353" t="s">
        <v>118</v>
      </c>
      <c r="D353" t="s">
        <v>2340</v>
      </c>
      <c r="E353" t="s">
        <v>2341</v>
      </c>
      <c r="F353" t="s">
        <v>2342</v>
      </c>
      <c r="G353" t="s">
        <v>2343</v>
      </c>
      <c r="H353" t="s">
        <v>2343</v>
      </c>
      <c r="I353" t="s">
        <v>2344</v>
      </c>
      <c r="J353" t="s">
        <v>626</v>
      </c>
      <c r="K353" t="s">
        <v>1672</v>
      </c>
      <c r="L353" t="s">
        <v>2344</v>
      </c>
      <c r="M353" t="s">
        <v>880</v>
      </c>
    </row>
    <row r="354" spans="1:13" x14ac:dyDescent="0.15">
      <c r="A354" t="s">
        <v>2345</v>
      </c>
      <c r="B354" t="s">
        <v>14</v>
      </c>
      <c r="C354" t="s">
        <v>118</v>
      </c>
      <c r="D354" t="s">
        <v>2346</v>
      </c>
      <c r="E354" t="s">
        <v>2347</v>
      </c>
      <c r="F354" t="s">
        <v>2348</v>
      </c>
      <c r="G354" t="s">
        <v>2349</v>
      </c>
      <c r="H354" t="s">
        <v>2349</v>
      </c>
      <c r="I354" t="s">
        <v>2350</v>
      </c>
      <c r="J354" t="s">
        <v>1194</v>
      </c>
      <c r="K354" t="s">
        <v>567</v>
      </c>
      <c r="L354" t="s">
        <v>2350</v>
      </c>
      <c r="M354" t="s">
        <v>1015</v>
      </c>
    </row>
    <row r="355" spans="1:13" x14ac:dyDescent="0.15">
      <c r="A355" t="s">
        <v>2351</v>
      </c>
      <c r="B355" t="s">
        <v>14</v>
      </c>
      <c r="C355" t="s">
        <v>118</v>
      </c>
      <c r="D355" t="s">
        <v>2352</v>
      </c>
      <c r="E355" t="s">
        <v>2353</v>
      </c>
      <c r="F355" t="s">
        <v>2354</v>
      </c>
      <c r="G355" t="s">
        <v>2355</v>
      </c>
      <c r="H355" t="s">
        <v>2355</v>
      </c>
      <c r="I355" t="s">
        <v>2356</v>
      </c>
      <c r="J355" t="s">
        <v>344</v>
      </c>
      <c r="K355" t="s">
        <v>173</v>
      </c>
      <c r="L355" t="s">
        <v>2356</v>
      </c>
      <c r="M355" t="s">
        <v>174</v>
      </c>
    </row>
    <row r="356" spans="1:13" x14ac:dyDescent="0.15">
      <c r="A356" t="s">
        <v>2357</v>
      </c>
      <c r="B356" t="s">
        <v>14</v>
      </c>
      <c r="C356" t="s">
        <v>23</v>
      </c>
      <c r="D356" t="s">
        <v>2358</v>
      </c>
      <c r="E356" t="s">
        <v>2359</v>
      </c>
      <c r="F356" t="s">
        <v>2360</v>
      </c>
      <c r="G356" t="s">
        <v>2361</v>
      </c>
      <c r="H356" t="s">
        <v>2361</v>
      </c>
      <c r="I356" t="s">
        <v>2362</v>
      </c>
      <c r="J356" t="s">
        <v>29</v>
      </c>
      <c r="K356" t="s">
        <v>1679</v>
      </c>
      <c r="L356" t="s">
        <v>149</v>
      </c>
      <c r="M356" t="s">
        <v>216</v>
      </c>
    </row>
    <row r="357" spans="1:13" x14ac:dyDescent="0.15">
      <c r="A357" t="s">
        <v>2363</v>
      </c>
      <c r="B357" t="s">
        <v>14</v>
      </c>
      <c r="C357" t="s">
        <v>23</v>
      </c>
      <c r="D357" t="s">
        <v>2364</v>
      </c>
      <c r="E357" t="s">
        <v>2365</v>
      </c>
      <c r="F357" t="s">
        <v>2366</v>
      </c>
      <c r="G357" t="s">
        <v>2367</v>
      </c>
      <c r="H357" t="s">
        <v>2367</v>
      </c>
      <c r="I357" t="s">
        <v>2368</v>
      </c>
      <c r="J357" t="s">
        <v>214</v>
      </c>
      <c r="K357" t="s">
        <v>1078</v>
      </c>
      <c r="L357" t="s">
        <v>2368</v>
      </c>
      <c r="M357" t="s">
        <v>216</v>
      </c>
    </row>
    <row r="358" spans="1:13" x14ac:dyDescent="0.15">
      <c r="A358" t="s">
        <v>2369</v>
      </c>
      <c r="B358" t="s">
        <v>14</v>
      </c>
      <c r="C358" t="s">
        <v>23</v>
      </c>
      <c r="D358" t="s">
        <v>2370</v>
      </c>
      <c r="E358" t="s">
        <v>2371</v>
      </c>
      <c r="F358" t="s">
        <v>2372</v>
      </c>
      <c r="G358" t="s">
        <v>2373</v>
      </c>
      <c r="H358" t="s">
        <v>2373</v>
      </c>
      <c r="I358" t="s">
        <v>2374</v>
      </c>
      <c r="J358" t="s">
        <v>214</v>
      </c>
      <c r="K358" t="s">
        <v>2375</v>
      </c>
      <c r="L358" t="s">
        <v>2374</v>
      </c>
      <c r="M358" t="s">
        <v>216</v>
      </c>
    </row>
    <row r="359" spans="1:13" x14ac:dyDescent="0.15">
      <c r="A359" t="s">
        <v>2376</v>
      </c>
      <c r="B359" t="s">
        <v>14</v>
      </c>
      <c r="C359" t="s">
        <v>118</v>
      </c>
      <c r="D359" t="s">
        <v>2377</v>
      </c>
      <c r="E359" t="s">
        <v>2378</v>
      </c>
      <c r="F359" t="s">
        <v>2379</v>
      </c>
      <c r="G359" t="s">
        <v>2380</v>
      </c>
      <c r="H359" t="s">
        <v>2380</v>
      </c>
      <c r="I359" t="s">
        <v>2381</v>
      </c>
      <c r="J359" t="s">
        <v>214</v>
      </c>
      <c r="K359" t="s">
        <v>832</v>
      </c>
      <c r="L359" t="s">
        <v>2381</v>
      </c>
      <c r="M359" t="s">
        <v>126</v>
      </c>
    </row>
    <row r="360" spans="1:13" x14ac:dyDescent="0.15">
      <c r="A360" t="s">
        <v>2382</v>
      </c>
      <c r="B360" t="s">
        <v>14</v>
      </c>
      <c r="C360" t="s">
        <v>23</v>
      </c>
      <c r="D360" t="s">
        <v>2383</v>
      </c>
      <c r="E360" t="s">
        <v>2384</v>
      </c>
      <c r="F360" t="s">
        <v>2385</v>
      </c>
      <c r="G360" t="s">
        <v>2386</v>
      </c>
      <c r="H360" t="s">
        <v>2386</v>
      </c>
      <c r="I360" t="s">
        <v>88</v>
      </c>
      <c r="J360" t="s">
        <v>400</v>
      </c>
      <c r="K360" t="s">
        <v>48</v>
      </c>
      <c r="L360" t="s">
        <v>2387</v>
      </c>
      <c r="M360" t="s">
        <v>41</v>
      </c>
    </row>
    <row r="361" spans="1:13" x14ac:dyDescent="0.15">
      <c r="A361" t="s">
        <v>2388</v>
      </c>
      <c r="B361" t="s">
        <v>14</v>
      </c>
      <c r="C361" t="s">
        <v>23</v>
      </c>
      <c r="D361" t="s">
        <v>2389</v>
      </c>
      <c r="E361" t="s">
        <v>2390</v>
      </c>
      <c r="F361" t="s">
        <v>2391</v>
      </c>
      <c r="G361" t="s">
        <v>2392</v>
      </c>
      <c r="H361" t="s">
        <v>2392</v>
      </c>
      <c r="I361" t="s">
        <v>2393</v>
      </c>
      <c r="J361" t="s">
        <v>214</v>
      </c>
      <c r="K361" t="s">
        <v>786</v>
      </c>
      <c r="L361" t="s">
        <v>2393</v>
      </c>
      <c r="M361" t="s">
        <v>880</v>
      </c>
    </row>
    <row r="362" spans="1:13" x14ac:dyDescent="0.15">
      <c r="A362" t="s">
        <v>2394</v>
      </c>
      <c r="B362" t="s">
        <v>14</v>
      </c>
      <c r="C362" t="s">
        <v>23</v>
      </c>
      <c r="D362" t="s">
        <v>2395</v>
      </c>
      <c r="E362" t="s">
        <v>2396</v>
      </c>
      <c r="F362" t="s">
        <v>2397</v>
      </c>
      <c r="G362" t="s">
        <v>2398</v>
      </c>
      <c r="H362" t="s">
        <v>2398</v>
      </c>
      <c r="I362" t="s">
        <v>2399</v>
      </c>
      <c r="J362" t="s">
        <v>214</v>
      </c>
      <c r="K362" t="s">
        <v>506</v>
      </c>
      <c r="L362" t="s">
        <v>2399</v>
      </c>
      <c r="M362" t="s">
        <v>880</v>
      </c>
    </row>
    <row r="363" spans="1:13" x14ac:dyDescent="0.15">
      <c r="A363" t="s">
        <v>2400</v>
      </c>
      <c r="B363" t="s">
        <v>14</v>
      </c>
      <c r="C363" t="s">
        <v>23</v>
      </c>
      <c r="D363" t="s">
        <v>2401</v>
      </c>
      <c r="E363" t="s">
        <v>2402</v>
      </c>
      <c r="F363" t="s">
        <v>2403</v>
      </c>
      <c r="G363" t="s">
        <v>2404</v>
      </c>
      <c r="H363" t="s">
        <v>2404</v>
      </c>
      <c r="I363" t="s">
        <v>2405</v>
      </c>
      <c r="J363" t="s">
        <v>214</v>
      </c>
      <c r="K363" t="s">
        <v>2406</v>
      </c>
      <c r="L363" t="s">
        <v>2405</v>
      </c>
      <c r="M363" t="s">
        <v>880</v>
      </c>
    </row>
    <row r="364" spans="1:13" x14ac:dyDescent="0.15">
      <c r="A364" t="s">
        <v>2407</v>
      </c>
      <c r="B364" t="s">
        <v>14</v>
      </c>
      <c r="C364" t="s">
        <v>23</v>
      </c>
      <c r="D364" t="s">
        <v>2408</v>
      </c>
      <c r="E364" t="s">
        <v>2409</v>
      </c>
      <c r="F364" t="s">
        <v>2410</v>
      </c>
      <c r="G364" t="s">
        <v>2411</v>
      </c>
      <c r="H364" t="s">
        <v>2411</v>
      </c>
      <c r="I364" t="s">
        <v>2412</v>
      </c>
      <c r="J364" t="s">
        <v>214</v>
      </c>
      <c r="K364" t="s">
        <v>567</v>
      </c>
      <c r="L364" t="s">
        <v>2412</v>
      </c>
      <c r="M364" t="s">
        <v>880</v>
      </c>
    </row>
    <row r="365" spans="1:13" x14ac:dyDescent="0.15">
      <c r="A365" t="s">
        <v>2413</v>
      </c>
      <c r="B365" t="s">
        <v>14</v>
      </c>
      <c r="C365" t="s">
        <v>23</v>
      </c>
      <c r="D365" t="s">
        <v>2414</v>
      </c>
      <c r="E365" t="s">
        <v>2415</v>
      </c>
      <c r="F365" t="s">
        <v>2416</v>
      </c>
      <c r="G365" t="s">
        <v>2417</v>
      </c>
      <c r="H365" t="s">
        <v>2417</v>
      </c>
      <c r="I365" t="s">
        <v>2418</v>
      </c>
      <c r="J365" t="s">
        <v>214</v>
      </c>
      <c r="K365" t="s">
        <v>2030</v>
      </c>
      <c r="L365" t="s">
        <v>2418</v>
      </c>
      <c r="M365" t="s">
        <v>880</v>
      </c>
    </row>
    <row r="366" spans="1:13" x14ac:dyDescent="0.15">
      <c r="A366" t="s">
        <v>2419</v>
      </c>
      <c r="B366" t="s">
        <v>14</v>
      </c>
      <c r="C366" t="s">
        <v>23</v>
      </c>
      <c r="D366" t="s">
        <v>2420</v>
      </c>
      <c r="E366" t="s">
        <v>2421</v>
      </c>
      <c r="F366" t="s">
        <v>2422</v>
      </c>
      <c r="G366" t="s">
        <v>2423</v>
      </c>
      <c r="H366" t="s">
        <v>2423</v>
      </c>
      <c r="I366" t="s">
        <v>2424</v>
      </c>
      <c r="J366" t="s">
        <v>214</v>
      </c>
      <c r="K366" t="s">
        <v>387</v>
      </c>
      <c r="L366" t="s">
        <v>2424</v>
      </c>
      <c r="M366" t="s">
        <v>880</v>
      </c>
    </row>
    <row r="367" spans="1:13" x14ac:dyDescent="0.15">
      <c r="A367" t="s">
        <v>2425</v>
      </c>
      <c r="B367" t="s">
        <v>14</v>
      </c>
      <c r="C367" t="s">
        <v>23</v>
      </c>
      <c r="D367" t="s">
        <v>2426</v>
      </c>
      <c r="E367" t="s">
        <v>2427</v>
      </c>
      <c r="F367" t="s">
        <v>2428</v>
      </c>
      <c r="G367" t="s">
        <v>2429</v>
      </c>
      <c r="H367" t="s">
        <v>2429</v>
      </c>
      <c r="I367" t="s">
        <v>2430</v>
      </c>
      <c r="J367" t="s">
        <v>214</v>
      </c>
      <c r="K367" t="s">
        <v>980</v>
      </c>
      <c r="L367" t="s">
        <v>2430</v>
      </c>
      <c r="M367" t="s">
        <v>880</v>
      </c>
    </row>
    <row r="368" spans="1:13" x14ac:dyDescent="0.15">
      <c r="A368" t="s">
        <v>2431</v>
      </c>
      <c r="B368" t="s">
        <v>14</v>
      </c>
      <c r="C368" t="s">
        <v>23</v>
      </c>
      <c r="D368" t="s">
        <v>2432</v>
      </c>
      <c r="E368" t="s">
        <v>2433</v>
      </c>
      <c r="F368" t="s">
        <v>2434</v>
      </c>
      <c r="G368" t="s">
        <v>311</v>
      </c>
      <c r="H368" t="s">
        <v>311</v>
      </c>
      <c r="I368" t="s">
        <v>2435</v>
      </c>
      <c r="J368" t="s">
        <v>1945</v>
      </c>
      <c r="K368" t="s">
        <v>1321</v>
      </c>
      <c r="L368" t="s">
        <v>2435</v>
      </c>
      <c r="M368" t="s">
        <v>104</v>
      </c>
    </row>
    <row r="369" spans="1:13" x14ac:dyDescent="0.15">
      <c r="A369" t="s">
        <v>2436</v>
      </c>
      <c r="B369" t="s">
        <v>14</v>
      </c>
      <c r="C369" t="s">
        <v>23</v>
      </c>
      <c r="D369" t="s">
        <v>2437</v>
      </c>
      <c r="E369" t="s">
        <v>2438</v>
      </c>
      <c r="F369" t="s">
        <v>2439</v>
      </c>
      <c r="G369" t="s">
        <v>2440</v>
      </c>
      <c r="H369" t="s">
        <v>2440</v>
      </c>
      <c r="I369" t="s">
        <v>2441</v>
      </c>
      <c r="J369" t="s">
        <v>415</v>
      </c>
      <c r="K369" t="s">
        <v>709</v>
      </c>
      <c r="L369" t="s">
        <v>2442</v>
      </c>
      <c r="M369" t="s">
        <v>216</v>
      </c>
    </row>
    <row r="370" spans="1:13" x14ac:dyDescent="0.15">
      <c r="A370" t="s">
        <v>2443</v>
      </c>
      <c r="B370" t="s">
        <v>14</v>
      </c>
      <c r="C370" t="s">
        <v>23</v>
      </c>
      <c r="D370" t="s">
        <v>2444</v>
      </c>
      <c r="E370" t="s">
        <v>2445</v>
      </c>
      <c r="F370" t="s">
        <v>2446</v>
      </c>
      <c r="G370" t="s">
        <v>2447</v>
      </c>
      <c r="H370" t="s">
        <v>2447</v>
      </c>
      <c r="I370" t="s">
        <v>2448</v>
      </c>
      <c r="J370" t="s">
        <v>415</v>
      </c>
      <c r="K370" t="s">
        <v>416</v>
      </c>
      <c r="L370" t="s">
        <v>2449</v>
      </c>
      <c r="M370" t="s">
        <v>216</v>
      </c>
    </row>
    <row r="371" spans="1:13" x14ac:dyDescent="0.15">
      <c r="A371" t="s">
        <v>2450</v>
      </c>
      <c r="B371" t="s">
        <v>14</v>
      </c>
      <c r="C371" t="s">
        <v>23</v>
      </c>
      <c r="D371" t="s">
        <v>2451</v>
      </c>
      <c r="E371" t="s">
        <v>2452</v>
      </c>
      <c r="F371" t="s">
        <v>2453</v>
      </c>
      <c r="G371" t="s">
        <v>2454</v>
      </c>
      <c r="H371" t="s">
        <v>2454</v>
      </c>
      <c r="I371" t="s">
        <v>2455</v>
      </c>
      <c r="J371" t="s">
        <v>415</v>
      </c>
      <c r="K371" t="s">
        <v>1366</v>
      </c>
      <c r="L371" t="s">
        <v>2456</v>
      </c>
      <c r="M371" t="s">
        <v>216</v>
      </c>
    </row>
    <row r="372" spans="1:13" x14ac:dyDescent="0.15">
      <c r="A372" t="s">
        <v>2457</v>
      </c>
      <c r="B372" t="s">
        <v>14</v>
      </c>
      <c r="C372" t="s">
        <v>23</v>
      </c>
      <c r="D372" t="s">
        <v>2458</v>
      </c>
      <c r="E372" t="s">
        <v>2459</v>
      </c>
      <c r="F372" t="s">
        <v>2460</v>
      </c>
      <c r="G372" t="s">
        <v>2461</v>
      </c>
      <c r="H372" t="s">
        <v>2461</v>
      </c>
      <c r="I372" t="s">
        <v>2462</v>
      </c>
      <c r="J372" t="s">
        <v>29</v>
      </c>
      <c r="K372" t="s">
        <v>1757</v>
      </c>
      <c r="L372" t="s">
        <v>2149</v>
      </c>
      <c r="M372" t="s">
        <v>80</v>
      </c>
    </row>
    <row r="373" spans="1:13" x14ac:dyDescent="0.15">
      <c r="A373" t="s">
        <v>2463</v>
      </c>
      <c r="B373" t="s">
        <v>14</v>
      </c>
      <c r="C373" t="s">
        <v>23</v>
      </c>
      <c r="D373" t="s">
        <v>2464</v>
      </c>
      <c r="E373" t="s">
        <v>2465</v>
      </c>
      <c r="F373" t="s">
        <v>2466</v>
      </c>
      <c r="G373" t="s">
        <v>2467</v>
      </c>
      <c r="H373" t="s">
        <v>2467</v>
      </c>
      <c r="I373" t="s">
        <v>2468</v>
      </c>
      <c r="J373" t="s">
        <v>473</v>
      </c>
      <c r="K373" t="s">
        <v>64</v>
      </c>
      <c r="L373" t="s">
        <v>2468</v>
      </c>
      <c r="M373" t="s">
        <v>104</v>
      </c>
    </row>
    <row r="374" spans="1:13" x14ac:dyDescent="0.15">
      <c r="A374" t="s">
        <v>2469</v>
      </c>
      <c r="B374" t="s">
        <v>14</v>
      </c>
      <c r="C374" t="s">
        <v>23</v>
      </c>
      <c r="D374" t="s">
        <v>2470</v>
      </c>
      <c r="E374" t="s">
        <v>2471</v>
      </c>
      <c r="F374" t="s">
        <v>2472</v>
      </c>
      <c r="G374" t="s">
        <v>2473</v>
      </c>
      <c r="H374" t="s">
        <v>2473</v>
      </c>
      <c r="I374" t="s">
        <v>2113</v>
      </c>
      <c r="J374" t="s">
        <v>20</v>
      </c>
      <c r="K374" t="s">
        <v>1045</v>
      </c>
      <c r="L374" t="s">
        <v>2113</v>
      </c>
      <c r="M374" t="s">
        <v>104</v>
      </c>
    </row>
    <row r="375" spans="1:13" x14ac:dyDescent="0.15">
      <c r="A375" t="s">
        <v>2474</v>
      </c>
      <c r="B375" t="s">
        <v>14</v>
      </c>
      <c r="C375" t="s">
        <v>118</v>
      </c>
      <c r="D375" t="s">
        <v>2475</v>
      </c>
      <c r="E375" t="s">
        <v>2476</v>
      </c>
      <c r="F375" t="s">
        <v>2477</v>
      </c>
      <c r="G375" t="s">
        <v>2478</v>
      </c>
      <c r="H375" t="s">
        <v>2478</v>
      </c>
      <c r="I375" t="s">
        <v>2479</v>
      </c>
      <c r="J375" t="s">
        <v>473</v>
      </c>
      <c r="K375" t="s">
        <v>2375</v>
      </c>
      <c r="L375" t="s">
        <v>2479</v>
      </c>
      <c r="M375" t="s">
        <v>432</v>
      </c>
    </row>
    <row r="376" spans="1:13" x14ac:dyDescent="0.15">
      <c r="A376" t="s">
        <v>2480</v>
      </c>
      <c r="B376" t="s">
        <v>14</v>
      </c>
      <c r="C376" t="s">
        <v>118</v>
      </c>
      <c r="D376" t="s">
        <v>2481</v>
      </c>
      <c r="E376" t="s">
        <v>2482</v>
      </c>
      <c r="F376" t="s">
        <v>2483</v>
      </c>
      <c r="G376" t="s">
        <v>2484</v>
      </c>
      <c r="H376" t="s">
        <v>2484</v>
      </c>
      <c r="I376" t="s">
        <v>2485</v>
      </c>
      <c r="J376" t="s">
        <v>230</v>
      </c>
      <c r="K376" t="s">
        <v>1946</v>
      </c>
      <c r="L376" t="s">
        <v>2485</v>
      </c>
      <c r="M376" t="s">
        <v>2486</v>
      </c>
    </row>
    <row r="377" spans="1:13" x14ac:dyDescent="0.15">
      <c r="A377" t="s">
        <v>2487</v>
      </c>
      <c r="B377" t="s">
        <v>14</v>
      </c>
      <c r="C377" t="s">
        <v>23</v>
      </c>
      <c r="D377" t="s">
        <v>2488</v>
      </c>
      <c r="E377" t="s">
        <v>2489</v>
      </c>
      <c r="F377" t="s">
        <v>2490</v>
      </c>
      <c r="G377" t="s">
        <v>2491</v>
      </c>
      <c r="H377" t="s">
        <v>2491</v>
      </c>
      <c r="I377" t="s">
        <v>2492</v>
      </c>
      <c r="J377" t="s">
        <v>297</v>
      </c>
      <c r="K377" t="s">
        <v>48</v>
      </c>
      <c r="L377" t="s">
        <v>2493</v>
      </c>
      <c r="M377" t="s">
        <v>80</v>
      </c>
    </row>
    <row r="378" spans="1:13" x14ac:dyDescent="0.15">
      <c r="A378" t="s">
        <v>2494</v>
      </c>
      <c r="B378" t="s">
        <v>14</v>
      </c>
      <c r="C378" t="s">
        <v>118</v>
      </c>
      <c r="D378" t="s">
        <v>2495</v>
      </c>
      <c r="E378" t="s">
        <v>2496</v>
      </c>
      <c r="F378" t="s">
        <v>2497</v>
      </c>
      <c r="G378" t="s">
        <v>2498</v>
      </c>
      <c r="H378" t="s">
        <v>2498</v>
      </c>
      <c r="I378" t="s">
        <v>1376</v>
      </c>
      <c r="J378" t="s">
        <v>230</v>
      </c>
      <c r="K378" t="s">
        <v>2499</v>
      </c>
      <c r="L378" t="s">
        <v>1376</v>
      </c>
      <c r="M378" t="s">
        <v>432</v>
      </c>
    </row>
    <row r="379" spans="1:13" x14ac:dyDescent="0.15">
      <c r="A379" t="s">
        <v>2500</v>
      </c>
      <c r="B379" t="s">
        <v>14</v>
      </c>
      <c r="C379" t="s">
        <v>23</v>
      </c>
      <c r="D379" t="s">
        <v>2501</v>
      </c>
      <c r="E379" t="s">
        <v>2502</v>
      </c>
      <c r="F379" t="s">
        <v>2503</v>
      </c>
      <c r="G379" t="s">
        <v>2504</v>
      </c>
      <c r="H379" t="s">
        <v>2504</v>
      </c>
      <c r="I379" t="s">
        <v>2505</v>
      </c>
      <c r="J379" t="s">
        <v>297</v>
      </c>
      <c r="K379" t="s">
        <v>601</v>
      </c>
      <c r="L379" t="s">
        <v>2506</v>
      </c>
      <c r="M379" t="s">
        <v>41</v>
      </c>
    </row>
    <row r="380" spans="1:13" x14ac:dyDescent="0.15">
      <c r="A380" t="s">
        <v>2507</v>
      </c>
      <c r="B380" t="s">
        <v>14</v>
      </c>
      <c r="C380" t="s">
        <v>118</v>
      </c>
      <c r="D380" t="s">
        <v>2508</v>
      </c>
      <c r="E380" t="s">
        <v>2509</v>
      </c>
      <c r="F380" t="s">
        <v>2510</v>
      </c>
      <c r="G380" t="s">
        <v>1616</v>
      </c>
      <c r="H380" t="s">
        <v>1616</v>
      </c>
      <c r="I380" t="s">
        <v>2511</v>
      </c>
      <c r="J380" t="s">
        <v>297</v>
      </c>
      <c r="K380" t="s">
        <v>772</v>
      </c>
      <c r="L380" t="s">
        <v>2511</v>
      </c>
      <c r="M380" t="s">
        <v>482</v>
      </c>
    </row>
    <row r="381" spans="1:13" x14ac:dyDescent="0.15">
      <c r="A381" t="s">
        <v>2512</v>
      </c>
      <c r="B381" t="s">
        <v>14</v>
      </c>
      <c r="C381" t="s">
        <v>118</v>
      </c>
      <c r="D381" t="s">
        <v>2513</v>
      </c>
      <c r="E381" t="s">
        <v>2514</v>
      </c>
      <c r="F381" t="s">
        <v>2515</v>
      </c>
      <c r="G381" t="s">
        <v>2516</v>
      </c>
      <c r="H381" t="s">
        <v>2516</v>
      </c>
      <c r="I381" t="s">
        <v>2517</v>
      </c>
      <c r="J381" t="s">
        <v>255</v>
      </c>
      <c r="K381" t="s">
        <v>256</v>
      </c>
      <c r="L381" t="s">
        <v>2517</v>
      </c>
      <c r="M381" t="s">
        <v>192</v>
      </c>
    </row>
    <row r="382" spans="1:13" x14ac:dyDescent="0.15">
      <c r="A382" t="s">
        <v>2518</v>
      </c>
      <c r="B382" t="s">
        <v>14</v>
      </c>
      <c r="C382" t="s">
        <v>118</v>
      </c>
      <c r="D382" t="s">
        <v>2519</v>
      </c>
      <c r="E382" t="s">
        <v>2520</v>
      </c>
      <c r="F382" t="s">
        <v>2521</v>
      </c>
      <c r="G382" t="s">
        <v>2522</v>
      </c>
      <c r="H382" t="s">
        <v>2522</v>
      </c>
      <c r="I382" t="s">
        <v>2523</v>
      </c>
      <c r="J382" t="s">
        <v>255</v>
      </c>
      <c r="K382" t="s">
        <v>540</v>
      </c>
      <c r="L382" t="s">
        <v>2523</v>
      </c>
      <c r="M382" t="s">
        <v>21</v>
      </c>
    </row>
    <row r="383" spans="1:13" x14ac:dyDescent="0.15">
      <c r="A383" t="s">
        <v>2524</v>
      </c>
      <c r="B383" t="s">
        <v>14</v>
      </c>
      <c r="C383" t="s">
        <v>23</v>
      </c>
      <c r="D383" t="s">
        <v>2525</v>
      </c>
      <c r="E383" t="s">
        <v>2526</v>
      </c>
      <c r="F383" t="s">
        <v>2527</v>
      </c>
      <c r="H383" t="s">
        <v>2528</v>
      </c>
      <c r="I383" t="s">
        <v>2529</v>
      </c>
      <c r="J383" t="s">
        <v>110</v>
      </c>
      <c r="K383" t="s">
        <v>647</v>
      </c>
      <c r="L383" t="s">
        <v>2530</v>
      </c>
      <c r="M383" t="s">
        <v>104</v>
      </c>
    </row>
    <row r="384" spans="1:13" x14ac:dyDescent="0.15">
      <c r="A384" t="s">
        <v>2531</v>
      </c>
      <c r="B384" t="s">
        <v>14</v>
      </c>
      <c r="C384" t="s">
        <v>23</v>
      </c>
      <c r="D384" t="s">
        <v>2532</v>
      </c>
      <c r="E384" t="s">
        <v>2533</v>
      </c>
      <c r="F384" t="s">
        <v>2534</v>
      </c>
      <c r="G384" t="s">
        <v>2535</v>
      </c>
      <c r="H384" t="s">
        <v>2535</v>
      </c>
      <c r="I384" t="s">
        <v>2536</v>
      </c>
      <c r="J384" t="s">
        <v>124</v>
      </c>
      <c r="K384" t="s">
        <v>1882</v>
      </c>
      <c r="L384" t="s">
        <v>2537</v>
      </c>
      <c r="M384" t="s">
        <v>41</v>
      </c>
    </row>
    <row r="385" spans="1:13" x14ac:dyDescent="0.15">
      <c r="A385" t="s">
        <v>2538</v>
      </c>
      <c r="B385" t="s">
        <v>14</v>
      </c>
      <c r="C385" t="s">
        <v>23</v>
      </c>
      <c r="D385" t="s">
        <v>2539</v>
      </c>
      <c r="E385" t="s">
        <v>2540</v>
      </c>
      <c r="F385" t="s">
        <v>2541</v>
      </c>
      <c r="G385" t="s">
        <v>2542</v>
      </c>
      <c r="H385" t="s">
        <v>2542</v>
      </c>
      <c r="I385" t="s">
        <v>2543</v>
      </c>
      <c r="J385" t="s">
        <v>124</v>
      </c>
      <c r="K385" t="s">
        <v>1208</v>
      </c>
      <c r="L385" t="s">
        <v>278</v>
      </c>
      <c r="M385" t="s">
        <v>248</v>
      </c>
    </row>
    <row r="386" spans="1:13" x14ac:dyDescent="0.15">
      <c r="A386" t="s">
        <v>2544</v>
      </c>
      <c r="B386" t="s">
        <v>14</v>
      </c>
      <c r="C386" t="s">
        <v>23</v>
      </c>
      <c r="D386" t="s">
        <v>2545</v>
      </c>
      <c r="E386" t="s">
        <v>2546</v>
      </c>
      <c r="F386" t="s">
        <v>2547</v>
      </c>
      <c r="G386" t="s">
        <v>2548</v>
      </c>
      <c r="H386" t="s">
        <v>2548</v>
      </c>
      <c r="I386" t="s">
        <v>27</v>
      </c>
      <c r="J386" t="s">
        <v>124</v>
      </c>
      <c r="K386" t="s">
        <v>1281</v>
      </c>
      <c r="L386" t="s">
        <v>2549</v>
      </c>
      <c r="M386" t="s">
        <v>248</v>
      </c>
    </row>
    <row r="387" spans="1:13" x14ac:dyDescent="0.15">
      <c r="A387" t="s">
        <v>2550</v>
      </c>
      <c r="B387" t="s">
        <v>14</v>
      </c>
      <c r="C387" t="s">
        <v>23</v>
      </c>
      <c r="D387" t="s">
        <v>2437</v>
      </c>
      <c r="E387" t="s">
        <v>2551</v>
      </c>
      <c r="F387" t="s">
        <v>2552</v>
      </c>
      <c r="G387" t="s">
        <v>2553</v>
      </c>
      <c r="H387" t="s">
        <v>2553</v>
      </c>
      <c r="I387" t="s">
        <v>2554</v>
      </c>
      <c r="J387" t="s">
        <v>124</v>
      </c>
      <c r="K387" t="s">
        <v>1022</v>
      </c>
      <c r="L387" t="s">
        <v>2555</v>
      </c>
      <c r="M387" t="s">
        <v>248</v>
      </c>
    </row>
    <row r="388" spans="1:13" x14ac:dyDescent="0.15">
      <c r="A388" t="s">
        <v>2556</v>
      </c>
      <c r="B388" t="s">
        <v>14</v>
      </c>
      <c r="C388" t="s">
        <v>23</v>
      </c>
      <c r="D388" t="s">
        <v>2444</v>
      </c>
      <c r="E388" t="s">
        <v>2557</v>
      </c>
      <c r="F388" t="s">
        <v>2558</v>
      </c>
      <c r="G388" t="s">
        <v>393</v>
      </c>
      <c r="H388" t="s">
        <v>393</v>
      </c>
      <c r="I388" t="s">
        <v>2559</v>
      </c>
      <c r="J388" t="s">
        <v>124</v>
      </c>
      <c r="K388" t="s">
        <v>2043</v>
      </c>
      <c r="L388" t="s">
        <v>2560</v>
      </c>
      <c r="M388" t="s">
        <v>248</v>
      </c>
    </row>
    <row r="389" spans="1:13" x14ac:dyDescent="0.15">
      <c r="A389" t="s">
        <v>2561</v>
      </c>
      <c r="B389" t="s">
        <v>14</v>
      </c>
      <c r="C389" t="s">
        <v>23</v>
      </c>
      <c r="D389" t="s">
        <v>2562</v>
      </c>
      <c r="E389" t="s">
        <v>2563</v>
      </c>
      <c r="F389" t="s">
        <v>2564</v>
      </c>
      <c r="G389" t="s">
        <v>2565</v>
      </c>
      <c r="H389" t="s">
        <v>2565</v>
      </c>
      <c r="I389" t="s">
        <v>2566</v>
      </c>
      <c r="J389" t="s">
        <v>521</v>
      </c>
      <c r="K389" t="s">
        <v>1882</v>
      </c>
      <c r="L389" t="s">
        <v>65</v>
      </c>
      <c r="M389" t="s">
        <v>41</v>
      </c>
    </row>
    <row r="390" spans="1:13" x14ac:dyDescent="0.15">
      <c r="A390" t="s">
        <v>2567</v>
      </c>
      <c r="B390" t="s">
        <v>14</v>
      </c>
      <c r="C390" t="s">
        <v>118</v>
      </c>
      <c r="D390" t="s">
        <v>2568</v>
      </c>
      <c r="E390" t="s">
        <v>2569</v>
      </c>
      <c r="F390" t="s">
        <v>2570</v>
      </c>
      <c r="G390" t="s">
        <v>2571</v>
      </c>
      <c r="H390" t="s">
        <v>2571</v>
      </c>
      <c r="I390" t="s">
        <v>2572</v>
      </c>
      <c r="J390" t="s">
        <v>206</v>
      </c>
      <c r="K390" t="s">
        <v>1718</v>
      </c>
      <c r="L390" t="s">
        <v>2572</v>
      </c>
      <c r="M390" t="s">
        <v>216</v>
      </c>
    </row>
    <row r="391" spans="1:13" x14ac:dyDescent="0.15">
      <c r="A391" t="s">
        <v>2573</v>
      </c>
      <c r="B391" t="s">
        <v>14</v>
      </c>
      <c r="C391" t="s">
        <v>118</v>
      </c>
      <c r="D391" t="s">
        <v>2574</v>
      </c>
      <c r="E391" t="s">
        <v>2575</v>
      </c>
      <c r="F391" t="s">
        <v>2576</v>
      </c>
      <c r="G391" t="s">
        <v>2577</v>
      </c>
      <c r="H391" t="s">
        <v>2577</v>
      </c>
      <c r="I391" t="s">
        <v>2578</v>
      </c>
      <c r="J391" t="s">
        <v>20</v>
      </c>
      <c r="K391" t="s">
        <v>452</v>
      </c>
      <c r="L391" t="s">
        <v>2578</v>
      </c>
      <c r="M391" t="s">
        <v>2579</v>
      </c>
    </row>
    <row r="392" spans="1:13" x14ac:dyDescent="0.15">
      <c r="A392" t="s">
        <v>2580</v>
      </c>
      <c r="B392" t="s">
        <v>14</v>
      </c>
      <c r="C392" t="s">
        <v>194</v>
      </c>
      <c r="D392" t="s">
        <v>2581</v>
      </c>
      <c r="E392" t="s">
        <v>2582</v>
      </c>
      <c r="F392" t="s">
        <v>2583</v>
      </c>
      <c r="G392" t="s">
        <v>2584</v>
      </c>
      <c r="H392" t="s">
        <v>2585</v>
      </c>
      <c r="J392" t="s">
        <v>206</v>
      </c>
      <c r="M392" t="s">
        <v>139</v>
      </c>
    </row>
    <row r="393" spans="1:13" x14ac:dyDescent="0.15">
      <c r="A393" t="s">
        <v>2586</v>
      </c>
      <c r="B393" t="s">
        <v>14</v>
      </c>
      <c r="C393" t="s">
        <v>23</v>
      </c>
      <c r="D393" t="s">
        <v>2587</v>
      </c>
      <c r="E393" t="s">
        <v>2588</v>
      </c>
      <c r="F393" t="s">
        <v>2589</v>
      </c>
      <c r="G393" t="s">
        <v>2590</v>
      </c>
      <c r="H393" t="s">
        <v>2590</v>
      </c>
      <c r="I393" t="s">
        <v>2591</v>
      </c>
      <c r="J393" t="s">
        <v>138</v>
      </c>
      <c r="K393" t="s">
        <v>1321</v>
      </c>
      <c r="L393" t="s">
        <v>2591</v>
      </c>
      <c r="M393" t="s">
        <v>41</v>
      </c>
    </row>
    <row r="394" spans="1:13" x14ac:dyDescent="0.15">
      <c r="A394" t="s">
        <v>2592</v>
      </c>
      <c r="B394" t="s">
        <v>14</v>
      </c>
      <c r="C394" t="s">
        <v>2593</v>
      </c>
      <c r="D394" t="s">
        <v>2594</v>
      </c>
      <c r="E394" t="s">
        <v>2595</v>
      </c>
      <c r="F394" t="s">
        <v>2596</v>
      </c>
      <c r="H394" t="s">
        <v>145</v>
      </c>
      <c r="J394" t="s">
        <v>2597</v>
      </c>
      <c r="K394" t="s">
        <v>2598</v>
      </c>
      <c r="L394" t="s">
        <v>2599</v>
      </c>
      <c r="M394" t="s">
        <v>139</v>
      </c>
    </row>
    <row r="395" spans="1:13" x14ac:dyDescent="0.15">
      <c r="A395" t="s">
        <v>2600</v>
      </c>
      <c r="B395" t="s">
        <v>14</v>
      </c>
      <c r="C395" t="s">
        <v>118</v>
      </c>
      <c r="D395" t="s">
        <v>2601</v>
      </c>
      <c r="E395" t="s">
        <v>2602</v>
      </c>
      <c r="F395" t="s">
        <v>2603</v>
      </c>
      <c r="G395" t="s">
        <v>2604</v>
      </c>
      <c r="H395" t="s">
        <v>2604</v>
      </c>
      <c r="I395" t="s">
        <v>2605</v>
      </c>
      <c r="J395" t="s">
        <v>297</v>
      </c>
      <c r="K395" t="s">
        <v>256</v>
      </c>
      <c r="L395" t="s">
        <v>2605</v>
      </c>
      <c r="M395" t="s">
        <v>41</v>
      </c>
    </row>
    <row r="396" spans="1:13" x14ac:dyDescent="0.15">
      <c r="A396" t="s">
        <v>2606</v>
      </c>
      <c r="B396" t="s">
        <v>14</v>
      </c>
      <c r="C396" t="s">
        <v>118</v>
      </c>
      <c r="D396" t="s">
        <v>2607</v>
      </c>
      <c r="E396" t="s">
        <v>2608</v>
      </c>
      <c r="F396" t="s">
        <v>2609</v>
      </c>
      <c r="G396" t="s">
        <v>2610</v>
      </c>
      <c r="H396" t="s">
        <v>2610</v>
      </c>
      <c r="I396" t="s">
        <v>2611</v>
      </c>
      <c r="J396" t="s">
        <v>206</v>
      </c>
      <c r="K396" t="s">
        <v>271</v>
      </c>
      <c r="L396" t="s">
        <v>2611</v>
      </c>
      <c r="M396" t="s">
        <v>165</v>
      </c>
    </row>
    <row r="397" spans="1:13" x14ac:dyDescent="0.15">
      <c r="A397" t="s">
        <v>2612</v>
      </c>
      <c r="B397" t="s">
        <v>14</v>
      </c>
      <c r="C397" t="s">
        <v>23</v>
      </c>
      <c r="D397" t="s">
        <v>2613</v>
      </c>
      <c r="E397" t="s">
        <v>2614</v>
      </c>
      <c r="F397" t="s">
        <v>2615</v>
      </c>
      <c r="G397" t="s">
        <v>2616</v>
      </c>
      <c r="H397" t="s">
        <v>2616</v>
      </c>
      <c r="I397" t="s">
        <v>2617</v>
      </c>
      <c r="J397" t="s">
        <v>352</v>
      </c>
      <c r="K397" t="s">
        <v>2618</v>
      </c>
      <c r="L397" t="s">
        <v>2619</v>
      </c>
      <c r="M397" t="s">
        <v>31</v>
      </c>
    </row>
    <row r="398" spans="1:13" x14ac:dyDescent="0.15">
      <c r="A398" t="s">
        <v>2620</v>
      </c>
      <c r="B398" t="s">
        <v>14</v>
      </c>
      <c r="C398" t="s">
        <v>118</v>
      </c>
      <c r="D398" t="s">
        <v>2621</v>
      </c>
      <c r="E398" t="s">
        <v>2622</v>
      </c>
      <c r="F398" t="s">
        <v>2623</v>
      </c>
      <c r="G398" t="s">
        <v>2624</v>
      </c>
      <c r="H398" t="s">
        <v>2624</v>
      </c>
      <c r="I398" t="s">
        <v>2625</v>
      </c>
      <c r="J398" t="s">
        <v>206</v>
      </c>
      <c r="K398" t="s">
        <v>64</v>
      </c>
      <c r="L398" t="s">
        <v>2625</v>
      </c>
      <c r="M398" t="s">
        <v>165</v>
      </c>
    </row>
    <row r="399" spans="1:13" x14ac:dyDescent="0.15">
      <c r="A399" t="s">
        <v>2626</v>
      </c>
      <c r="B399" t="s">
        <v>14</v>
      </c>
      <c r="C399" t="s">
        <v>23</v>
      </c>
      <c r="D399" t="s">
        <v>2627</v>
      </c>
      <c r="E399" t="s">
        <v>2628</v>
      </c>
      <c r="F399" t="s">
        <v>2629</v>
      </c>
      <c r="G399" t="s">
        <v>2630</v>
      </c>
      <c r="H399" t="s">
        <v>2630</v>
      </c>
      <c r="I399" t="s">
        <v>2631</v>
      </c>
      <c r="J399" t="s">
        <v>352</v>
      </c>
      <c r="K399" t="s">
        <v>2632</v>
      </c>
      <c r="L399" t="s">
        <v>2530</v>
      </c>
      <c r="M399" t="s">
        <v>31</v>
      </c>
    </row>
    <row r="400" spans="1:13" x14ac:dyDescent="0.15">
      <c r="A400" t="s">
        <v>2633</v>
      </c>
      <c r="B400" t="s">
        <v>14</v>
      </c>
      <c r="C400" t="s">
        <v>23</v>
      </c>
      <c r="D400" t="s">
        <v>2634</v>
      </c>
      <c r="E400" t="s">
        <v>2635</v>
      </c>
      <c r="F400" t="s">
        <v>2636</v>
      </c>
      <c r="G400" t="s">
        <v>2637</v>
      </c>
      <c r="H400" t="s">
        <v>2637</v>
      </c>
      <c r="I400" t="s">
        <v>2638</v>
      </c>
      <c r="J400" t="s">
        <v>352</v>
      </c>
      <c r="K400" t="s">
        <v>744</v>
      </c>
      <c r="L400" t="s">
        <v>2639</v>
      </c>
      <c r="M400" t="s">
        <v>31</v>
      </c>
    </row>
    <row r="401" spans="1:13" x14ac:dyDescent="0.15">
      <c r="A401" t="s">
        <v>2640</v>
      </c>
      <c r="B401" t="s">
        <v>14</v>
      </c>
      <c r="C401" t="s">
        <v>23</v>
      </c>
      <c r="D401" t="s">
        <v>2641</v>
      </c>
      <c r="E401" t="s">
        <v>2642</v>
      </c>
      <c r="F401" t="s">
        <v>2643</v>
      </c>
      <c r="G401" t="s">
        <v>2644</v>
      </c>
      <c r="H401" t="s">
        <v>2644</v>
      </c>
      <c r="I401" t="s">
        <v>1837</v>
      </c>
      <c r="J401" t="s">
        <v>352</v>
      </c>
      <c r="K401" t="s">
        <v>752</v>
      </c>
      <c r="L401" t="s">
        <v>1931</v>
      </c>
      <c r="M401" t="s">
        <v>31</v>
      </c>
    </row>
    <row r="402" spans="1:13" x14ac:dyDescent="0.15">
      <c r="A402" t="s">
        <v>2645</v>
      </c>
      <c r="B402" t="s">
        <v>14</v>
      </c>
      <c r="C402" t="s">
        <v>118</v>
      </c>
      <c r="D402" t="s">
        <v>2646</v>
      </c>
      <c r="E402" t="s">
        <v>2647</v>
      </c>
      <c r="F402" t="s">
        <v>2648</v>
      </c>
      <c r="G402" t="s">
        <v>2649</v>
      </c>
      <c r="H402" t="s">
        <v>145</v>
      </c>
      <c r="I402" t="s">
        <v>145</v>
      </c>
      <c r="J402" t="s">
        <v>2205</v>
      </c>
      <c r="K402" t="s">
        <v>2598</v>
      </c>
      <c r="L402" t="s">
        <v>2650</v>
      </c>
      <c r="M402" t="s">
        <v>21</v>
      </c>
    </row>
    <row r="403" spans="1:13" x14ac:dyDescent="0.15">
      <c r="A403" t="s">
        <v>2651</v>
      </c>
      <c r="B403" t="s">
        <v>14</v>
      </c>
      <c r="C403" t="s">
        <v>118</v>
      </c>
      <c r="D403" t="s">
        <v>2652</v>
      </c>
      <c r="E403" t="s">
        <v>2653</v>
      </c>
      <c r="F403" t="s">
        <v>2654</v>
      </c>
      <c r="G403" t="s">
        <v>2655</v>
      </c>
      <c r="H403" t="s">
        <v>2655</v>
      </c>
      <c r="I403" t="s">
        <v>2656</v>
      </c>
      <c r="J403" t="s">
        <v>246</v>
      </c>
      <c r="K403" t="s">
        <v>1672</v>
      </c>
      <c r="L403" t="s">
        <v>2657</v>
      </c>
      <c r="M403" t="s">
        <v>104</v>
      </c>
    </row>
    <row r="404" spans="1:13" x14ac:dyDescent="0.15">
      <c r="A404" t="s">
        <v>2658</v>
      </c>
      <c r="B404" t="s">
        <v>14</v>
      </c>
      <c r="C404" t="s">
        <v>118</v>
      </c>
      <c r="D404" t="s">
        <v>2219</v>
      </c>
      <c r="E404" t="s">
        <v>2659</v>
      </c>
      <c r="F404" t="s">
        <v>2660</v>
      </c>
      <c r="J404" t="s">
        <v>2181</v>
      </c>
      <c r="M404" t="s">
        <v>21</v>
      </c>
    </row>
    <row r="405" spans="1:13" x14ac:dyDescent="0.15">
      <c r="A405" t="s">
        <v>2661</v>
      </c>
      <c r="B405" t="s">
        <v>14</v>
      </c>
      <c r="C405" t="s">
        <v>118</v>
      </c>
      <c r="D405" t="s">
        <v>2662</v>
      </c>
      <c r="E405" t="s">
        <v>2663</v>
      </c>
      <c r="F405" t="s">
        <v>2664</v>
      </c>
      <c r="G405" t="s">
        <v>2665</v>
      </c>
      <c r="H405" t="s">
        <v>2665</v>
      </c>
      <c r="I405" t="s">
        <v>2666</v>
      </c>
      <c r="J405" t="s">
        <v>246</v>
      </c>
      <c r="K405" t="s">
        <v>2667</v>
      </c>
      <c r="L405" t="s">
        <v>2666</v>
      </c>
      <c r="M405" t="s">
        <v>104</v>
      </c>
    </row>
    <row r="406" spans="1:13" x14ac:dyDescent="0.15">
      <c r="A406" t="s">
        <v>2668</v>
      </c>
      <c r="B406" t="s">
        <v>14</v>
      </c>
      <c r="C406" t="s">
        <v>118</v>
      </c>
      <c r="D406" t="s">
        <v>2669</v>
      </c>
      <c r="E406" t="s">
        <v>2670</v>
      </c>
      <c r="F406" t="s">
        <v>2671</v>
      </c>
      <c r="G406" t="s">
        <v>2672</v>
      </c>
      <c r="H406" t="s">
        <v>2672</v>
      </c>
      <c r="I406" t="s">
        <v>2673</v>
      </c>
      <c r="J406" t="s">
        <v>246</v>
      </c>
      <c r="K406" t="s">
        <v>2674</v>
      </c>
      <c r="L406" t="s">
        <v>2673</v>
      </c>
      <c r="M406" t="s">
        <v>104</v>
      </c>
    </row>
    <row r="407" spans="1:13" x14ac:dyDescent="0.15">
      <c r="A407" t="s">
        <v>2675</v>
      </c>
      <c r="B407" t="s">
        <v>14</v>
      </c>
      <c r="C407" t="s">
        <v>118</v>
      </c>
      <c r="D407" t="s">
        <v>2676</v>
      </c>
      <c r="E407" t="s">
        <v>2677</v>
      </c>
      <c r="F407" t="s">
        <v>2678</v>
      </c>
      <c r="G407" t="s">
        <v>2679</v>
      </c>
      <c r="H407" t="s">
        <v>2679</v>
      </c>
      <c r="I407" t="s">
        <v>2680</v>
      </c>
      <c r="J407" t="s">
        <v>246</v>
      </c>
      <c r="K407" t="s">
        <v>263</v>
      </c>
      <c r="L407" t="s">
        <v>2680</v>
      </c>
      <c r="M407" t="s">
        <v>104</v>
      </c>
    </row>
    <row r="408" spans="1:13" x14ac:dyDescent="0.15">
      <c r="A408" t="s">
        <v>2681</v>
      </c>
      <c r="B408" t="s">
        <v>14</v>
      </c>
      <c r="C408" t="s">
        <v>118</v>
      </c>
      <c r="D408" t="s">
        <v>2682</v>
      </c>
      <c r="E408" t="s">
        <v>2683</v>
      </c>
      <c r="F408" t="s">
        <v>2684</v>
      </c>
      <c r="G408" t="s">
        <v>2685</v>
      </c>
      <c r="H408" t="s">
        <v>2685</v>
      </c>
      <c r="I408" t="s">
        <v>2686</v>
      </c>
      <c r="J408" t="s">
        <v>2181</v>
      </c>
      <c r="K408" t="s">
        <v>2687</v>
      </c>
      <c r="L408" t="s">
        <v>2686</v>
      </c>
      <c r="M408" t="s">
        <v>21</v>
      </c>
    </row>
    <row r="409" spans="1:13" x14ac:dyDescent="0.15">
      <c r="A409" t="s">
        <v>2688</v>
      </c>
      <c r="B409" t="s">
        <v>14</v>
      </c>
      <c r="C409" t="s">
        <v>15</v>
      </c>
      <c r="D409" t="s">
        <v>755</v>
      </c>
      <c r="E409" t="s">
        <v>2689</v>
      </c>
      <c r="F409" t="s">
        <v>2690</v>
      </c>
      <c r="G409" t="s">
        <v>2691</v>
      </c>
      <c r="H409" t="s">
        <v>145</v>
      </c>
      <c r="J409" t="s">
        <v>199</v>
      </c>
      <c r="M409" t="s">
        <v>139</v>
      </c>
    </row>
    <row r="410" spans="1:13" x14ac:dyDescent="0.15">
      <c r="A410" t="s">
        <v>2692</v>
      </c>
      <c r="B410" t="s">
        <v>14</v>
      </c>
      <c r="C410" t="s">
        <v>118</v>
      </c>
      <c r="D410" t="s">
        <v>2693</v>
      </c>
      <c r="E410" t="s">
        <v>2694</v>
      </c>
      <c r="F410" t="s">
        <v>2695</v>
      </c>
      <c r="G410" t="s">
        <v>2696</v>
      </c>
      <c r="H410" t="s">
        <v>2696</v>
      </c>
      <c r="I410" t="s">
        <v>2697</v>
      </c>
      <c r="J410" t="s">
        <v>2698</v>
      </c>
      <c r="K410" t="s">
        <v>339</v>
      </c>
      <c r="L410" t="s">
        <v>2697</v>
      </c>
      <c r="M410" t="s">
        <v>21</v>
      </c>
    </row>
    <row r="411" spans="1:13" x14ac:dyDescent="0.15">
      <c r="A411" t="s">
        <v>2699</v>
      </c>
      <c r="B411" t="s">
        <v>14</v>
      </c>
      <c r="C411" t="s">
        <v>23</v>
      </c>
      <c r="D411" t="s">
        <v>2700</v>
      </c>
      <c r="E411" t="s">
        <v>2701</v>
      </c>
      <c r="F411" t="s">
        <v>2702</v>
      </c>
      <c r="G411" t="s">
        <v>2703</v>
      </c>
      <c r="H411" t="s">
        <v>2703</v>
      </c>
      <c r="I411" t="s">
        <v>2704</v>
      </c>
      <c r="J411" t="s">
        <v>415</v>
      </c>
      <c r="K411" t="s">
        <v>1052</v>
      </c>
      <c r="L411" t="s">
        <v>2619</v>
      </c>
      <c r="M411" t="s">
        <v>41</v>
      </c>
    </row>
    <row r="412" spans="1:13" x14ac:dyDescent="0.15">
      <c r="A412" t="s">
        <v>2705</v>
      </c>
      <c r="B412" t="s">
        <v>14</v>
      </c>
      <c r="C412" t="s">
        <v>23</v>
      </c>
      <c r="D412" t="s">
        <v>2706</v>
      </c>
      <c r="E412" t="s">
        <v>2707</v>
      </c>
      <c r="F412" t="s">
        <v>2708</v>
      </c>
      <c r="G412" t="s">
        <v>2709</v>
      </c>
      <c r="H412" t="s">
        <v>2709</v>
      </c>
      <c r="I412" t="s">
        <v>2710</v>
      </c>
      <c r="J412" t="s">
        <v>415</v>
      </c>
      <c r="K412" t="s">
        <v>431</v>
      </c>
      <c r="L412" t="s">
        <v>2710</v>
      </c>
      <c r="M412" t="s">
        <v>104</v>
      </c>
    </row>
    <row r="413" spans="1:13" x14ac:dyDescent="0.15">
      <c r="A413" t="s">
        <v>2711</v>
      </c>
      <c r="B413" t="s">
        <v>14</v>
      </c>
      <c r="C413" t="s">
        <v>23</v>
      </c>
      <c r="D413" t="s">
        <v>2712</v>
      </c>
      <c r="E413" t="s">
        <v>2713</v>
      </c>
      <c r="F413" t="s">
        <v>2714</v>
      </c>
      <c r="G413" t="s">
        <v>2715</v>
      </c>
      <c r="H413" t="s">
        <v>2715</v>
      </c>
      <c r="I413" t="s">
        <v>2716</v>
      </c>
      <c r="J413" t="s">
        <v>415</v>
      </c>
      <c r="K413" t="s">
        <v>48</v>
      </c>
      <c r="L413" t="s">
        <v>2716</v>
      </c>
      <c r="M413" t="s">
        <v>482</v>
      </c>
    </row>
    <row r="414" spans="1:13" x14ac:dyDescent="0.15">
      <c r="A414" t="s">
        <v>2717</v>
      </c>
      <c r="B414" t="s">
        <v>14</v>
      </c>
      <c r="C414" t="s">
        <v>23</v>
      </c>
      <c r="D414" t="s">
        <v>2718</v>
      </c>
      <c r="E414" t="s">
        <v>2719</v>
      </c>
      <c r="F414" t="s">
        <v>2720</v>
      </c>
      <c r="G414" t="s">
        <v>2721</v>
      </c>
      <c r="H414" t="s">
        <v>2721</v>
      </c>
      <c r="I414" t="s">
        <v>2722</v>
      </c>
      <c r="J414" t="s">
        <v>415</v>
      </c>
      <c r="K414" t="s">
        <v>1170</v>
      </c>
      <c r="L414" t="s">
        <v>2722</v>
      </c>
      <c r="M414" t="s">
        <v>482</v>
      </c>
    </row>
    <row r="415" spans="1:13" x14ac:dyDescent="0.15">
      <c r="A415" t="s">
        <v>2723</v>
      </c>
      <c r="B415" t="s">
        <v>14</v>
      </c>
      <c r="C415" t="s">
        <v>23</v>
      </c>
      <c r="D415" t="s">
        <v>2724</v>
      </c>
      <c r="E415" t="s">
        <v>2725</v>
      </c>
      <c r="F415" t="s">
        <v>2726</v>
      </c>
      <c r="G415" t="s">
        <v>2727</v>
      </c>
      <c r="H415" t="s">
        <v>2727</v>
      </c>
      <c r="I415" t="s">
        <v>2728</v>
      </c>
      <c r="J415" t="s">
        <v>415</v>
      </c>
      <c r="K415" t="s">
        <v>2729</v>
      </c>
      <c r="L415" t="s">
        <v>2728</v>
      </c>
      <c r="M415" t="s">
        <v>482</v>
      </c>
    </row>
    <row r="416" spans="1:13" x14ac:dyDescent="0.15">
      <c r="A416" t="s">
        <v>2730</v>
      </c>
      <c r="B416" t="s">
        <v>14</v>
      </c>
      <c r="C416" t="s">
        <v>23</v>
      </c>
      <c r="D416" t="s">
        <v>2731</v>
      </c>
      <c r="E416" t="s">
        <v>2732</v>
      </c>
      <c r="F416" t="s">
        <v>2733</v>
      </c>
      <c r="G416" t="s">
        <v>2734</v>
      </c>
      <c r="H416" t="s">
        <v>2734</v>
      </c>
      <c r="I416" t="s">
        <v>2735</v>
      </c>
      <c r="J416" t="s">
        <v>415</v>
      </c>
      <c r="K416" t="s">
        <v>1078</v>
      </c>
      <c r="L416" t="s">
        <v>2735</v>
      </c>
      <c r="M416" t="s">
        <v>482</v>
      </c>
    </row>
    <row r="417" spans="1:13" x14ac:dyDescent="0.15">
      <c r="A417" t="s">
        <v>2736</v>
      </c>
      <c r="B417" t="s">
        <v>14</v>
      </c>
      <c r="C417" t="s">
        <v>23</v>
      </c>
      <c r="D417" t="s">
        <v>2737</v>
      </c>
      <c r="E417" t="s">
        <v>2738</v>
      </c>
      <c r="F417" t="s">
        <v>2739</v>
      </c>
      <c r="G417" t="s">
        <v>2740</v>
      </c>
      <c r="H417" t="s">
        <v>2740</v>
      </c>
      <c r="I417" t="s">
        <v>2741</v>
      </c>
      <c r="J417" t="s">
        <v>415</v>
      </c>
      <c r="K417" t="s">
        <v>64</v>
      </c>
      <c r="L417" t="s">
        <v>2741</v>
      </c>
      <c r="M417" t="s">
        <v>482</v>
      </c>
    </row>
    <row r="418" spans="1:13" x14ac:dyDescent="0.15">
      <c r="A418" t="s">
        <v>2742</v>
      </c>
      <c r="B418" t="s">
        <v>14</v>
      </c>
      <c r="C418" t="s">
        <v>23</v>
      </c>
      <c r="D418" t="s">
        <v>2743</v>
      </c>
      <c r="E418" t="s">
        <v>2744</v>
      </c>
      <c r="F418" t="s">
        <v>2745</v>
      </c>
      <c r="G418" t="s">
        <v>2746</v>
      </c>
      <c r="H418" t="s">
        <v>2746</v>
      </c>
      <c r="I418" t="s">
        <v>2747</v>
      </c>
      <c r="J418" t="s">
        <v>415</v>
      </c>
      <c r="K418" t="s">
        <v>312</v>
      </c>
      <c r="L418" t="s">
        <v>2747</v>
      </c>
      <c r="M418" t="s">
        <v>482</v>
      </c>
    </row>
    <row r="419" spans="1:13" x14ac:dyDescent="0.15">
      <c r="A419" t="s">
        <v>2748</v>
      </c>
      <c r="B419" t="s">
        <v>14</v>
      </c>
      <c r="C419" t="s">
        <v>118</v>
      </c>
      <c r="D419" t="s">
        <v>2749</v>
      </c>
      <c r="E419" t="s">
        <v>2750</v>
      </c>
      <c r="F419" t="s">
        <v>2751</v>
      </c>
      <c r="G419" t="s">
        <v>2752</v>
      </c>
      <c r="H419" t="s">
        <v>2752</v>
      </c>
      <c r="I419" t="s">
        <v>2753</v>
      </c>
      <c r="J419" t="s">
        <v>415</v>
      </c>
      <c r="K419" t="s">
        <v>239</v>
      </c>
      <c r="L419" t="s">
        <v>2753</v>
      </c>
      <c r="M419" t="s">
        <v>1118</v>
      </c>
    </row>
    <row r="420" spans="1:13" x14ac:dyDescent="0.15">
      <c r="A420" t="s">
        <v>2754</v>
      </c>
      <c r="B420" t="s">
        <v>14</v>
      </c>
      <c r="C420" t="s">
        <v>118</v>
      </c>
      <c r="D420" t="s">
        <v>2755</v>
      </c>
      <c r="E420" t="s">
        <v>2756</v>
      </c>
      <c r="F420" t="s">
        <v>2757</v>
      </c>
      <c r="G420" t="s">
        <v>2758</v>
      </c>
      <c r="H420" t="s">
        <v>2758</v>
      </c>
      <c r="I420" t="s">
        <v>2759</v>
      </c>
      <c r="J420" t="s">
        <v>29</v>
      </c>
      <c r="K420" t="s">
        <v>215</v>
      </c>
      <c r="L420" t="s">
        <v>2759</v>
      </c>
      <c r="M420" t="s">
        <v>2760</v>
      </c>
    </row>
    <row r="421" spans="1:13" x14ac:dyDescent="0.15">
      <c r="A421" t="s">
        <v>2761</v>
      </c>
      <c r="B421" t="s">
        <v>14</v>
      </c>
      <c r="C421" t="s">
        <v>118</v>
      </c>
      <c r="D421" t="s">
        <v>2762</v>
      </c>
      <c r="E421" t="s">
        <v>2763</v>
      </c>
      <c r="F421" t="s">
        <v>2764</v>
      </c>
      <c r="G421" t="s">
        <v>2765</v>
      </c>
      <c r="H421" t="s">
        <v>2765</v>
      </c>
      <c r="I421" t="s">
        <v>2766</v>
      </c>
      <c r="J421" t="s">
        <v>352</v>
      </c>
      <c r="K421" t="s">
        <v>1321</v>
      </c>
      <c r="L421" t="s">
        <v>2766</v>
      </c>
      <c r="M421" t="s">
        <v>104</v>
      </c>
    </row>
    <row r="422" spans="1:13" x14ac:dyDescent="0.15">
      <c r="A422" t="s">
        <v>2767</v>
      </c>
      <c r="B422" t="s">
        <v>14</v>
      </c>
      <c r="C422" t="s">
        <v>118</v>
      </c>
      <c r="D422" t="s">
        <v>2768</v>
      </c>
      <c r="E422" t="s">
        <v>2769</v>
      </c>
      <c r="F422" t="s">
        <v>2770</v>
      </c>
      <c r="G422" t="s">
        <v>2771</v>
      </c>
      <c r="H422" t="s">
        <v>2771</v>
      </c>
      <c r="I422" t="s">
        <v>2772</v>
      </c>
      <c r="J422" t="s">
        <v>352</v>
      </c>
      <c r="K422" t="s">
        <v>256</v>
      </c>
      <c r="L422" t="s">
        <v>2772</v>
      </c>
      <c r="M422" t="s">
        <v>353</v>
      </c>
    </row>
    <row r="423" spans="1:13" x14ac:dyDescent="0.15">
      <c r="A423" t="s">
        <v>2773</v>
      </c>
      <c r="B423" t="s">
        <v>14</v>
      </c>
      <c r="C423" t="s">
        <v>118</v>
      </c>
      <c r="D423" t="s">
        <v>2774</v>
      </c>
      <c r="E423" t="s">
        <v>2775</v>
      </c>
      <c r="F423" t="s">
        <v>2776</v>
      </c>
      <c r="G423" t="s">
        <v>2777</v>
      </c>
      <c r="H423" t="s">
        <v>2777</v>
      </c>
      <c r="I423" t="s">
        <v>2778</v>
      </c>
      <c r="J423" t="s">
        <v>29</v>
      </c>
      <c r="K423" t="s">
        <v>2779</v>
      </c>
      <c r="L423" t="s">
        <v>2778</v>
      </c>
      <c r="M423" t="s">
        <v>2760</v>
      </c>
    </row>
    <row r="424" spans="1:13" x14ac:dyDescent="0.15">
      <c r="A424" t="s">
        <v>2780</v>
      </c>
      <c r="B424" t="s">
        <v>14</v>
      </c>
      <c r="C424" t="s">
        <v>118</v>
      </c>
      <c r="D424" t="s">
        <v>2781</v>
      </c>
      <c r="E424" t="s">
        <v>2782</v>
      </c>
      <c r="F424" t="s">
        <v>2783</v>
      </c>
      <c r="G424" t="s">
        <v>2784</v>
      </c>
      <c r="H424" t="s">
        <v>2784</v>
      </c>
      <c r="I424" t="s">
        <v>2785</v>
      </c>
      <c r="J424" t="s">
        <v>352</v>
      </c>
      <c r="K424" t="s">
        <v>540</v>
      </c>
      <c r="L424" t="s">
        <v>2785</v>
      </c>
      <c r="M424" t="s">
        <v>248</v>
      </c>
    </row>
    <row r="425" spans="1:13" x14ac:dyDescent="0.15">
      <c r="A425" t="s">
        <v>2786</v>
      </c>
      <c r="B425" t="s">
        <v>14</v>
      </c>
      <c r="C425" t="s">
        <v>118</v>
      </c>
      <c r="D425" t="s">
        <v>2787</v>
      </c>
      <c r="E425" t="s">
        <v>2788</v>
      </c>
      <c r="F425" t="s">
        <v>2789</v>
      </c>
      <c r="G425" t="s">
        <v>2790</v>
      </c>
      <c r="H425" t="s">
        <v>2790</v>
      </c>
      <c r="I425" t="s">
        <v>2791</v>
      </c>
      <c r="J425" t="s">
        <v>181</v>
      </c>
      <c r="K425" t="s">
        <v>633</v>
      </c>
      <c r="L425" t="s">
        <v>62</v>
      </c>
      <c r="M425" t="s">
        <v>183</v>
      </c>
    </row>
    <row r="426" spans="1:13" x14ac:dyDescent="0.15">
      <c r="A426" t="s">
        <v>2792</v>
      </c>
      <c r="B426" t="s">
        <v>14</v>
      </c>
      <c r="C426" t="s">
        <v>118</v>
      </c>
      <c r="D426" t="s">
        <v>2793</v>
      </c>
      <c r="E426" t="s">
        <v>2794</v>
      </c>
      <c r="F426" t="s">
        <v>2795</v>
      </c>
      <c r="G426" t="s">
        <v>2796</v>
      </c>
      <c r="H426" t="s">
        <v>2796</v>
      </c>
      <c r="I426" t="s">
        <v>2797</v>
      </c>
      <c r="J426" t="s">
        <v>29</v>
      </c>
      <c r="K426" t="s">
        <v>540</v>
      </c>
      <c r="L426" t="s">
        <v>2797</v>
      </c>
      <c r="M426" t="s">
        <v>41</v>
      </c>
    </row>
    <row r="427" spans="1:13" x14ac:dyDescent="0.15">
      <c r="A427" t="s">
        <v>2798</v>
      </c>
      <c r="B427" t="s">
        <v>14</v>
      </c>
      <c r="C427" t="s">
        <v>118</v>
      </c>
      <c r="D427" t="s">
        <v>2799</v>
      </c>
      <c r="E427" t="s">
        <v>2800</v>
      </c>
      <c r="F427" t="s">
        <v>2801</v>
      </c>
      <c r="H427" t="s">
        <v>2802</v>
      </c>
      <c r="I427" t="s">
        <v>2803</v>
      </c>
      <c r="J427" t="s">
        <v>230</v>
      </c>
      <c r="K427" t="s">
        <v>239</v>
      </c>
      <c r="L427" t="s">
        <v>2803</v>
      </c>
      <c r="M427" t="s">
        <v>21</v>
      </c>
    </row>
    <row r="428" spans="1:13" x14ac:dyDescent="0.15">
      <c r="A428" t="s">
        <v>2804</v>
      </c>
      <c r="B428" t="s">
        <v>14</v>
      </c>
      <c r="C428" t="s">
        <v>118</v>
      </c>
      <c r="D428" t="s">
        <v>2805</v>
      </c>
      <c r="E428" t="s">
        <v>2806</v>
      </c>
      <c r="F428" t="s">
        <v>2807</v>
      </c>
      <c r="G428" t="s">
        <v>198</v>
      </c>
      <c r="H428" t="s">
        <v>198</v>
      </c>
      <c r="I428" t="s">
        <v>2808</v>
      </c>
      <c r="J428" t="s">
        <v>230</v>
      </c>
      <c r="K428" t="s">
        <v>2598</v>
      </c>
      <c r="L428" t="s">
        <v>2808</v>
      </c>
      <c r="M428" t="s">
        <v>1725</v>
      </c>
    </row>
    <row r="429" spans="1:13" x14ac:dyDescent="0.15">
      <c r="A429" t="s">
        <v>2809</v>
      </c>
      <c r="B429" t="s">
        <v>14</v>
      </c>
      <c r="C429" t="s">
        <v>118</v>
      </c>
      <c r="D429" t="s">
        <v>2810</v>
      </c>
      <c r="E429" t="s">
        <v>2811</v>
      </c>
      <c r="F429" t="s">
        <v>2812</v>
      </c>
      <c r="G429" t="s">
        <v>2813</v>
      </c>
      <c r="H429" t="s">
        <v>2813</v>
      </c>
      <c r="I429" t="s">
        <v>2814</v>
      </c>
      <c r="J429" t="s">
        <v>230</v>
      </c>
      <c r="K429" t="s">
        <v>256</v>
      </c>
      <c r="L429" t="s">
        <v>2814</v>
      </c>
      <c r="M429" t="s">
        <v>248</v>
      </c>
    </row>
    <row r="430" spans="1:13" x14ac:dyDescent="0.15">
      <c r="A430" t="s">
        <v>2815</v>
      </c>
      <c r="B430" t="s">
        <v>14</v>
      </c>
      <c r="C430" t="s">
        <v>118</v>
      </c>
      <c r="D430" t="s">
        <v>2816</v>
      </c>
      <c r="E430" t="s">
        <v>2817</v>
      </c>
      <c r="F430" t="s">
        <v>2818</v>
      </c>
      <c r="G430" t="s">
        <v>2819</v>
      </c>
      <c r="H430" t="s">
        <v>2819</v>
      </c>
      <c r="I430" t="s">
        <v>2820</v>
      </c>
      <c r="J430" t="s">
        <v>230</v>
      </c>
      <c r="K430" t="s">
        <v>256</v>
      </c>
      <c r="L430" t="s">
        <v>2820</v>
      </c>
      <c r="M430" t="s">
        <v>80</v>
      </c>
    </row>
    <row r="431" spans="1:13" x14ac:dyDescent="0.15">
      <c r="A431" t="s">
        <v>2821</v>
      </c>
      <c r="B431" t="s">
        <v>14</v>
      </c>
      <c r="C431" t="s">
        <v>23</v>
      </c>
      <c r="D431" t="s">
        <v>2822</v>
      </c>
      <c r="E431" t="s">
        <v>2823</v>
      </c>
      <c r="F431" t="s">
        <v>2824</v>
      </c>
      <c r="G431" t="s">
        <v>2825</v>
      </c>
      <c r="H431" t="s">
        <v>2825</v>
      </c>
      <c r="I431" t="s">
        <v>2826</v>
      </c>
      <c r="J431" t="s">
        <v>124</v>
      </c>
      <c r="K431" t="s">
        <v>2043</v>
      </c>
      <c r="L431" t="s">
        <v>2827</v>
      </c>
      <c r="M431" t="s">
        <v>41</v>
      </c>
    </row>
    <row r="432" spans="1:13" x14ac:dyDescent="0.15">
      <c r="A432" t="s">
        <v>2828</v>
      </c>
      <c r="B432" t="s">
        <v>14</v>
      </c>
      <c r="C432" t="s">
        <v>118</v>
      </c>
      <c r="D432" t="s">
        <v>2829</v>
      </c>
      <c r="E432" t="s">
        <v>2830</v>
      </c>
      <c r="F432" t="s">
        <v>2831</v>
      </c>
      <c r="G432" t="s">
        <v>2832</v>
      </c>
      <c r="H432" t="s">
        <v>2832</v>
      </c>
      <c r="I432" t="s">
        <v>2833</v>
      </c>
      <c r="J432" t="s">
        <v>20</v>
      </c>
      <c r="K432" t="s">
        <v>1718</v>
      </c>
      <c r="L432" t="s">
        <v>2833</v>
      </c>
      <c r="M432" t="s">
        <v>2095</v>
      </c>
    </row>
    <row r="433" spans="1:13" x14ac:dyDescent="0.15">
      <c r="A433" t="s">
        <v>2834</v>
      </c>
      <c r="B433" t="s">
        <v>14</v>
      </c>
      <c r="C433" t="s">
        <v>118</v>
      </c>
      <c r="D433" t="s">
        <v>2835</v>
      </c>
      <c r="E433" t="s">
        <v>2836</v>
      </c>
      <c r="F433" t="s">
        <v>2837</v>
      </c>
      <c r="G433" t="s">
        <v>2838</v>
      </c>
      <c r="H433" t="s">
        <v>2838</v>
      </c>
      <c r="I433" t="s">
        <v>2839</v>
      </c>
      <c r="J433" t="s">
        <v>20</v>
      </c>
      <c r="K433" t="s">
        <v>1582</v>
      </c>
      <c r="L433" t="s">
        <v>2839</v>
      </c>
      <c r="M433" t="s">
        <v>2840</v>
      </c>
    </row>
    <row r="434" spans="1:13" x14ac:dyDescent="0.15">
      <c r="A434" t="s">
        <v>2841</v>
      </c>
      <c r="B434" t="s">
        <v>14</v>
      </c>
      <c r="C434" t="s">
        <v>118</v>
      </c>
      <c r="D434" t="s">
        <v>2842</v>
      </c>
      <c r="E434" t="s">
        <v>2843</v>
      </c>
      <c r="F434" t="s">
        <v>2844</v>
      </c>
      <c r="G434" t="s">
        <v>2845</v>
      </c>
      <c r="H434" t="s">
        <v>2845</v>
      </c>
      <c r="I434" t="s">
        <v>2846</v>
      </c>
      <c r="J434" t="s">
        <v>20</v>
      </c>
      <c r="K434" t="s">
        <v>231</v>
      </c>
      <c r="L434" t="s">
        <v>2846</v>
      </c>
      <c r="M434" t="s">
        <v>2847</v>
      </c>
    </row>
    <row r="435" spans="1:13" x14ac:dyDescent="0.15">
      <c r="A435" t="s">
        <v>2848</v>
      </c>
      <c r="B435" t="s">
        <v>14</v>
      </c>
      <c r="C435" t="s">
        <v>118</v>
      </c>
      <c r="D435" t="s">
        <v>2849</v>
      </c>
      <c r="E435" t="s">
        <v>2850</v>
      </c>
      <c r="F435" t="s">
        <v>2851</v>
      </c>
      <c r="G435" t="s">
        <v>2852</v>
      </c>
      <c r="H435" t="s">
        <v>552</v>
      </c>
      <c r="I435" t="s">
        <v>553</v>
      </c>
      <c r="J435" t="s">
        <v>20</v>
      </c>
      <c r="K435" t="s">
        <v>554</v>
      </c>
      <c r="L435" t="s">
        <v>553</v>
      </c>
      <c r="M435" t="s">
        <v>1015</v>
      </c>
    </row>
    <row r="436" spans="1:13" x14ac:dyDescent="0.15">
      <c r="A436" t="s">
        <v>2853</v>
      </c>
      <c r="B436" t="s">
        <v>14</v>
      </c>
      <c r="C436" t="s">
        <v>118</v>
      </c>
      <c r="D436" t="s">
        <v>2854</v>
      </c>
      <c r="E436" t="s">
        <v>2855</v>
      </c>
      <c r="F436" t="s">
        <v>2856</v>
      </c>
      <c r="G436" t="s">
        <v>2857</v>
      </c>
      <c r="H436" t="s">
        <v>2857</v>
      </c>
      <c r="I436" t="s">
        <v>2858</v>
      </c>
      <c r="J436" t="s">
        <v>1194</v>
      </c>
      <c r="K436" t="s">
        <v>1450</v>
      </c>
      <c r="L436" t="s">
        <v>2858</v>
      </c>
      <c r="M436" t="s">
        <v>41</v>
      </c>
    </row>
    <row r="437" spans="1:13" x14ac:dyDescent="0.15">
      <c r="A437" t="s">
        <v>2859</v>
      </c>
      <c r="B437" t="s">
        <v>14</v>
      </c>
      <c r="C437" t="s">
        <v>118</v>
      </c>
      <c r="D437" t="s">
        <v>2860</v>
      </c>
      <c r="E437" t="s">
        <v>2861</v>
      </c>
      <c r="F437" t="s">
        <v>2862</v>
      </c>
      <c r="G437" t="s">
        <v>2857</v>
      </c>
      <c r="H437" t="s">
        <v>2857</v>
      </c>
      <c r="I437" t="s">
        <v>2858</v>
      </c>
      <c r="J437" t="s">
        <v>1194</v>
      </c>
      <c r="K437" t="s">
        <v>2667</v>
      </c>
      <c r="L437" t="s">
        <v>2858</v>
      </c>
      <c r="M437" t="s">
        <v>41</v>
      </c>
    </row>
    <row r="438" spans="1:13" x14ac:dyDescent="0.15">
      <c r="A438" t="s">
        <v>2863</v>
      </c>
      <c r="B438" t="s">
        <v>14</v>
      </c>
      <c r="C438" t="s">
        <v>118</v>
      </c>
      <c r="D438" t="s">
        <v>2864</v>
      </c>
      <c r="E438" t="s">
        <v>2865</v>
      </c>
      <c r="F438" t="s">
        <v>2866</v>
      </c>
      <c r="G438" t="s">
        <v>2867</v>
      </c>
      <c r="H438" t="s">
        <v>2867</v>
      </c>
      <c r="I438" t="s">
        <v>2868</v>
      </c>
      <c r="J438" t="s">
        <v>1194</v>
      </c>
      <c r="K438" t="s">
        <v>1672</v>
      </c>
      <c r="L438" t="s">
        <v>2868</v>
      </c>
      <c r="M438" t="s">
        <v>41</v>
      </c>
    </row>
    <row r="439" spans="1:13" x14ac:dyDescent="0.15">
      <c r="A439" t="s">
        <v>2869</v>
      </c>
      <c r="B439" t="s">
        <v>14</v>
      </c>
      <c r="C439" t="s">
        <v>23</v>
      </c>
      <c r="D439" t="s">
        <v>2870</v>
      </c>
      <c r="E439" t="s">
        <v>2871</v>
      </c>
      <c r="F439" t="s">
        <v>2872</v>
      </c>
      <c r="G439" t="s">
        <v>2873</v>
      </c>
      <c r="H439" t="s">
        <v>2873</v>
      </c>
      <c r="I439" t="s">
        <v>2874</v>
      </c>
      <c r="J439" t="s">
        <v>344</v>
      </c>
      <c r="K439" t="s">
        <v>2043</v>
      </c>
      <c r="L439" t="s">
        <v>2875</v>
      </c>
      <c r="M439" t="s">
        <v>104</v>
      </c>
    </row>
    <row r="440" spans="1:13" x14ac:dyDescent="0.15">
      <c r="A440" t="s">
        <v>2876</v>
      </c>
      <c r="B440" t="s">
        <v>14</v>
      </c>
      <c r="C440" t="s">
        <v>23</v>
      </c>
      <c r="D440" t="s">
        <v>2877</v>
      </c>
      <c r="E440" t="s">
        <v>2878</v>
      </c>
      <c r="F440" t="s">
        <v>2879</v>
      </c>
      <c r="G440" t="s">
        <v>2880</v>
      </c>
      <c r="H440" t="s">
        <v>2880</v>
      </c>
      <c r="I440" t="s">
        <v>2881</v>
      </c>
      <c r="J440" t="s">
        <v>344</v>
      </c>
      <c r="K440" t="s">
        <v>647</v>
      </c>
      <c r="L440" t="s">
        <v>1221</v>
      </c>
      <c r="M440" t="s">
        <v>104</v>
      </c>
    </row>
    <row r="441" spans="1:13" x14ac:dyDescent="0.15">
      <c r="A441" t="s">
        <v>2882</v>
      </c>
      <c r="B441" t="s">
        <v>14</v>
      </c>
      <c r="C441" t="s">
        <v>118</v>
      </c>
      <c r="D441" t="s">
        <v>2883</v>
      </c>
      <c r="E441" t="s">
        <v>2884</v>
      </c>
      <c r="F441" t="s">
        <v>2885</v>
      </c>
      <c r="G441" t="s">
        <v>2886</v>
      </c>
      <c r="H441" t="s">
        <v>2886</v>
      </c>
      <c r="I441" t="s">
        <v>2887</v>
      </c>
      <c r="J441" t="s">
        <v>246</v>
      </c>
      <c r="K441" t="s">
        <v>811</v>
      </c>
      <c r="L441" t="s">
        <v>2887</v>
      </c>
      <c r="M441" t="s">
        <v>432</v>
      </c>
    </row>
    <row r="442" spans="1:13" x14ac:dyDescent="0.15">
      <c r="A442" t="s">
        <v>2888</v>
      </c>
      <c r="B442" t="s">
        <v>14</v>
      </c>
      <c r="C442" t="s">
        <v>118</v>
      </c>
      <c r="D442" t="s">
        <v>2889</v>
      </c>
      <c r="E442" t="s">
        <v>2890</v>
      </c>
      <c r="F442" t="s">
        <v>2891</v>
      </c>
      <c r="G442" t="s">
        <v>2892</v>
      </c>
      <c r="H442" t="s">
        <v>2892</v>
      </c>
      <c r="I442" t="s">
        <v>2893</v>
      </c>
      <c r="J442" t="s">
        <v>246</v>
      </c>
      <c r="K442" t="s">
        <v>2037</v>
      </c>
      <c r="L442" t="s">
        <v>2893</v>
      </c>
      <c r="M442" t="s">
        <v>1015</v>
      </c>
    </row>
    <row r="443" spans="1:13" x14ac:dyDescent="0.15">
      <c r="A443" t="s">
        <v>2894</v>
      </c>
      <c r="B443" t="s">
        <v>14</v>
      </c>
      <c r="C443" t="s">
        <v>118</v>
      </c>
      <c r="D443" t="s">
        <v>2895</v>
      </c>
      <c r="E443" t="s">
        <v>2896</v>
      </c>
      <c r="F443" t="s">
        <v>2897</v>
      </c>
      <c r="G443" t="s">
        <v>2898</v>
      </c>
      <c r="H443" t="s">
        <v>2898</v>
      </c>
      <c r="I443" t="s">
        <v>2899</v>
      </c>
      <c r="J443" t="s">
        <v>533</v>
      </c>
      <c r="K443" t="s">
        <v>554</v>
      </c>
      <c r="L443" t="s">
        <v>2900</v>
      </c>
      <c r="M443" t="s">
        <v>21</v>
      </c>
    </row>
    <row r="444" spans="1:13" x14ac:dyDescent="0.15">
      <c r="A444" t="s">
        <v>2901</v>
      </c>
      <c r="B444" t="s">
        <v>14</v>
      </c>
      <c r="C444" t="s">
        <v>23</v>
      </c>
      <c r="D444" t="s">
        <v>2902</v>
      </c>
      <c r="E444" t="s">
        <v>2903</v>
      </c>
      <c r="F444" t="s">
        <v>2904</v>
      </c>
      <c r="G444" t="s">
        <v>2905</v>
      </c>
      <c r="H444" t="s">
        <v>2905</v>
      </c>
      <c r="I444" t="s">
        <v>2906</v>
      </c>
      <c r="J444" t="s">
        <v>214</v>
      </c>
      <c r="K444" t="s">
        <v>439</v>
      </c>
      <c r="L444" t="s">
        <v>2906</v>
      </c>
      <c r="M444" t="s">
        <v>216</v>
      </c>
    </row>
    <row r="445" spans="1:13" x14ac:dyDescent="0.15">
      <c r="A445" t="s">
        <v>2907</v>
      </c>
      <c r="B445" t="s">
        <v>14</v>
      </c>
      <c r="C445" t="s">
        <v>118</v>
      </c>
      <c r="D445" t="s">
        <v>2908</v>
      </c>
      <c r="E445" t="s">
        <v>2909</v>
      </c>
      <c r="F445" t="s">
        <v>2910</v>
      </c>
      <c r="G445" t="s">
        <v>2911</v>
      </c>
      <c r="H445" t="s">
        <v>2911</v>
      </c>
      <c r="I445" t="s">
        <v>2912</v>
      </c>
      <c r="J445" t="s">
        <v>473</v>
      </c>
      <c r="K445" t="s">
        <v>1384</v>
      </c>
      <c r="L445" t="s">
        <v>2912</v>
      </c>
      <c r="M445" t="s">
        <v>2913</v>
      </c>
    </row>
    <row r="446" spans="1:13" x14ac:dyDescent="0.15">
      <c r="A446" t="s">
        <v>2914</v>
      </c>
      <c r="B446" t="s">
        <v>14</v>
      </c>
      <c r="C446" t="s">
        <v>118</v>
      </c>
      <c r="D446" t="s">
        <v>2915</v>
      </c>
      <c r="E446" t="s">
        <v>2916</v>
      </c>
      <c r="F446" t="s">
        <v>2917</v>
      </c>
      <c r="G446" t="s">
        <v>2918</v>
      </c>
      <c r="H446" t="s">
        <v>2918</v>
      </c>
      <c r="I446" t="s">
        <v>2919</v>
      </c>
      <c r="J446" t="s">
        <v>473</v>
      </c>
      <c r="K446" t="s">
        <v>1078</v>
      </c>
      <c r="L446" t="s">
        <v>2919</v>
      </c>
      <c r="M446" t="s">
        <v>2913</v>
      </c>
    </row>
    <row r="447" spans="1:13" x14ac:dyDescent="0.15">
      <c r="A447" t="s">
        <v>2920</v>
      </c>
      <c r="B447" t="s">
        <v>14</v>
      </c>
      <c r="C447" t="s">
        <v>23</v>
      </c>
      <c r="D447" t="s">
        <v>2921</v>
      </c>
      <c r="E447" t="s">
        <v>2922</v>
      </c>
      <c r="F447" t="s">
        <v>2923</v>
      </c>
      <c r="G447" t="s">
        <v>2924</v>
      </c>
      <c r="H447" t="s">
        <v>2924</v>
      </c>
      <c r="I447" t="s">
        <v>2925</v>
      </c>
      <c r="J447" t="s">
        <v>206</v>
      </c>
      <c r="K447" t="s">
        <v>1236</v>
      </c>
      <c r="L447" t="s">
        <v>2925</v>
      </c>
      <c r="M447" t="s">
        <v>104</v>
      </c>
    </row>
    <row r="448" spans="1:13" x14ac:dyDescent="0.15">
      <c r="A448" t="s">
        <v>2926</v>
      </c>
      <c r="B448" t="s">
        <v>14</v>
      </c>
      <c r="C448" t="s">
        <v>118</v>
      </c>
      <c r="D448" t="s">
        <v>2927</v>
      </c>
      <c r="E448" t="s">
        <v>2928</v>
      </c>
      <c r="F448" t="s">
        <v>2929</v>
      </c>
      <c r="G448" t="s">
        <v>2930</v>
      </c>
      <c r="H448" t="s">
        <v>2930</v>
      </c>
      <c r="I448" t="s">
        <v>2931</v>
      </c>
      <c r="J448" t="s">
        <v>514</v>
      </c>
      <c r="K448" t="s">
        <v>239</v>
      </c>
      <c r="L448" t="s">
        <v>2931</v>
      </c>
      <c r="M448" t="s">
        <v>432</v>
      </c>
    </row>
    <row r="449" spans="1:13" x14ac:dyDescent="0.15">
      <c r="A449" t="s">
        <v>2932</v>
      </c>
      <c r="B449" t="s">
        <v>14</v>
      </c>
      <c r="C449" t="s">
        <v>118</v>
      </c>
      <c r="D449" t="s">
        <v>2933</v>
      </c>
      <c r="E449" t="s">
        <v>2934</v>
      </c>
      <c r="F449" t="s">
        <v>2935</v>
      </c>
      <c r="G449" t="s">
        <v>2936</v>
      </c>
      <c r="H449" t="s">
        <v>2936</v>
      </c>
      <c r="I449" t="s">
        <v>2937</v>
      </c>
      <c r="J449" t="s">
        <v>473</v>
      </c>
      <c r="K449" t="s">
        <v>2499</v>
      </c>
      <c r="L449" t="s">
        <v>2937</v>
      </c>
      <c r="M449" t="s">
        <v>2913</v>
      </c>
    </row>
    <row r="450" spans="1:13" x14ac:dyDescent="0.15">
      <c r="A450" t="s">
        <v>2938</v>
      </c>
      <c r="B450" t="s">
        <v>14</v>
      </c>
      <c r="C450" t="s">
        <v>118</v>
      </c>
      <c r="D450" t="s">
        <v>2939</v>
      </c>
      <c r="E450" t="s">
        <v>2940</v>
      </c>
      <c r="F450" t="s">
        <v>2941</v>
      </c>
      <c r="G450" t="s">
        <v>2942</v>
      </c>
      <c r="H450" t="s">
        <v>2942</v>
      </c>
      <c r="I450" t="s">
        <v>2943</v>
      </c>
      <c r="J450" t="s">
        <v>514</v>
      </c>
      <c r="K450" t="s">
        <v>2944</v>
      </c>
      <c r="L450" t="s">
        <v>2943</v>
      </c>
      <c r="M450" t="s">
        <v>773</v>
      </c>
    </row>
    <row r="451" spans="1:13" x14ac:dyDescent="0.15">
      <c r="A451" t="s">
        <v>2945</v>
      </c>
      <c r="B451" t="s">
        <v>14</v>
      </c>
      <c r="C451" t="s">
        <v>118</v>
      </c>
      <c r="D451" t="s">
        <v>2946</v>
      </c>
      <c r="E451" t="s">
        <v>2947</v>
      </c>
      <c r="F451" t="s">
        <v>2948</v>
      </c>
      <c r="G451" t="s">
        <v>2949</v>
      </c>
      <c r="H451" t="s">
        <v>2949</v>
      </c>
      <c r="I451" t="s">
        <v>2950</v>
      </c>
      <c r="J451" t="s">
        <v>29</v>
      </c>
      <c r="K451" t="s">
        <v>339</v>
      </c>
      <c r="L451" t="s">
        <v>2950</v>
      </c>
      <c r="M451" t="s">
        <v>1015</v>
      </c>
    </row>
    <row r="452" spans="1:13" x14ac:dyDescent="0.15">
      <c r="A452" t="s">
        <v>2951</v>
      </c>
      <c r="B452" t="s">
        <v>14</v>
      </c>
      <c r="C452" t="s">
        <v>118</v>
      </c>
      <c r="D452" t="s">
        <v>2952</v>
      </c>
      <c r="E452" t="s">
        <v>2953</v>
      </c>
      <c r="F452" t="s">
        <v>2948</v>
      </c>
      <c r="G452" t="s">
        <v>2954</v>
      </c>
      <c r="H452" t="s">
        <v>2954</v>
      </c>
      <c r="I452" t="s">
        <v>2955</v>
      </c>
      <c r="J452" t="s">
        <v>473</v>
      </c>
      <c r="K452" t="s">
        <v>2956</v>
      </c>
      <c r="L452" t="s">
        <v>2955</v>
      </c>
      <c r="M452" t="s">
        <v>2913</v>
      </c>
    </row>
    <row r="453" spans="1:13" x14ac:dyDescent="0.15">
      <c r="A453" t="s">
        <v>2957</v>
      </c>
      <c r="B453" t="s">
        <v>14</v>
      </c>
      <c r="C453" t="s">
        <v>118</v>
      </c>
      <c r="D453" t="s">
        <v>2958</v>
      </c>
      <c r="E453" t="s">
        <v>2959</v>
      </c>
      <c r="F453" t="s">
        <v>2960</v>
      </c>
      <c r="G453" t="s">
        <v>2961</v>
      </c>
      <c r="H453" t="s">
        <v>2961</v>
      </c>
      <c r="I453" t="s">
        <v>2962</v>
      </c>
      <c r="J453" t="s">
        <v>138</v>
      </c>
      <c r="K453" t="s">
        <v>1045</v>
      </c>
      <c r="L453" t="s">
        <v>2962</v>
      </c>
      <c r="M453" t="s">
        <v>279</v>
      </c>
    </row>
    <row r="454" spans="1:13" x14ac:dyDescent="0.15">
      <c r="A454" t="s">
        <v>2963</v>
      </c>
      <c r="B454" t="s">
        <v>14</v>
      </c>
      <c r="C454" t="s">
        <v>118</v>
      </c>
      <c r="D454" t="s">
        <v>2964</v>
      </c>
      <c r="E454" t="s">
        <v>2965</v>
      </c>
      <c r="F454" t="s">
        <v>2966</v>
      </c>
      <c r="G454" t="s">
        <v>2961</v>
      </c>
      <c r="H454" t="s">
        <v>2961</v>
      </c>
      <c r="I454" t="s">
        <v>2962</v>
      </c>
      <c r="J454" t="s">
        <v>138</v>
      </c>
      <c r="K454" t="s">
        <v>256</v>
      </c>
      <c r="L454" t="s">
        <v>2962</v>
      </c>
      <c r="M454" t="s">
        <v>279</v>
      </c>
    </row>
    <row r="455" spans="1:13" x14ac:dyDescent="0.15">
      <c r="A455" t="s">
        <v>2967</v>
      </c>
      <c r="B455" t="s">
        <v>14</v>
      </c>
      <c r="C455" t="s">
        <v>118</v>
      </c>
      <c r="D455" t="s">
        <v>2968</v>
      </c>
      <c r="E455" t="s">
        <v>2969</v>
      </c>
      <c r="F455" t="s">
        <v>2970</v>
      </c>
      <c r="G455" t="s">
        <v>2971</v>
      </c>
      <c r="H455" t="s">
        <v>2971</v>
      </c>
      <c r="I455" t="s">
        <v>2972</v>
      </c>
      <c r="J455" t="s">
        <v>20</v>
      </c>
      <c r="K455" t="s">
        <v>360</v>
      </c>
      <c r="L455" t="s">
        <v>2972</v>
      </c>
      <c r="M455" t="s">
        <v>272</v>
      </c>
    </row>
    <row r="456" spans="1:13" x14ac:dyDescent="0.15">
      <c r="A456" t="s">
        <v>2973</v>
      </c>
      <c r="B456" t="s">
        <v>14</v>
      </c>
      <c r="C456" t="s">
        <v>118</v>
      </c>
      <c r="D456" t="s">
        <v>2974</v>
      </c>
      <c r="E456" t="s">
        <v>2975</v>
      </c>
      <c r="F456" t="s">
        <v>2976</v>
      </c>
      <c r="G456" t="s">
        <v>2977</v>
      </c>
      <c r="H456" t="s">
        <v>2977</v>
      </c>
      <c r="I456" t="s">
        <v>2978</v>
      </c>
      <c r="J456" t="s">
        <v>297</v>
      </c>
      <c r="K456" t="s">
        <v>360</v>
      </c>
      <c r="L456" t="s">
        <v>2978</v>
      </c>
      <c r="M456" t="s">
        <v>2979</v>
      </c>
    </row>
    <row r="457" spans="1:13" x14ac:dyDescent="0.15">
      <c r="A457" t="s">
        <v>2980</v>
      </c>
      <c r="B457" t="s">
        <v>14</v>
      </c>
      <c r="C457" t="s">
        <v>118</v>
      </c>
      <c r="D457" t="s">
        <v>2981</v>
      </c>
      <c r="E457" t="s">
        <v>2982</v>
      </c>
      <c r="F457" t="s">
        <v>2983</v>
      </c>
      <c r="G457" t="s">
        <v>2977</v>
      </c>
      <c r="H457" t="s">
        <v>2977</v>
      </c>
      <c r="I457" t="s">
        <v>2978</v>
      </c>
      <c r="J457" t="s">
        <v>297</v>
      </c>
      <c r="K457" t="s">
        <v>2122</v>
      </c>
      <c r="L457" t="s">
        <v>2978</v>
      </c>
      <c r="M457" t="s">
        <v>2979</v>
      </c>
    </row>
    <row r="458" spans="1:13" x14ac:dyDescent="0.15">
      <c r="A458" t="s">
        <v>2984</v>
      </c>
      <c r="B458" t="s">
        <v>14</v>
      </c>
      <c r="C458" t="s">
        <v>23</v>
      </c>
      <c r="D458" t="s">
        <v>2985</v>
      </c>
      <c r="E458" t="s">
        <v>2986</v>
      </c>
      <c r="F458" t="s">
        <v>2987</v>
      </c>
      <c r="G458" t="s">
        <v>2988</v>
      </c>
      <c r="H458" t="s">
        <v>2988</v>
      </c>
      <c r="I458" t="s">
        <v>2989</v>
      </c>
      <c r="J458" t="s">
        <v>344</v>
      </c>
      <c r="K458" t="s">
        <v>1281</v>
      </c>
      <c r="L458" t="s">
        <v>2990</v>
      </c>
      <c r="M458" t="s">
        <v>80</v>
      </c>
    </row>
    <row r="459" spans="1:13" x14ac:dyDescent="0.15">
      <c r="A459" t="s">
        <v>2991</v>
      </c>
      <c r="B459" t="s">
        <v>14</v>
      </c>
      <c r="C459" t="s">
        <v>118</v>
      </c>
      <c r="D459" t="s">
        <v>2992</v>
      </c>
      <c r="E459" t="s">
        <v>2993</v>
      </c>
      <c r="F459" t="s">
        <v>2994</v>
      </c>
      <c r="G459" t="s">
        <v>2995</v>
      </c>
      <c r="H459" t="s">
        <v>2995</v>
      </c>
      <c r="I459" t="s">
        <v>2996</v>
      </c>
      <c r="J459" t="s">
        <v>2698</v>
      </c>
      <c r="K459" t="s">
        <v>1384</v>
      </c>
      <c r="L459" t="s">
        <v>2996</v>
      </c>
      <c r="M459" t="s">
        <v>80</v>
      </c>
    </row>
    <row r="460" spans="1:13" x14ac:dyDescent="0.15">
      <c r="A460" t="s">
        <v>2997</v>
      </c>
      <c r="B460" t="s">
        <v>14</v>
      </c>
      <c r="C460" t="s">
        <v>23</v>
      </c>
      <c r="D460" t="s">
        <v>2097</v>
      </c>
      <c r="E460" t="s">
        <v>2998</v>
      </c>
      <c r="F460" t="s">
        <v>2999</v>
      </c>
      <c r="G460" t="s">
        <v>3000</v>
      </c>
      <c r="H460" t="s">
        <v>3000</v>
      </c>
      <c r="I460" t="s">
        <v>3001</v>
      </c>
      <c r="J460" t="s">
        <v>344</v>
      </c>
      <c r="K460" t="s">
        <v>647</v>
      </c>
      <c r="L460" t="s">
        <v>3002</v>
      </c>
      <c r="M460" t="s">
        <v>104</v>
      </c>
    </row>
    <row r="461" spans="1:13" x14ac:dyDescent="0.15">
      <c r="A461" t="s">
        <v>3003</v>
      </c>
      <c r="B461" t="s">
        <v>14</v>
      </c>
      <c r="C461" t="s">
        <v>118</v>
      </c>
      <c r="D461" t="s">
        <v>3004</v>
      </c>
      <c r="E461" t="s">
        <v>3005</v>
      </c>
      <c r="F461" t="s">
        <v>3006</v>
      </c>
      <c r="G461" t="s">
        <v>3007</v>
      </c>
      <c r="H461" t="s">
        <v>3007</v>
      </c>
      <c r="I461" t="s">
        <v>3008</v>
      </c>
      <c r="J461" t="s">
        <v>297</v>
      </c>
      <c r="K461" t="s">
        <v>452</v>
      </c>
      <c r="L461" t="s">
        <v>3008</v>
      </c>
      <c r="M461" t="s">
        <v>3009</v>
      </c>
    </row>
    <row r="462" spans="1:13" x14ac:dyDescent="0.15">
      <c r="A462" t="s">
        <v>3010</v>
      </c>
      <c r="B462" t="s">
        <v>14</v>
      </c>
      <c r="C462" t="s">
        <v>118</v>
      </c>
      <c r="D462" t="s">
        <v>3011</v>
      </c>
      <c r="E462" t="s">
        <v>3012</v>
      </c>
      <c r="F462" t="s">
        <v>3013</v>
      </c>
      <c r="G462" t="s">
        <v>679</v>
      </c>
      <c r="H462" t="s">
        <v>679</v>
      </c>
      <c r="I462" t="s">
        <v>680</v>
      </c>
      <c r="J462" t="s">
        <v>297</v>
      </c>
      <c r="K462" t="s">
        <v>786</v>
      </c>
      <c r="L462" t="s">
        <v>680</v>
      </c>
      <c r="M462" t="s">
        <v>174</v>
      </c>
    </row>
    <row r="463" spans="1:13" x14ac:dyDescent="0.15">
      <c r="A463" t="s">
        <v>3014</v>
      </c>
      <c r="B463" t="s">
        <v>14</v>
      </c>
      <c r="C463" t="s">
        <v>118</v>
      </c>
      <c r="D463" t="s">
        <v>3015</v>
      </c>
      <c r="E463" t="s">
        <v>3016</v>
      </c>
      <c r="F463" t="s">
        <v>3017</v>
      </c>
      <c r="G463" t="s">
        <v>3018</v>
      </c>
      <c r="H463" t="s">
        <v>3018</v>
      </c>
      <c r="I463" t="s">
        <v>3019</v>
      </c>
      <c r="J463" t="s">
        <v>626</v>
      </c>
      <c r="K463" t="s">
        <v>608</v>
      </c>
      <c r="L463" t="s">
        <v>417</v>
      </c>
      <c r="M463" t="s">
        <v>139</v>
      </c>
    </row>
    <row r="464" spans="1:13" x14ac:dyDescent="0.15">
      <c r="A464" t="s">
        <v>3020</v>
      </c>
      <c r="B464" t="s">
        <v>14</v>
      </c>
      <c r="C464" t="s">
        <v>118</v>
      </c>
      <c r="D464" t="s">
        <v>3021</v>
      </c>
      <c r="E464" t="s">
        <v>3022</v>
      </c>
      <c r="F464" t="s">
        <v>3023</v>
      </c>
      <c r="G464" t="s">
        <v>3024</v>
      </c>
      <c r="H464" t="s">
        <v>3024</v>
      </c>
      <c r="I464" t="s">
        <v>3025</v>
      </c>
      <c r="J464" t="s">
        <v>255</v>
      </c>
      <c r="K464" t="s">
        <v>256</v>
      </c>
      <c r="L464" t="s">
        <v>3025</v>
      </c>
      <c r="M464" t="s">
        <v>174</v>
      </c>
    </row>
    <row r="465" spans="1:13" x14ac:dyDescent="0.15">
      <c r="A465" t="s">
        <v>3026</v>
      </c>
      <c r="B465" t="s">
        <v>14</v>
      </c>
      <c r="C465" t="s">
        <v>23</v>
      </c>
      <c r="D465" t="s">
        <v>3027</v>
      </c>
      <c r="E465" t="s">
        <v>3028</v>
      </c>
      <c r="F465" t="s">
        <v>3029</v>
      </c>
      <c r="G465" t="s">
        <v>3030</v>
      </c>
      <c r="H465" t="s">
        <v>3030</v>
      </c>
      <c r="I465" t="s">
        <v>3031</v>
      </c>
      <c r="J465" t="s">
        <v>124</v>
      </c>
      <c r="K465" t="s">
        <v>2043</v>
      </c>
      <c r="L465" t="s">
        <v>3032</v>
      </c>
      <c r="M465" t="s">
        <v>41</v>
      </c>
    </row>
    <row r="466" spans="1:13" x14ac:dyDescent="0.15">
      <c r="A466" t="s">
        <v>3033</v>
      </c>
      <c r="B466" t="s">
        <v>14</v>
      </c>
      <c r="C466" t="s">
        <v>23</v>
      </c>
      <c r="D466" t="s">
        <v>3034</v>
      </c>
      <c r="E466" t="s">
        <v>3035</v>
      </c>
      <c r="F466" t="s">
        <v>3036</v>
      </c>
      <c r="G466" t="s">
        <v>3037</v>
      </c>
      <c r="H466" t="s">
        <v>3037</v>
      </c>
      <c r="I466" t="s">
        <v>3038</v>
      </c>
      <c r="J466" t="s">
        <v>124</v>
      </c>
      <c r="K466" t="s">
        <v>1882</v>
      </c>
      <c r="L466" t="s">
        <v>3039</v>
      </c>
      <c r="M466" t="s">
        <v>41</v>
      </c>
    </row>
    <row r="467" spans="1:13" x14ac:dyDescent="0.15">
      <c r="A467" t="s">
        <v>3040</v>
      </c>
      <c r="B467" t="s">
        <v>14</v>
      </c>
      <c r="C467" t="s">
        <v>118</v>
      </c>
      <c r="D467" t="s">
        <v>3041</v>
      </c>
      <c r="E467" t="s">
        <v>3042</v>
      </c>
      <c r="F467" t="s">
        <v>3043</v>
      </c>
      <c r="G467" t="s">
        <v>3044</v>
      </c>
      <c r="H467" t="s">
        <v>3044</v>
      </c>
      <c r="I467" t="s">
        <v>3045</v>
      </c>
      <c r="J467" t="s">
        <v>246</v>
      </c>
      <c r="K467" t="s">
        <v>811</v>
      </c>
      <c r="L467" t="s">
        <v>3045</v>
      </c>
      <c r="M467" t="s">
        <v>192</v>
      </c>
    </row>
    <row r="468" spans="1:13" x14ac:dyDescent="0.15">
      <c r="A468" t="s">
        <v>3046</v>
      </c>
      <c r="B468" t="s">
        <v>14</v>
      </c>
      <c r="C468" t="s">
        <v>118</v>
      </c>
      <c r="D468" t="s">
        <v>3047</v>
      </c>
      <c r="E468" t="s">
        <v>3048</v>
      </c>
      <c r="F468" t="s">
        <v>3049</v>
      </c>
      <c r="G468" t="s">
        <v>3050</v>
      </c>
      <c r="H468" t="s">
        <v>3050</v>
      </c>
      <c r="I468" t="s">
        <v>3051</v>
      </c>
      <c r="J468" t="s">
        <v>124</v>
      </c>
      <c r="K468" t="s">
        <v>2499</v>
      </c>
      <c r="L468" t="s">
        <v>3051</v>
      </c>
      <c r="M468" t="s">
        <v>3009</v>
      </c>
    </row>
    <row r="469" spans="1:13" x14ac:dyDescent="0.15">
      <c r="A469" t="s">
        <v>3052</v>
      </c>
      <c r="B469" t="s">
        <v>14</v>
      </c>
      <c r="C469" t="s">
        <v>118</v>
      </c>
      <c r="D469" t="s">
        <v>3053</v>
      </c>
      <c r="E469" t="s">
        <v>3054</v>
      </c>
      <c r="F469" t="s">
        <v>3055</v>
      </c>
      <c r="G469" t="s">
        <v>3056</v>
      </c>
      <c r="H469" t="s">
        <v>3056</v>
      </c>
      <c r="I469" t="s">
        <v>3057</v>
      </c>
      <c r="J469" t="s">
        <v>124</v>
      </c>
      <c r="K469" t="s">
        <v>2598</v>
      </c>
      <c r="L469" t="s">
        <v>3057</v>
      </c>
      <c r="M469" t="s">
        <v>3009</v>
      </c>
    </row>
    <row r="470" spans="1:13" x14ac:dyDescent="0.15">
      <c r="A470" t="s">
        <v>3058</v>
      </c>
      <c r="B470" t="s">
        <v>14</v>
      </c>
      <c r="C470" t="s">
        <v>118</v>
      </c>
      <c r="D470" t="s">
        <v>3059</v>
      </c>
      <c r="E470" t="s">
        <v>3060</v>
      </c>
      <c r="F470" t="s">
        <v>3061</v>
      </c>
      <c r="G470" t="s">
        <v>3062</v>
      </c>
      <c r="H470" t="s">
        <v>3062</v>
      </c>
      <c r="I470" t="s">
        <v>3063</v>
      </c>
      <c r="J470" t="s">
        <v>124</v>
      </c>
      <c r="K470" t="s">
        <v>452</v>
      </c>
      <c r="L470" t="s">
        <v>3063</v>
      </c>
      <c r="M470" t="s">
        <v>31</v>
      </c>
    </row>
    <row r="471" spans="1:13" x14ac:dyDescent="0.15">
      <c r="A471" t="s">
        <v>3064</v>
      </c>
      <c r="B471" t="s">
        <v>14</v>
      </c>
      <c r="C471" t="s">
        <v>118</v>
      </c>
      <c r="D471" t="s">
        <v>3065</v>
      </c>
      <c r="E471" t="s">
        <v>3066</v>
      </c>
      <c r="F471" t="s">
        <v>3067</v>
      </c>
      <c r="G471" t="s">
        <v>3068</v>
      </c>
      <c r="H471" t="s">
        <v>3068</v>
      </c>
      <c r="I471" t="s">
        <v>3069</v>
      </c>
      <c r="J471" t="s">
        <v>124</v>
      </c>
      <c r="K471" t="s">
        <v>30</v>
      </c>
      <c r="L471" t="s">
        <v>3069</v>
      </c>
      <c r="M471" t="s">
        <v>31</v>
      </c>
    </row>
    <row r="472" spans="1:13" x14ac:dyDescent="0.15">
      <c r="A472" t="s">
        <v>3070</v>
      </c>
      <c r="B472" t="s">
        <v>14</v>
      </c>
      <c r="C472" t="s">
        <v>23</v>
      </c>
      <c r="D472" t="s">
        <v>3071</v>
      </c>
      <c r="E472" t="s">
        <v>3072</v>
      </c>
      <c r="F472" t="s">
        <v>3073</v>
      </c>
      <c r="G472" t="s">
        <v>3074</v>
      </c>
      <c r="H472" t="s">
        <v>3074</v>
      </c>
      <c r="I472" t="s">
        <v>1200</v>
      </c>
      <c r="J472" t="s">
        <v>38</v>
      </c>
      <c r="K472" t="s">
        <v>64</v>
      </c>
      <c r="L472" t="s">
        <v>3074</v>
      </c>
      <c r="M472" t="s">
        <v>41</v>
      </c>
    </row>
    <row r="473" spans="1:13" x14ac:dyDescent="0.15">
      <c r="A473" t="s">
        <v>3075</v>
      </c>
      <c r="B473" t="s">
        <v>14</v>
      </c>
      <c r="C473" t="s">
        <v>118</v>
      </c>
      <c r="D473" t="s">
        <v>3076</v>
      </c>
      <c r="E473" t="s">
        <v>3077</v>
      </c>
      <c r="F473" t="s">
        <v>3078</v>
      </c>
      <c r="G473" t="s">
        <v>3079</v>
      </c>
      <c r="H473" t="s">
        <v>3079</v>
      </c>
      <c r="I473" t="s">
        <v>3080</v>
      </c>
      <c r="J473" t="s">
        <v>415</v>
      </c>
      <c r="K473" t="s">
        <v>540</v>
      </c>
      <c r="L473" t="s">
        <v>3080</v>
      </c>
      <c r="M473" t="s">
        <v>432</v>
      </c>
    </row>
    <row r="474" spans="1:13" x14ac:dyDescent="0.15">
      <c r="A474" t="s">
        <v>3081</v>
      </c>
      <c r="B474" t="s">
        <v>14</v>
      </c>
      <c r="C474" t="s">
        <v>118</v>
      </c>
      <c r="D474" t="s">
        <v>3082</v>
      </c>
      <c r="E474" t="s">
        <v>3083</v>
      </c>
      <c r="F474" t="s">
        <v>3084</v>
      </c>
      <c r="G474" t="s">
        <v>3085</v>
      </c>
      <c r="H474" t="s">
        <v>3085</v>
      </c>
      <c r="I474" t="s">
        <v>3086</v>
      </c>
      <c r="J474" t="s">
        <v>415</v>
      </c>
      <c r="K474" t="s">
        <v>839</v>
      </c>
      <c r="L474" t="s">
        <v>3086</v>
      </c>
      <c r="M474" t="s">
        <v>165</v>
      </c>
    </row>
    <row r="475" spans="1:13" x14ac:dyDescent="0.15">
      <c r="A475" t="s">
        <v>3087</v>
      </c>
      <c r="B475" t="s">
        <v>14</v>
      </c>
      <c r="C475" t="s">
        <v>23</v>
      </c>
      <c r="D475" t="s">
        <v>3088</v>
      </c>
      <c r="E475" t="s">
        <v>3089</v>
      </c>
      <c r="F475" t="s">
        <v>3090</v>
      </c>
      <c r="G475" t="s">
        <v>3091</v>
      </c>
      <c r="H475" t="s">
        <v>3091</v>
      </c>
      <c r="I475" t="s">
        <v>3092</v>
      </c>
      <c r="J475" t="s">
        <v>38</v>
      </c>
      <c r="K475" t="s">
        <v>87</v>
      </c>
      <c r="L475" t="s">
        <v>3093</v>
      </c>
      <c r="M475" t="s">
        <v>104</v>
      </c>
    </row>
    <row r="476" spans="1:13" x14ac:dyDescent="0.15">
      <c r="A476" t="s">
        <v>3094</v>
      </c>
      <c r="B476" t="s">
        <v>14</v>
      </c>
      <c r="C476" t="s">
        <v>23</v>
      </c>
      <c r="D476" t="s">
        <v>3095</v>
      </c>
      <c r="E476" t="s">
        <v>3096</v>
      </c>
      <c r="F476" t="s">
        <v>3097</v>
      </c>
      <c r="G476" t="s">
        <v>3098</v>
      </c>
      <c r="H476" t="s">
        <v>3098</v>
      </c>
      <c r="I476" t="s">
        <v>3099</v>
      </c>
      <c r="J476" t="s">
        <v>473</v>
      </c>
      <c r="K476" t="s">
        <v>2267</v>
      </c>
      <c r="L476" t="s">
        <v>1472</v>
      </c>
      <c r="M476" t="s">
        <v>80</v>
      </c>
    </row>
    <row r="477" spans="1:13" x14ac:dyDescent="0.15">
      <c r="A477" t="s">
        <v>3100</v>
      </c>
      <c r="B477" t="s">
        <v>14</v>
      </c>
      <c r="C477" t="s">
        <v>23</v>
      </c>
      <c r="D477" t="s">
        <v>3101</v>
      </c>
      <c r="E477" t="s">
        <v>3102</v>
      </c>
      <c r="F477" t="s">
        <v>3103</v>
      </c>
      <c r="G477" t="s">
        <v>3104</v>
      </c>
      <c r="H477" t="s">
        <v>3104</v>
      </c>
      <c r="I477" t="s">
        <v>3105</v>
      </c>
      <c r="J477" t="s">
        <v>297</v>
      </c>
      <c r="K477" t="s">
        <v>1262</v>
      </c>
      <c r="L477" t="s">
        <v>3105</v>
      </c>
      <c r="M477" t="s">
        <v>216</v>
      </c>
    </row>
    <row r="478" spans="1:13" x14ac:dyDescent="0.15">
      <c r="A478" t="s">
        <v>3106</v>
      </c>
      <c r="B478" t="s">
        <v>14</v>
      </c>
      <c r="C478" t="s">
        <v>23</v>
      </c>
      <c r="D478" t="s">
        <v>3107</v>
      </c>
      <c r="E478" t="s">
        <v>3108</v>
      </c>
      <c r="F478" t="s">
        <v>3109</v>
      </c>
      <c r="G478" t="s">
        <v>3110</v>
      </c>
      <c r="H478" t="s">
        <v>3110</v>
      </c>
      <c r="I478" t="s">
        <v>3111</v>
      </c>
      <c r="J478" t="s">
        <v>1423</v>
      </c>
      <c r="K478" t="s">
        <v>271</v>
      </c>
      <c r="L478" t="s">
        <v>3111</v>
      </c>
      <c r="M478" t="s">
        <v>41</v>
      </c>
    </row>
    <row r="479" spans="1:13" x14ac:dyDescent="0.15">
      <c r="A479" t="s">
        <v>3112</v>
      </c>
      <c r="B479" t="s">
        <v>14</v>
      </c>
      <c r="C479" t="s">
        <v>118</v>
      </c>
      <c r="D479" t="s">
        <v>3113</v>
      </c>
      <c r="E479" t="s">
        <v>3114</v>
      </c>
      <c r="F479" t="s">
        <v>3115</v>
      </c>
      <c r="H479" t="s">
        <v>3116</v>
      </c>
      <c r="I479" t="s">
        <v>3117</v>
      </c>
      <c r="J479" t="s">
        <v>3118</v>
      </c>
      <c r="K479" t="s">
        <v>215</v>
      </c>
      <c r="L479" t="s">
        <v>1255</v>
      </c>
      <c r="M479" t="s">
        <v>139</v>
      </c>
    </row>
    <row r="480" spans="1:13" x14ac:dyDescent="0.15">
      <c r="A480" t="s">
        <v>3119</v>
      </c>
      <c r="B480" t="s">
        <v>14</v>
      </c>
      <c r="C480" t="s">
        <v>23</v>
      </c>
      <c r="D480" t="s">
        <v>3120</v>
      </c>
      <c r="E480" t="s">
        <v>3121</v>
      </c>
      <c r="F480" t="s">
        <v>3122</v>
      </c>
      <c r="G480" t="s">
        <v>3123</v>
      </c>
      <c r="H480" t="s">
        <v>3123</v>
      </c>
      <c r="I480" t="s">
        <v>3124</v>
      </c>
      <c r="J480" t="s">
        <v>415</v>
      </c>
      <c r="K480" t="s">
        <v>1541</v>
      </c>
      <c r="L480" t="s">
        <v>3124</v>
      </c>
      <c r="M480" t="s">
        <v>104</v>
      </c>
    </row>
    <row r="481" spans="1:13" x14ac:dyDescent="0.15">
      <c r="A481" t="s">
        <v>3125</v>
      </c>
      <c r="B481" t="s">
        <v>14</v>
      </c>
      <c r="C481" t="s">
        <v>15</v>
      </c>
      <c r="D481" t="s">
        <v>3126</v>
      </c>
      <c r="E481" t="s">
        <v>3127</v>
      </c>
      <c r="F481" t="s">
        <v>3128</v>
      </c>
      <c r="G481" t="s">
        <v>3129</v>
      </c>
      <c r="H481" t="s">
        <v>145</v>
      </c>
      <c r="J481" t="s">
        <v>3130</v>
      </c>
      <c r="M481" t="s">
        <v>21</v>
      </c>
    </row>
    <row r="482" spans="1:13" x14ac:dyDescent="0.15">
      <c r="A482" t="s">
        <v>3131</v>
      </c>
      <c r="B482" t="s">
        <v>14</v>
      </c>
      <c r="C482" t="s">
        <v>118</v>
      </c>
      <c r="D482" t="s">
        <v>3132</v>
      </c>
      <c r="E482" t="s">
        <v>3133</v>
      </c>
      <c r="F482" t="s">
        <v>3134</v>
      </c>
      <c r="G482" t="s">
        <v>3135</v>
      </c>
      <c r="H482" t="s">
        <v>3135</v>
      </c>
      <c r="I482" t="s">
        <v>3136</v>
      </c>
      <c r="J482" t="s">
        <v>230</v>
      </c>
      <c r="K482" t="s">
        <v>772</v>
      </c>
      <c r="L482" t="s">
        <v>3136</v>
      </c>
      <c r="M482" t="s">
        <v>432</v>
      </c>
    </row>
    <row r="483" spans="1:13" x14ac:dyDescent="0.15">
      <c r="A483" t="s">
        <v>3137</v>
      </c>
      <c r="B483" t="s">
        <v>14</v>
      </c>
      <c r="C483" t="s">
        <v>23</v>
      </c>
      <c r="D483" t="s">
        <v>3138</v>
      </c>
      <c r="E483" t="s">
        <v>3139</v>
      </c>
      <c r="F483" t="s">
        <v>3140</v>
      </c>
      <c r="G483" t="s">
        <v>3141</v>
      </c>
      <c r="H483" t="s">
        <v>3141</v>
      </c>
      <c r="I483" t="s">
        <v>3142</v>
      </c>
      <c r="J483" t="s">
        <v>214</v>
      </c>
      <c r="K483" t="s">
        <v>1078</v>
      </c>
      <c r="L483" t="s">
        <v>3142</v>
      </c>
      <c r="M483" t="s">
        <v>31</v>
      </c>
    </row>
    <row r="484" spans="1:13" x14ac:dyDescent="0.15">
      <c r="A484" t="s">
        <v>3143</v>
      </c>
      <c r="B484" t="s">
        <v>14</v>
      </c>
      <c r="C484" t="s">
        <v>23</v>
      </c>
      <c r="D484" t="s">
        <v>3144</v>
      </c>
      <c r="E484" t="s">
        <v>3145</v>
      </c>
      <c r="F484" t="s">
        <v>3146</v>
      </c>
      <c r="G484" t="s">
        <v>3147</v>
      </c>
      <c r="H484" t="s">
        <v>3147</v>
      </c>
      <c r="I484" t="s">
        <v>3148</v>
      </c>
      <c r="J484" t="s">
        <v>214</v>
      </c>
      <c r="K484" t="s">
        <v>574</v>
      </c>
      <c r="L484" t="s">
        <v>3148</v>
      </c>
      <c r="M484" t="s">
        <v>31</v>
      </c>
    </row>
    <row r="485" spans="1:13" x14ac:dyDescent="0.15">
      <c r="A485" t="s">
        <v>3149</v>
      </c>
      <c r="B485" t="s">
        <v>14</v>
      </c>
      <c r="C485" t="s">
        <v>23</v>
      </c>
      <c r="D485" t="s">
        <v>3150</v>
      </c>
      <c r="E485" t="s">
        <v>3151</v>
      </c>
      <c r="F485" t="s">
        <v>3152</v>
      </c>
      <c r="G485" t="s">
        <v>3153</v>
      </c>
      <c r="H485" t="s">
        <v>3153</v>
      </c>
      <c r="I485" t="s">
        <v>3154</v>
      </c>
      <c r="J485" t="s">
        <v>124</v>
      </c>
      <c r="K485" t="s">
        <v>1882</v>
      </c>
      <c r="L485" t="s">
        <v>3155</v>
      </c>
      <c r="M485" t="s">
        <v>80</v>
      </c>
    </row>
    <row r="486" spans="1:13" x14ac:dyDescent="0.15">
      <c r="A486" t="s">
        <v>3156</v>
      </c>
      <c r="B486" t="s">
        <v>14</v>
      </c>
      <c r="C486" t="s">
        <v>118</v>
      </c>
      <c r="D486" t="s">
        <v>3157</v>
      </c>
      <c r="E486" t="s">
        <v>3158</v>
      </c>
      <c r="F486" t="s">
        <v>3159</v>
      </c>
      <c r="G486" t="s">
        <v>3160</v>
      </c>
      <c r="H486" t="s">
        <v>3160</v>
      </c>
      <c r="I486" t="s">
        <v>3161</v>
      </c>
      <c r="J486" t="s">
        <v>255</v>
      </c>
      <c r="K486" t="s">
        <v>173</v>
      </c>
      <c r="L486" t="s">
        <v>3161</v>
      </c>
      <c r="M486" t="s">
        <v>183</v>
      </c>
    </row>
    <row r="487" spans="1:13" x14ac:dyDescent="0.15">
      <c r="A487" t="s">
        <v>3162</v>
      </c>
      <c r="B487" t="s">
        <v>14</v>
      </c>
      <c r="C487" t="s">
        <v>23</v>
      </c>
      <c r="D487" t="s">
        <v>3163</v>
      </c>
      <c r="E487" t="s">
        <v>3164</v>
      </c>
      <c r="F487" t="s">
        <v>3165</v>
      </c>
      <c r="H487" t="s">
        <v>3166</v>
      </c>
      <c r="I487" t="s">
        <v>3167</v>
      </c>
      <c r="J487" t="s">
        <v>132</v>
      </c>
      <c r="K487" t="s">
        <v>239</v>
      </c>
      <c r="L487" t="s">
        <v>3168</v>
      </c>
      <c r="M487" t="s">
        <v>104</v>
      </c>
    </row>
    <row r="488" spans="1:13" x14ac:dyDescent="0.15">
      <c r="A488" t="s">
        <v>3169</v>
      </c>
      <c r="B488" t="s">
        <v>14</v>
      </c>
      <c r="C488" t="s">
        <v>118</v>
      </c>
      <c r="D488" t="s">
        <v>3170</v>
      </c>
      <c r="E488" t="s">
        <v>3171</v>
      </c>
      <c r="F488" t="s">
        <v>3172</v>
      </c>
      <c r="G488" t="s">
        <v>3173</v>
      </c>
      <c r="H488" t="s">
        <v>3173</v>
      </c>
      <c r="I488" t="s">
        <v>3174</v>
      </c>
      <c r="J488" t="s">
        <v>255</v>
      </c>
      <c r="K488" t="s">
        <v>839</v>
      </c>
      <c r="L488" t="s">
        <v>3174</v>
      </c>
      <c r="M488" t="s">
        <v>192</v>
      </c>
    </row>
    <row r="489" spans="1:13" x14ac:dyDescent="0.15">
      <c r="A489" t="s">
        <v>3175</v>
      </c>
      <c r="B489" t="s">
        <v>14</v>
      </c>
      <c r="C489" t="s">
        <v>23</v>
      </c>
      <c r="D489" t="s">
        <v>3176</v>
      </c>
      <c r="E489" t="s">
        <v>3177</v>
      </c>
      <c r="F489" t="s">
        <v>3178</v>
      </c>
      <c r="G489" t="s">
        <v>3179</v>
      </c>
      <c r="H489" t="s">
        <v>3179</v>
      </c>
      <c r="I489" t="s">
        <v>3180</v>
      </c>
      <c r="J489" t="s">
        <v>95</v>
      </c>
      <c r="K489" t="s">
        <v>72</v>
      </c>
      <c r="L489" t="s">
        <v>3168</v>
      </c>
      <c r="M489" t="s">
        <v>104</v>
      </c>
    </row>
    <row r="490" spans="1:13" x14ac:dyDescent="0.15">
      <c r="A490" t="s">
        <v>3181</v>
      </c>
      <c r="B490" t="s">
        <v>14</v>
      </c>
      <c r="C490" t="s">
        <v>118</v>
      </c>
      <c r="D490" t="s">
        <v>3182</v>
      </c>
      <c r="E490" t="s">
        <v>3183</v>
      </c>
      <c r="F490" t="s">
        <v>3184</v>
      </c>
      <c r="G490" t="s">
        <v>3185</v>
      </c>
      <c r="H490" t="s">
        <v>3185</v>
      </c>
      <c r="I490" t="s">
        <v>1484</v>
      </c>
      <c r="J490" t="s">
        <v>514</v>
      </c>
      <c r="K490" t="s">
        <v>772</v>
      </c>
      <c r="L490" t="s">
        <v>1484</v>
      </c>
      <c r="M490" t="s">
        <v>3186</v>
      </c>
    </row>
    <row r="491" spans="1:13" x14ac:dyDescent="0.15">
      <c r="A491" t="s">
        <v>3187</v>
      </c>
      <c r="B491" t="s">
        <v>14</v>
      </c>
      <c r="C491" t="s">
        <v>118</v>
      </c>
      <c r="D491" t="s">
        <v>3188</v>
      </c>
      <c r="E491" t="s">
        <v>3189</v>
      </c>
      <c r="F491" t="s">
        <v>3190</v>
      </c>
      <c r="G491" t="s">
        <v>3191</v>
      </c>
      <c r="H491" t="s">
        <v>3191</v>
      </c>
      <c r="I491" t="s">
        <v>3192</v>
      </c>
      <c r="J491" t="s">
        <v>514</v>
      </c>
      <c r="K491" t="s">
        <v>839</v>
      </c>
      <c r="L491" t="s">
        <v>3192</v>
      </c>
      <c r="M491" t="s">
        <v>1118</v>
      </c>
    </row>
    <row r="492" spans="1:13" x14ac:dyDescent="0.15">
      <c r="A492" t="s">
        <v>3193</v>
      </c>
      <c r="B492" t="s">
        <v>14</v>
      </c>
      <c r="C492" t="s">
        <v>118</v>
      </c>
      <c r="D492" t="s">
        <v>3194</v>
      </c>
      <c r="E492" t="s">
        <v>3195</v>
      </c>
      <c r="F492" t="s">
        <v>3196</v>
      </c>
      <c r="G492" t="s">
        <v>3197</v>
      </c>
      <c r="H492" t="s">
        <v>3197</v>
      </c>
      <c r="I492" t="s">
        <v>3198</v>
      </c>
      <c r="J492" t="s">
        <v>206</v>
      </c>
      <c r="K492" t="s">
        <v>1541</v>
      </c>
      <c r="L492" t="s">
        <v>3198</v>
      </c>
      <c r="M492" t="s">
        <v>192</v>
      </c>
    </row>
    <row r="493" spans="1:13" x14ac:dyDescent="0.15">
      <c r="A493" t="s">
        <v>3199</v>
      </c>
      <c r="B493" t="s">
        <v>14</v>
      </c>
      <c r="C493" t="s">
        <v>118</v>
      </c>
      <c r="D493" t="s">
        <v>3200</v>
      </c>
      <c r="E493" t="s">
        <v>3201</v>
      </c>
      <c r="F493" t="s">
        <v>3202</v>
      </c>
      <c r="G493" t="s">
        <v>3203</v>
      </c>
      <c r="H493" t="s">
        <v>3203</v>
      </c>
      <c r="I493" t="s">
        <v>3204</v>
      </c>
      <c r="J493" t="s">
        <v>20</v>
      </c>
      <c r="K493" t="s">
        <v>3205</v>
      </c>
      <c r="L493" t="s">
        <v>3204</v>
      </c>
      <c r="M493" t="s">
        <v>2486</v>
      </c>
    </row>
    <row r="494" spans="1:13" x14ac:dyDescent="0.15">
      <c r="A494" t="s">
        <v>3206</v>
      </c>
      <c r="B494" t="s">
        <v>14</v>
      </c>
      <c r="C494" t="s">
        <v>118</v>
      </c>
      <c r="D494" t="s">
        <v>3207</v>
      </c>
      <c r="E494" t="s">
        <v>3208</v>
      </c>
      <c r="F494" t="s">
        <v>3209</v>
      </c>
      <c r="G494" t="s">
        <v>3210</v>
      </c>
      <c r="H494" t="s">
        <v>3210</v>
      </c>
      <c r="I494" t="s">
        <v>3211</v>
      </c>
      <c r="J494" t="s">
        <v>206</v>
      </c>
      <c r="K494" t="s">
        <v>1485</v>
      </c>
      <c r="L494" t="s">
        <v>3211</v>
      </c>
      <c r="M494" t="s">
        <v>2847</v>
      </c>
    </row>
    <row r="495" spans="1:13" x14ac:dyDescent="0.15">
      <c r="A495" t="s">
        <v>3212</v>
      </c>
      <c r="B495" t="s">
        <v>14</v>
      </c>
      <c r="C495" t="s">
        <v>118</v>
      </c>
      <c r="D495" t="s">
        <v>3213</v>
      </c>
      <c r="E495" t="s">
        <v>3214</v>
      </c>
      <c r="F495" t="s">
        <v>3215</v>
      </c>
      <c r="G495" t="s">
        <v>3216</v>
      </c>
      <c r="H495" t="s">
        <v>3216</v>
      </c>
      <c r="I495" t="s">
        <v>3217</v>
      </c>
      <c r="J495" t="s">
        <v>514</v>
      </c>
      <c r="K495" t="s">
        <v>3218</v>
      </c>
      <c r="L495" t="s">
        <v>3217</v>
      </c>
      <c r="M495" t="s">
        <v>1118</v>
      </c>
    </row>
    <row r="496" spans="1:13" x14ac:dyDescent="0.15">
      <c r="A496" t="s">
        <v>3219</v>
      </c>
      <c r="B496" t="s">
        <v>14</v>
      </c>
      <c r="C496" t="s">
        <v>118</v>
      </c>
      <c r="D496" t="s">
        <v>3220</v>
      </c>
      <c r="E496" t="s">
        <v>3221</v>
      </c>
      <c r="F496" t="s">
        <v>3222</v>
      </c>
      <c r="G496" t="s">
        <v>3223</v>
      </c>
      <c r="H496" t="s">
        <v>3223</v>
      </c>
      <c r="I496" t="s">
        <v>3224</v>
      </c>
      <c r="J496" t="s">
        <v>20</v>
      </c>
      <c r="K496" t="s">
        <v>2598</v>
      </c>
      <c r="L496" t="s">
        <v>3224</v>
      </c>
      <c r="M496" t="s">
        <v>3225</v>
      </c>
    </row>
    <row r="497" spans="1:13" x14ac:dyDescent="0.15">
      <c r="A497" t="s">
        <v>3226</v>
      </c>
      <c r="B497" t="s">
        <v>14</v>
      </c>
      <c r="C497" t="s">
        <v>118</v>
      </c>
      <c r="D497" t="s">
        <v>3227</v>
      </c>
      <c r="E497" t="s">
        <v>3228</v>
      </c>
      <c r="F497" t="s">
        <v>3229</v>
      </c>
      <c r="G497" t="s">
        <v>3230</v>
      </c>
      <c r="H497" t="s">
        <v>3230</v>
      </c>
      <c r="I497" t="s">
        <v>3231</v>
      </c>
      <c r="J497" t="s">
        <v>138</v>
      </c>
      <c r="K497" t="s">
        <v>1979</v>
      </c>
      <c r="L497" t="s">
        <v>3231</v>
      </c>
      <c r="M497" t="s">
        <v>1132</v>
      </c>
    </row>
    <row r="498" spans="1:13" x14ac:dyDescent="0.15">
      <c r="A498" t="s">
        <v>3232</v>
      </c>
      <c r="B498" t="s">
        <v>14</v>
      </c>
      <c r="C498" t="s">
        <v>118</v>
      </c>
      <c r="D498" t="s">
        <v>3233</v>
      </c>
      <c r="E498" t="s">
        <v>3234</v>
      </c>
      <c r="F498" t="s">
        <v>3235</v>
      </c>
      <c r="G498" t="s">
        <v>3236</v>
      </c>
      <c r="H498" t="s">
        <v>3236</v>
      </c>
      <c r="I498" t="s">
        <v>3237</v>
      </c>
      <c r="J498" t="s">
        <v>138</v>
      </c>
      <c r="K498" t="s">
        <v>312</v>
      </c>
      <c r="L498" t="s">
        <v>3237</v>
      </c>
      <c r="M498" t="s">
        <v>3238</v>
      </c>
    </row>
    <row r="499" spans="1:13" x14ac:dyDescent="0.15">
      <c r="A499" t="s">
        <v>3239</v>
      </c>
      <c r="B499" t="s">
        <v>14</v>
      </c>
      <c r="C499" t="s">
        <v>118</v>
      </c>
      <c r="D499" t="s">
        <v>3240</v>
      </c>
      <c r="E499" t="s">
        <v>3241</v>
      </c>
      <c r="F499" t="s">
        <v>3242</v>
      </c>
      <c r="G499" t="s">
        <v>3243</v>
      </c>
      <c r="H499" t="s">
        <v>3243</v>
      </c>
      <c r="I499" t="s">
        <v>3244</v>
      </c>
      <c r="J499" t="s">
        <v>138</v>
      </c>
      <c r="K499" t="s">
        <v>1030</v>
      </c>
      <c r="L499" t="s">
        <v>3244</v>
      </c>
      <c r="M499" t="s">
        <v>3238</v>
      </c>
    </row>
    <row r="500" spans="1:13" x14ac:dyDescent="0.15">
      <c r="A500" t="s">
        <v>3245</v>
      </c>
      <c r="B500" t="s">
        <v>14</v>
      </c>
      <c r="C500" t="s">
        <v>23</v>
      </c>
      <c r="D500" t="s">
        <v>3246</v>
      </c>
      <c r="E500" t="s">
        <v>3247</v>
      </c>
      <c r="F500" t="s">
        <v>3248</v>
      </c>
      <c r="G500" t="s">
        <v>3249</v>
      </c>
      <c r="H500" t="s">
        <v>3249</v>
      </c>
      <c r="I500" t="s">
        <v>3250</v>
      </c>
      <c r="J500" t="s">
        <v>626</v>
      </c>
      <c r="K500" t="s">
        <v>3251</v>
      </c>
      <c r="L500" t="s">
        <v>3250</v>
      </c>
      <c r="M500" t="s">
        <v>41</v>
      </c>
    </row>
    <row r="501" spans="1:13" x14ac:dyDescent="0.15">
      <c r="A501" t="s">
        <v>3252</v>
      </c>
      <c r="B501" t="s">
        <v>14</v>
      </c>
      <c r="C501" t="s">
        <v>23</v>
      </c>
      <c r="D501" t="s">
        <v>3253</v>
      </c>
      <c r="E501" t="s">
        <v>3254</v>
      </c>
      <c r="F501" t="s">
        <v>3255</v>
      </c>
      <c r="G501" t="s">
        <v>3256</v>
      </c>
      <c r="H501" t="s">
        <v>3256</v>
      </c>
      <c r="I501" t="s">
        <v>3257</v>
      </c>
      <c r="J501" t="s">
        <v>473</v>
      </c>
      <c r="K501" t="s">
        <v>3258</v>
      </c>
      <c r="L501" t="s">
        <v>3259</v>
      </c>
      <c r="M501" t="s">
        <v>80</v>
      </c>
    </row>
    <row r="502" spans="1:13" x14ac:dyDescent="0.15">
      <c r="A502" t="s">
        <v>3260</v>
      </c>
      <c r="B502" t="s">
        <v>14</v>
      </c>
      <c r="C502" t="s">
        <v>118</v>
      </c>
      <c r="D502" t="s">
        <v>3261</v>
      </c>
      <c r="E502" t="s">
        <v>3262</v>
      </c>
      <c r="F502" t="s">
        <v>3263</v>
      </c>
      <c r="G502" t="s">
        <v>3264</v>
      </c>
      <c r="H502" t="s">
        <v>3264</v>
      </c>
      <c r="I502" t="s">
        <v>3265</v>
      </c>
      <c r="J502" t="s">
        <v>138</v>
      </c>
      <c r="K502" t="s">
        <v>452</v>
      </c>
      <c r="L502" t="s">
        <v>3265</v>
      </c>
      <c r="M502" t="s">
        <v>594</v>
      </c>
    </row>
    <row r="503" spans="1:13" x14ac:dyDescent="0.15">
      <c r="A503" t="s">
        <v>3266</v>
      </c>
      <c r="B503" t="s">
        <v>14</v>
      </c>
      <c r="C503" t="s">
        <v>118</v>
      </c>
      <c r="D503" t="s">
        <v>3267</v>
      </c>
      <c r="E503" t="s">
        <v>3268</v>
      </c>
      <c r="F503" t="s">
        <v>3269</v>
      </c>
      <c r="G503" t="s">
        <v>3270</v>
      </c>
      <c r="H503" t="s">
        <v>3270</v>
      </c>
      <c r="I503" t="s">
        <v>3271</v>
      </c>
      <c r="J503" t="s">
        <v>297</v>
      </c>
      <c r="K503" t="s">
        <v>819</v>
      </c>
      <c r="L503" t="s">
        <v>3271</v>
      </c>
      <c r="M503" t="s">
        <v>3009</v>
      </c>
    </row>
    <row r="504" spans="1:13" x14ac:dyDescent="0.15">
      <c r="A504" t="s">
        <v>3272</v>
      </c>
      <c r="B504" t="s">
        <v>14</v>
      </c>
      <c r="C504" t="s">
        <v>118</v>
      </c>
      <c r="D504" t="s">
        <v>3273</v>
      </c>
      <c r="E504" t="s">
        <v>3274</v>
      </c>
      <c r="F504" t="s">
        <v>3275</v>
      </c>
      <c r="G504" t="s">
        <v>3276</v>
      </c>
      <c r="H504" t="s">
        <v>3276</v>
      </c>
      <c r="I504" t="s">
        <v>3277</v>
      </c>
      <c r="J504" t="s">
        <v>297</v>
      </c>
      <c r="K504" t="s">
        <v>1718</v>
      </c>
      <c r="L504" t="s">
        <v>3277</v>
      </c>
      <c r="M504" t="s">
        <v>3278</v>
      </c>
    </row>
    <row r="505" spans="1:13" x14ac:dyDescent="0.15">
      <c r="A505" t="s">
        <v>3279</v>
      </c>
      <c r="B505" t="s">
        <v>14</v>
      </c>
      <c r="C505" t="s">
        <v>118</v>
      </c>
      <c r="D505" t="s">
        <v>2908</v>
      </c>
      <c r="E505" t="s">
        <v>3280</v>
      </c>
      <c r="F505" t="s">
        <v>3281</v>
      </c>
      <c r="G505" t="s">
        <v>3282</v>
      </c>
      <c r="H505" t="s">
        <v>3282</v>
      </c>
      <c r="I505" t="s">
        <v>3283</v>
      </c>
      <c r="J505" t="s">
        <v>297</v>
      </c>
      <c r="K505" t="s">
        <v>360</v>
      </c>
      <c r="L505" t="s">
        <v>3283</v>
      </c>
      <c r="M505" t="s">
        <v>2486</v>
      </c>
    </row>
    <row r="506" spans="1:13" x14ac:dyDescent="0.15">
      <c r="A506" t="s">
        <v>3284</v>
      </c>
      <c r="B506" t="s">
        <v>14</v>
      </c>
      <c r="C506" t="s">
        <v>118</v>
      </c>
      <c r="D506" t="s">
        <v>2915</v>
      </c>
      <c r="E506" t="s">
        <v>3285</v>
      </c>
      <c r="F506" t="s">
        <v>3286</v>
      </c>
      <c r="G506" t="s">
        <v>3287</v>
      </c>
      <c r="H506" t="s">
        <v>3287</v>
      </c>
      <c r="I506" t="s">
        <v>3288</v>
      </c>
      <c r="J506" t="s">
        <v>297</v>
      </c>
      <c r="K506" t="s">
        <v>1485</v>
      </c>
      <c r="L506" t="s">
        <v>3288</v>
      </c>
      <c r="M506" t="s">
        <v>3225</v>
      </c>
    </row>
    <row r="507" spans="1:13" x14ac:dyDescent="0.15">
      <c r="A507" t="s">
        <v>3289</v>
      </c>
      <c r="B507" t="s">
        <v>14</v>
      </c>
      <c r="C507" t="s">
        <v>118</v>
      </c>
      <c r="D507" t="s">
        <v>2933</v>
      </c>
      <c r="E507" t="s">
        <v>3290</v>
      </c>
      <c r="F507" t="s">
        <v>3291</v>
      </c>
      <c r="G507" t="s">
        <v>3292</v>
      </c>
      <c r="H507" t="s">
        <v>3292</v>
      </c>
      <c r="I507" t="s">
        <v>3293</v>
      </c>
      <c r="J507" t="s">
        <v>297</v>
      </c>
      <c r="K507" t="s">
        <v>1170</v>
      </c>
      <c r="L507" t="s">
        <v>3293</v>
      </c>
      <c r="M507" t="s">
        <v>2486</v>
      </c>
    </row>
    <row r="508" spans="1:13" x14ac:dyDescent="0.15">
      <c r="A508" t="s">
        <v>3294</v>
      </c>
      <c r="B508" t="s">
        <v>14</v>
      </c>
      <c r="C508" t="s">
        <v>118</v>
      </c>
      <c r="D508" t="s">
        <v>2952</v>
      </c>
      <c r="E508" t="s">
        <v>3295</v>
      </c>
      <c r="F508" t="s">
        <v>3296</v>
      </c>
      <c r="G508" t="s">
        <v>3297</v>
      </c>
      <c r="H508" t="s">
        <v>3297</v>
      </c>
      <c r="I508" t="s">
        <v>3298</v>
      </c>
      <c r="J508" t="s">
        <v>297</v>
      </c>
      <c r="K508" t="s">
        <v>506</v>
      </c>
      <c r="L508" t="s">
        <v>3298</v>
      </c>
      <c r="M508" t="s">
        <v>3225</v>
      </c>
    </row>
    <row r="509" spans="1:13" x14ac:dyDescent="0.15">
      <c r="A509" t="s">
        <v>3299</v>
      </c>
      <c r="B509" t="s">
        <v>14</v>
      </c>
      <c r="C509" t="s">
        <v>194</v>
      </c>
      <c r="D509" t="s">
        <v>3300</v>
      </c>
      <c r="E509" t="s">
        <v>3301</v>
      </c>
      <c r="F509" t="s">
        <v>3302</v>
      </c>
      <c r="H509" t="s">
        <v>3303</v>
      </c>
      <c r="J509" t="s">
        <v>2698</v>
      </c>
      <c r="M509" t="s">
        <v>139</v>
      </c>
    </row>
    <row r="510" spans="1:13" x14ac:dyDescent="0.15">
      <c r="A510" t="s">
        <v>3304</v>
      </c>
      <c r="B510" t="s">
        <v>14</v>
      </c>
      <c r="C510" t="s">
        <v>23</v>
      </c>
      <c r="D510" t="s">
        <v>3305</v>
      </c>
      <c r="E510" t="s">
        <v>3306</v>
      </c>
      <c r="F510" t="s">
        <v>3307</v>
      </c>
      <c r="G510" t="s">
        <v>2590</v>
      </c>
      <c r="H510" t="s">
        <v>2590</v>
      </c>
      <c r="I510" t="s">
        <v>3308</v>
      </c>
      <c r="J510" t="s">
        <v>1423</v>
      </c>
      <c r="K510" t="s">
        <v>1001</v>
      </c>
      <c r="L510" t="s">
        <v>62</v>
      </c>
      <c r="M510" t="s">
        <v>41</v>
      </c>
    </row>
    <row r="511" spans="1:13" x14ac:dyDescent="0.15">
      <c r="A511" t="s">
        <v>3309</v>
      </c>
      <c r="B511" t="s">
        <v>14</v>
      </c>
      <c r="C511" t="s">
        <v>118</v>
      </c>
      <c r="D511" t="s">
        <v>3310</v>
      </c>
      <c r="E511" t="s">
        <v>3311</v>
      </c>
      <c r="F511" t="s">
        <v>3312</v>
      </c>
      <c r="G511" t="s">
        <v>3313</v>
      </c>
      <c r="H511" t="s">
        <v>3313</v>
      </c>
      <c r="I511" t="s">
        <v>3314</v>
      </c>
      <c r="J511" t="s">
        <v>214</v>
      </c>
      <c r="K511" t="s">
        <v>173</v>
      </c>
      <c r="L511" t="s">
        <v>3314</v>
      </c>
      <c r="M511" t="s">
        <v>279</v>
      </c>
    </row>
    <row r="512" spans="1:13" x14ac:dyDescent="0.15">
      <c r="A512" t="s">
        <v>3315</v>
      </c>
      <c r="B512" t="s">
        <v>14</v>
      </c>
      <c r="C512" t="s">
        <v>23</v>
      </c>
      <c r="D512" t="s">
        <v>3316</v>
      </c>
      <c r="E512" t="s">
        <v>3317</v>
      </c>
      <c r="F512" t="s">
        <v>3318</v>
      </c>
      <c r="G512" t="s">
        <v>3319</v>
      </c>
      <c r="H512" t="s">
        <v>3319</v>
      </c>
      <c r="I512" t="s">
        <v>3320</v>
      </c>
      <c r="J512" t="s">
        <v>246</v>
      </c>
      <c r="K512" t="s">
        <v>3321</v>
      </c>
      <c r="L512" t="s">
        <v>3322</v>
      </c>
      <c r="M512" t="s">
        <v>104</v>
      </c>
    </row>
    <row r="513" spans="1:13" x14ac:dyDescent="0.15">
      <c r="A513" t="s">
        <v>3323</v>
      </c>
      <c r="B513" t="s">
        <v>14</v>
      </c>
      <c r="C513" t="s">
        <v>118</v>
      </c>
      <c r="D513" t="s">
        <v>3324</v>
      </c>
      <c r="E513" t="s">
        <v>3325</v>
      </c>
      <c r="F513" t="s">
        <v>3326</v>
      </c>
      <c r="G513" t="s">
        <v>3327</v>
      </c>
      <c r="H513" t="s">
        <v>3327</v>
      </c>
      <c r="I513" t="s">
        <v>3328</v>
      </c>
      <c r="J513" t="s">
        <v>352</v>
      </c>
      <c r="K513" t="s">
        <v>332</v>
      </c>
      <c r="L513" t="s">
        <v>3328</v>
      </c>
      <c r="M513" t="s">
        <v>41</v>
      </c>
    </row>
    <row r="514" spans="1:13" x14ac:dyDescent="0.15">
      <c r="A514" t="s">
        <v>3329</v>
      </c>
      <c r="B514" t="s">
        <v>14</v>
      </c>
      <c r="C514" t="s">
        <v>118</v>
      </c>
      <c r="D514" t="s">
        <v>3330</v>
      </c>
      <c r="E514" t="s">
        <v>3331</v>
      </c>
      <c r="F514" t="s">
        <v>3332</v>
      </c>
      <c r="G514" t="s">
        <v>3333</v>
      </c>
      <c r="H514" t="s">
        <v>3333</v>
      </c>
      <c r="I514" t="s">
        <v>3334</v>
      </c>
      <c r="J514" t="s">
        <v>352</v>
      </c>
      <c r="K514" t="s">
        <v>1922</v>
      </c>
      <c r="L514" t="s">
        <v>3334</v>
      </c>
      <c r="M514" t="s">
        <v>80</v>
      </c>
    </row>
    <row r="515" spans="1:13" x14ac:dyDescent="0.15">
      <c r="A515" t="s">
        <v>3335</v>
      </c>
      <c r="B515" t="s">
        <v>14</v>
      </c>
      <c r="C515" t="s">
        <v>118</v>
      </c>
      <c r="D515" t="s">
        <v>3336</v>
      </c>
      <c r="E515" t="s">
        <v>3337</v>
      </c>
      <c r="F515" t="s">
        <v>3338</v>
      </c>
      <c r="G515" t="s">
        <v>3339</v>
      </c>
      <c r="H515" t="s">
        <v>3339</v>
      </c>
      <c r="I515" t="s">
        <v>3340</v>
      </c>
      <c r="J515" t="s">
        <v>1724</v>
      </c>
      <c r="K515" t="s">
        <v>2499</v>
      </c>
      <c r="L515" t="s">
        <v>3340</v>
      </c>
      <c r="M515" t="s">
        <v>216</v>
      </c>
    </row>
    <row r="516" spans="1:13" x14ac:dyDescent="0.15">
      <c r="A516" t="s">
        <v>3341</v>
      </c>
      <c r="B516" t="s">
        <v>14</v>
      </c>
      <c r="C516" t="s">
        <v>118</v>
      </c>
      <c r="D516" t="s">
        <v>3342</v>
      </c>
      <c r="E516" t="s">
        <v>3343</v>
      </c>
      <c r="F516" t="s">
        <v>3344</v>
      </c>
      <c r="G516" t="s">
        <v>3345</v>
      </c>
      <c r="H516" t="s">
        <v>3345</v>
      </c>
      <c r="I516" t="s">
        <v>3346</v>
      </c>
      <c r="J516" t="s">
        <v>181</v>
      </c>
      <c r="K516" t="s">
        <v>1384</v>
      </c>
      <c r="L516" t="s">
        <v>753</v>
      </c>
      <c r="M516" t="s">
        <v>183</v>
      </c>
    </row>
    <row r="517" spans="1:13" x14ac:dyDescent="0.15">
      <c r="A517" t="s">
        <v>3347</v>
      </c>
      <c r="B517" t="s">
        <v>14</v>
      </c>
      <c r="C517" t="s">
        <v>23</v>
      </c>
      <c r="D517" t="s">
        <v>3348</v>
      </c>
      <c r="E517" t="s">
        <v>3349</v>
      </c>
      <c r="F517" t="s">
        <v>3350</v>
      </c>
      <c r="G517" t="s">
        <v>3351</v>
      </c>
      <c r="H517" t="s">
        <v>3351</v>
      </c>
      <c r="I517" t="s">
        <v>3352</v>
      </c>
      <c r="J517" t="s">
        <v>206</v>
      </c>
      <c r="K517" t="s">
        <v>64</v>
      </c>
      <c r="L517" t="s">
        <v>3352</v>
      </c>
      <c r="M517" t="s">
        <v>41</v>
      </c>
    </row>
    <row r="518" spans="1:13" x14ac:dyDescent="0.15">
      <c r="A518" t="s">
        <v>3353</v>
      </c>
      <c r="B518" t="s">
        <v>14</v>
      </c>
      <c r="C518" t="s">
        <v>118</v>
      </c>
      <c r="D518" t="s">
        <v>3354</v>
      </c>
      <c r="E518" t="s">
        <v>3355</v>
      </c>
      <c r="F518" t="s">
        <v>3356</v>
      </c>
      <c r="G518" t="s">
        <v>3357</v>
      </c>
      <c r="H518" t="s">
        <v>3357</v>
      </c>
      <c r="I518" t="s">
        <v>2697</v>
      </c>
      <c r="J518" t="s">
        <v>514</v>
      </c>
      <c r="K518" t="s">
        <v>173</v>
      </c>
      <c r="L518" t="s">
        <v>2697</v>
      </c>
      <c r="M518" t="s">
        <v>272</v>
      </c>
    </row>
    <row r="519" spans="1:13" x14ac:dyDescent="0.15">
      <c r="A519" t="s">
        <v>3358</v>
      </c>
      <c r="B519" t="s">
        <v>14</v>
      </c>
      <c r="C519" t="s">
        <v>23</v>
      </c>
      <c r="D519" t="s">
        <v>3359</v>
      </c>
      <c r="E519" t="s">
        <v>3360</v>
      </c>
      <c r="F519" t="s">
        <v>3361</v>
      </c>
      <c r="G519" t="s">
        <v>1883</v>
      </c>
      <c r="H519" t="s">
        <v>1883</v>
      </c>
      <c r="I519" t="s">
        <v>3362</v>
      </c>
      <c r="J519" t="s">
        <v>344</v>
      </c>
      <c r="K519" t="s">
        <v>1743</v>
      </c>
      <c r="L519" t="s">
        <v>3363</v>
      </c>
      <c r="M519" t="s">
        <v>80</v>
      </c>
    </row>
    <row r="520" spans="1:13" x14ac:dyDescent="0.15">
      <c r="A520" t="s">
        <v>3364</v>
      </c>
      <c r="B520" t="s">
        <v>14</v>
      </c>
      <c r="C520" t="s">
        <v>118</v>
      </c>
      <c r="D520" t="s">
        <v>3365</v>
      </c>
      <c r="E520" t="s">
        <v>3366</v>
      </c>
      <c r="F520" t="s">
        <v>3367</v>
      </c>
      <c r="H520" t="s">
        <v>3368</v>
      </c>
      <c r="I520" t="s">
        <v>3369</v>
      </c>
      <c r="J520" t="s">
        <v>344</v>
      </c>
      <c r="K520" t="s">
        <v>2406</v>
      </c>
      <c r="L520" t="s">
        <v>3369</v>
      </c>
      <c r="M520" t="s">
        <v>31</v>
      </c>
    </row>
    <row r="521" spans="1:13" x14ac:dyDescent="0.15">
      <c r="A521" t="s">
        <v>3370</v>
      </c>
      <c r="B521" t="s">
        <v>14</v>
      </c>
      <c r="C521" t="s">
        <v>23</v>
      </c>
      <c r="D521" t="s">
        <v>3371</v>
      </c>
      <c r="E521" t="s">
        <v>3372</v>
      </c>
      <c r="F521" t="s">
        <v>3373</v>
      </c>
      <c r="G521" t="s">
        <v>3374</v>
      </c>
      <c r="H521" t="s">
        <v>3374</v>
      </c>
      <c r="I521" t="s">
        <v>3375</v>
      </c>
      <c r="J521" t="s">
        <v>29</v>
      </c>
      <c r="K521" t="s">
        <v>239</v>
      </c>
      <c r="L521" t="s">
        <v>3375</v>
      </c>
      <c r="M521" t="s">
        <v>41</v>
      </c>
    </row>
    <row r="522" spans="1:13" x14ac:dyDescent="0.15">
      <c r="A522" t="s">
        <v>3376</v>
      </c>
      <c r="B522" t="s">
        <v>14</v>
      </c>
      <c r="C522" t="s">
        <v>118</v>
      </c>
      <c r="D522" t="s">
        <v>3377</v>
      </c>
      <c r="E522" t="s">
        <v>3378</v>
      </c>
      <c r="F522" t="s">
        <v>3379</v>
      </c>
      <c r="G522" t="s">
        <v>3380</v>
      </c>
      <c r="H522" t="s">
        <v>3380</v>
      </c>
      <c r="I522" t="s">
        <v>3381</v>
      </c>
      <c r="J522" t="s">
        <v>29</v>
      </c>
      <c r="K522" t="s">
        <v>2406</v>
      </c>
      <c r="L522" t="s">
        <v>3381</v>
      </c>
      <c r="M522" t="s">
        <v>3382</v>
      </c>
    </row>
    <row r="523" spans="1:13" x14ac:dyDescent="0.15">
      <c r="A523" t="s">
        <v>3383</v>
      </c>
      <c r="B523" t="s">
        <v>14</v>
      </c>
      <c r="C523" t="s">
        <v>118</v>
      </c>
      <c r="D523" t="s">
        <v>3384</v>
      </c>
      <c r="E523" t="s">
        <v>3385</v>
      </c>
      <c r="F523" t="s">
        <v>3386</v>
      </c>
      <c r="G523" t="s">
        <v>3387</v>
      </c>
      <c r="H523" t="s">
        <v>3387</v>
      </c>
      <c r="I523" t="s">
        <v>3388</v>
      </c>
      <c r="J523" t="s">
        <v>29</v>
      </c>
      <c r="K523" t="s">
        <v>387</v>
      </c>
      <c r="L523" t="s">
        <v>3388</v>
      </c>
      <c r="M523" t="s">
        <v>3389</v>
      </c>
    </row>
    <row r="524" spans="1:13" x14ac:dyDescent="0.15">
      <c r="A524" t="s">
        <v>3390</v>
      </c>
      <c r="B524" t="s">
        <v>14</v>
      </c>
      <c r="C524" t="s">
        <v>118</v>
      </c>
      <c r="D524" t="s">
        <v>3391</v>
      </c>
      <c r="E524" t="s">
        <v>3392</v>
      </c>
      <c r="F524" t="s">
        <v>3393</v>
      </c>
      <c r="G524" t="s">
        <v>3394</v>
      </c>
      <c r="H524" t="s">
        <v>3394</v>
      </c>
      <c r="I524" t="s">
        <v>3395</v>
      </c>
      <c r="J524" t="s">
        <v>29</v>
      </c>
      <c r="K524" t="s">
        <v>173</v>
      </c>
      <c r="L524" t="s">
        <v>3395</v>
      </c>
      <c r="M524" t="s">
        <v>3396</v>
      </c>
    </row>
    <row r="525" spans="1:13" x14ac:dyDescent="0.15">
      <c r="A525" t="s">
        <v>3397</v>
      </c>
      <c r="B525" t="s">
        <v>14</v>
      </c>
      <c r="C525" t="s">
        <v>118</v>
      </c>
      <c r="D525" t="s">
        <v>3398</v>
      </c>
      <c r="E525" t="s">
        <v>3399</v>
      </c>
      <c r="F525" t="s">
        <v>3400</v>
      </c>
      <c r="G525" t="s">
        <v>3401</v>
      </c>
      <c r="H525" t="s">
        <v>3401</v>
      </c>
      <c r="I525" t="s">
        <v>3402</v>
      </c>
      <c r="J525" t="s">
        <v>29</v>
      </c>
      <c r="K525" t="s">
        <v>215</v>
      </c>
      <c r="L525" t="s">
        <v>3402</v>
      </c>
      <c r="M525" t="s">
        <v>126</v>
      </c>
    </row>
    <row r="526" spans="1:13" x14ac:dyDescent="0.15">
      <c r="A526" t="s">
        <v>3403</v>
      </c>
      <c r="B526" t="s">
        <v>14</v>
      </c>
      <c r="C526" t="s">
        <v>23</v>
      </c>
      <c r="D526" t="s">
        <v>3404</v>
      </c>
      <c r="E526" t="s">
        <v>3405</v>
      </c>
      <c r="F526" t="s">
        <v>3406</v>
      </c>
      <c r="G526" t="s">
        <v>1928</v>
      </c>
      <c r="H526" t="s">
        <v>1928</v>
      </c>
      <c r="I526" t="s">
        <v>3407</v>
      </c>
      <c r="J526" t="s">
        <v>138</v>
      </c>
      <c r="K526" t="s">
        <v>387</v>
      </c>
      <c r="L526" t="s">
        <v>3407</v>
      </c>
      <c r="M526" t="s">
        <v>104</v>
      </c>
    </row>
    <row r="527" spans="1:13" x14ac:dyDescent="0.15">
      <c r="A527" t="s">
        <v>3408</v>
      </c>
      <c r="B527" t="s">
        <v>14</v>
      </c>
      <c r="C527" t="s">
        <v>23</v>
      </c>
      <c r="D527" t="s">
        <v>3409</v>
      </c>
      <c r="E527" t="s">
        <v>3410</v>
      </c>
      <c r="F527" t="s">
        <v>3411</v>
      </c>
      <c r="G527" t="s">
        <v>3412</v>
      </c>
      <c r="H527" t="s">
        <v>3412</v>
      </c>
      <c r="I527" t="s">
        <v>3413</v>
      </c>
      <c r="J527" t="s">
        <v>400</v>
      </c>
      <c r="K527" t="s">
        <v>1541</v>
      </c>
      <c r="L527" t="s">
        <v>3414</v>
      </c>
      <c r="M527" t="s">
        <v>80</v>
      </c>
    </row>
    <row r="528" spans="1:13" x14ac:dyDescent="0.15">
      <c r="A528" t="s">
        <v>3415</v>
      </c>
      <c r="B528" t="s">
        <v>14</v>
      </c>
      <c r="C528" t="s">
        <v>23</v>
      </c>
      <c r="D528" t="s">
        <v>3416</v>
      </c>
      <c r="E528" t="s">
        <v>3417</v>
      </c>
      <c r="F528" t="s">
        <v>3418</v>
      </c>
      <c r="G528" t="s">
        <v>3419</v>
      </c>
      <c r="H528" t="s">
        <v>3419</v>
      </c>
      <c r="I528" t="s">
        <v>3420</v>
      </c>
      <c r="J528" t="s">
        <v>214</v>
      </c>
      <c r="K528" t="s">
        <v>819</v>
      </c>
      <c r="L528" t="s">
        <v>3420</v>
      </c>
      <c r="M528" t="s">
        <v>279</v>
      </c>
    </row>
    <row r="529" spans="1:13" x14ac:dyDescent="0.15">
      <c r="A529" t="s">
        <v>3421</v>
      </c>
      <c r="B529" t="s">
        <v>14</v>
      </c>
      <c r="C529" t="s">
        <v>23</v>
      </c>
      <c r="D529" t="s">
        <v>3422</v>
      </c>
      <c r="E529" t="s">
        <v>3423</v>
      </c>
      <c r="F529" t="s">
        <v>3424</v>
      </c>
      <c r="G529" t="s">
        <v>3425</v>
      </c>
      <c r="H529" t="s">
        <v>3425</v>
      </c>
      <c r="I529" t="s">
        <v>3426</v>
      </c>
      <c r="J529" t="s">
        <v>214</v>
      </c>
      <c r="K529" t="s">
        <v>263</v>
      </c>
      <c r="L529" t="s">
        <v>3426</v>
      </c>
      <c r="M529" t="s">
        <v>279</v>
      </c>
    </row>
    <row r="530" spans="1:13" x14ac:dyDescent="0.15">
      <c r="A530" t="s">
        <v>3427</v>
      </c>
      <c r="B530" t="s">
        <v>14</v>
      </c>
      <c r="C530" t="s">
        <v>23</v>
      </c>
      <c r="D530" t="s">
        <v>3428</v>
      </c>
      <c r="E530" t="s">
        <v>3429</v>
      </c>
      <c r="F530" t="s">
        <v>3430</v>
      </c>
      <c r="G530" t="s">
        <v>3431</v>
      </c>
      <c r="H530" t="s">
        <v>3431</v>
      </c>
      <c r="I530" t="s">
        <v>3432</v>
      </c>
      <c r="J530" t="s">
        <v>214</v>
      </c>
      <c r="K530" t="s">
        <v>1170</v>
      </c>
      <c r="L530" t="s">
        <v>3432</v>
      </c>
      <c r="M530" t="s">
        <v>279</v>
      </c>
    </row>
    <row r="531" spans="1:13" x14ac:dyDescent="0.15">
      <c r="A531" t="s">
        <v>3433</v>
      </c>
      <c r="B531" t="s">
        <v>14</v>
      </c>
      <c r="C531" t="s">
        <v>23</v>
      </c>
      <c r="D531" t="s">
        <v>3434</v>
      </c>
      <c r="E531" t="s">
        <v>3435</v>
      </c>
      <c r="F531" t="s">
        <v>3436</v>
      </c>
      <c r="G531" t="s">
        <v>3437</v>
      </c>
      <c r="H531" t="s">
        <v>3437</v>
      </c>
      <c r="I531" t="s">
        <v>3438</v>
      </c>
      <c r="J531" t="s">
        <v>214</v>
      </c>
      <c r="K531" t="s">
        <v>64</v>
      </c>
      <c r="L531" t="s">
        <v>3438</v>
      </c>
      <c r="M531" t="s">
        <v>279</v>
      </c>
    </row>
    <row r="532" spans="1:13" x14ac:dyDescent="0.15">
      <c r="A532" t="s">
        <v>3439</v>
      </c>
      <c r="B532" t="s">
        <v>14</v>
      </c>
      <c r="C532" t="s">
        <v>23</v>
      </c>
      <c r="D532" t="s">
        <v>3440</v>
      </c>
      <c r="E532" t="s">
        <v>3441</v>
      </c>
      <c r="F532" t="s">
        <v>3442</v>
      </c>
      <c r="G532" t="s">
        <v>3443</v>
      </c>
      <c r="H532" t="s">
        <v>3443</v>
      </c>
      <c r="I532" t="s">
        <v>3444</v>
      </c>
      <c r="J532" t="s">
        <v>214</v>
      </c>
      <c r="K532" t="s">
        <v>173</v>
      </c>
      <c r="L532" t="s">
        <v>3444</v>
      </c>
      <c r="M532" t="s">
        <v>279</v>
      </c>
    </row>
    <row r="533" spans="1:13" x14ac:dyDescent="0.15">
      <c r="A533" t="s">
        <v>3445</v>
      </c>
      <c r="B533" t="s">
        <v>14</v>
      </c>
      <c r="C533" t="s">
        <v>23</v>
      </c>
      <c r="D533" t="s">
        <v>3446</v>
      </c>
      <c r="E533" t="s">
        <v>3447</v>
      </c>
      <c r="F533" t="s">
        <v>3448</v>
      </c>
      <c r="G533" t="s">
        <v>3449</v>
      </c>
      <c r="H533" t="s">
        <v>3449</v>
      </c>
      <c r="I533" t="s">
        <v>3450</v>
      </c>
      <c r="J533" t="s">
        <v>214</v>
      </c>
      <c r="K533" t="s">
        <v>601</v>
      </c>
      <c r="L533" t="s">
        <v>3450</v>
      </c>
      <c r="M533" t="s">
        <v>279</v>
      </c>
    </row>
    <row r="534" spans="1:13" x14ac:dyDescent="0.15">
      <c r="A534" t="s">
        <v>3451</v>
      </c>
      <c r="B534" t="s">
        <v>14</v>
      </c>
      <c r="C534" t="s">
        <v>23</v>
      </c>
      <c r="D534" t="s">
        <v>3452</v>
      </c>
      <c r="E534" t="s">
        <v>3453</v>
      </c>
      <c r="F534" t="s">
        <v>3454</v>
      </c>
      <c r="G534" t="s">
        <v>3455</v>
      </c>
      <c r="H534" t="s">
        <v>3455</v>
      </c>
      <c r="I534" t="s">
        <v>2741</v>
      </c>
      <c r="J534" t="s">
        <v>214</v>
      </c>
      <c r="K534" t="s">
        <v>271</v>
      </c>
      <c r="L534" t="s">
        <v>2741</v>
      </c>
      <c r="M534" t="s">
        <v>279</v>
      </c>
    </row>
    <row r="535" spans="1:13" x14ac:dyDescent="0.15">
      <c r="A535" t="s">
        <v>3456</v>
      </c>
      <c r="B535" t="s">
        <v>14</v>
      </c>
      <c r="C535" t="s">
        <v>118</v>
      </c>
      <c r="D535" t="s">
        <v>3457</v>
      </c>
      <c r="E535" t="s">
        <v>3458</v>
      </c>
      <c r="F535" t="s">
        <v>3459</v>
      </c>
      <c r="G535" t="s">
        <v>3460</v>
      </c>
      <c r="H535" t="s">
        <v>3460</v>
      </c>
      <c r="I535" t="s">
        <v>3461</v>
      </c>
      <c r="J535" t="s">
        <v>352</v>
      </c>
      <c r="K535" t="s">
        <v>263</v>
      </c>
      <c r="L535" t="s">
        <v>3461</v>
      </c>
      <c r="M535" t="s">
        <v>216</v>
      </c>
    </row>
    <row r="536" spans="1:13" x14ac:dyDescent="0.15">
      <c r="A536" t="s">
        <v>3462</v>
      </c>
      <c r="B536" t="s">
        <v>14</v>
      </c>
      <c r="C536" t="s">
        <v>23</v>
      </c>
      <c r="D536" t="s">
        <v>3463</v>
      </c>
      <c r="E536" t="s">
        <v>3464</v>
      </c>
      <c r="F536" t="s">
        <v>3465</v>
      </c>
      <c r="G536" t="s">
        <v>3466</v>
      </c>
      <c r="H536" t="s">
        <v>3466</v>
      </c>
      <c r="I536" t="s">
        <v>3467</v>
      </c>
      <c r="J536" t="s">
        <v>481</v>
      </c>
      <c r="K536" t="s">
        <v>271</v>
      </c>
      <c r="L536" t="s">
        <v>3467</v>
      </c>
      <c r="M536" t="s">
        <v>104</v>
      </c>
    </row>
    <row r="537" spans="1:13" x14ac:dyDescent="0.15">
      <c r="A537" t="s">
        <v>3468</v>
      </c>
      <c r="B537" t="s">
        <v>14</v>
      </c>
      <c r="C537" t="s">
        <v>118</v>
      </c>
      <c r="D537" t="s">
        <v>3469</v>
      </c>
      <c r="E537" t="s">
        <v>3470</v>
      </c>
      <c r="F537" t="s">
        <v>3471</v>
      </c>
      <c r="G537" t="s">
        <v>3472</v>
      </c>
      <c r="H537" t="s">
        <v>3472</v>
      </c>
      <c r="I537" t="s">
        <v>3473</v>
      </c>
      <c r="J537" t="s">
        <v>124</v>
      </c>
      <c r="K537" t="s">
        <v>239</v>
      </c>
      <c r="L537" t="s">
        <v>3473</v>
      </c>
      <c r="M537" t="s">
        <v>3382</v>
      </c>
    </row>
    <row r="538" spans="1:13" x14ac:dyDescent="0.15">
      <c r="A538" t="s">
        <v>3474</v>
      </c>
      <c r="B538" t="s">
        <v>14</v>
      </c>
      <c r="C538" t="s">
        <v>23</v>
      </c>
      <c r="D538" t="s">
        <v>3475</v>
      </c>
      <c r="E538" t="s">
        <v>3476</v>
      </c>
      <c r="F538" t="s">
        <v>3477</v>
      </c>
      <c r="G538" t="s">
        <v>3478</v>
      </c>
      <c r="H538" t="s">
        <v>3478</v>
      </c>
      <c r="I538" t="s">
        <v>3479</v>
      </c>
      <c r="J538" t="s">
        <v>481</v>
      </c>
      <c r="K538" t="s">
        <v>125</v>
      </c>
      <c r="L538" t="s">
        <v>3480</v>
      </c>
      <c r="M538" t="s">
        <v>353</v>
      </c>
    </row>
    <row r="539" spans="1:13" x14ac:dyDescent="0.15">
      <c r="A539" t="s">
        <v>3481</v>
      </c>
      <c r="B539" t="s">
        <v>14</v>
      </c>
      <c r="C539" t="s">
        <v>23</v>
      </c>
      <c r="D539" t="s">
        <v>3482</v>
      </c>
      <c r="E539" t="s">
        <v>3483</v>
      </c>
      <c r="F539" t="s">
        <v>3484</v>
      </c>
      <c r="G539" t="s">
        <v>2536</v>
      </c>
      <c r="H539" t="s">
        <v>2536</v>
      </c>
      <c r="I539" t="s">
        <v>3485</v>
      </c>
      <c r="J539" t="s">
        <v>481</v>
      </c>
      <c r="K539" t="s">
        <v>3486</v>
      </c>
      <c r="L539" t="s">
        <v>3487</v>
      </c>
      <c r="M539" t="s">
        <v>353</v>
      </c>
    </row>
    <row r="540" spans="1:13" x14ac:dyDescent="0.15">
      <c r="A540" t="s">
        <v>3488</v>
      </c>
      <c r="B540" t="s">
        <v>14</v>
      </c>
      <c r="C540" t="s">
        <v>23</v>
      </c>
      <c r="D540" t="s">
        <v>3489</v>
      </c>
      <c r="E540" t="s">
        <v>3490</v>
      </c>
      <c r="F540" t="s">
        <v>3491</v>
      </c>
      <c r="G540" t="s">
        <v>3492</v>
      </c>
      <c r="H540" t="s">
        <v>3492</v>
      </c>
      <c r="I540" t="s">
        <v>3493</v>
      </c>
      <c r="J540" t="s">
        <v>481</v>
      </c>
      <c r="K540" t="s">
        <v>1216</v>
      </c>
      <c r="L540" t="s">
        <v>3493</v>
      </c>
      <c r="M540" t="s">
        <v>353</v>
      </c>
    </row>
    <row r="541" spans="1:13" x14ac:dyDescent="0.15">
      <c r="A541" t="s">
        <v>3494</v>
      </c>
      <c r="B541" t="s">
        <v>14</v>
      </c>
      <c r="C541" t="s">
        <v>23</v>
      </c>
      <c r="D541" t="s">
        <v>3495</v>
      </c>
      <c r="E541" t="s">
        <v>3496</v>
      </c>
      <c r="F541" t="s">
        <v>3497</v>
      </c>
      <c r="G541" t="s">
        <v>3498</v>
      </c>
      <c r="H541" t="s">
        <v>3498</v>
      </c>
      <c r="I541" t="s">
        <v>3499</v>
      </c>
      <c r="J541" t="s">
        <v>481</v>
      </c>
      <c r="K541" t="s">
        <v>3500</v>
      </c>
      <c r="L541" t="s">
        <v>3499</v>
      </c>
      <c r="M541" t="s">
        <v>353</v>
      </c>
    </row>
    <row r="542" spans="1:13" x14ac:dyDescent="0.15">
      <c r="A542" t="s">
        <v>3501</v>
      </c>
      <c r="B542" t="s">
        <v>14</v>
      </c>
      <c r="C542" t="s">
        <v>15</v>
      </c>
      <c r="D542" t="s">
        <v>3502</v>
      </c>
      <c r="E542" t="s">
        <v>3503</v>
      </c>
      <c r="F542" t="s">
        <v>3504</v>
      </c>
      <c r="G542" t="s">
        <v>3505</v>
      </c>
      <c r="H542" t="s">
        <v>3505</v>
      </c>
      <c r="J542" t="s">
        <v>29</v>
      </c>
      <c r="M542" t="s">
        <v>21</v>
      </c>
    </row>
    <row r="543" spans="1:13" x14ac:dyDescent="0.15">
      <c r="A543" t="s">
        <v>3506</v>
      </c>
      <c r="B543" t="s">
        <v>14</v>
      </c>
      <c r="C543" t="s">
        <v>23</v>
      </c>
      <c r="D543" t="s">
        <v>3507</v>
      </c>
      <c r="E543" t="s">
        <v>3508</v>
      </c>
      <c r="F543" t="s">
        <v>3509</v>
      </c>
      <c r="G543" t="s">
        <v>1581</v>
      </c>
      <c r="H543" t="s">
        <v>1581</v>
      </c>
      <c r="I543" t="s">
        <v>3510</v>
      </c>
      <c r="J543" t="s">
        <v>138</v>
      </c>
      <c r="K543" t="s">
        <v>2406</v>
      </c>
      <c r="L543" t="s">
        <v>3510</v>
      </c>
      <c r="M543" t="s">
        <v>41</v>
      </c>
    </row>
    <row r="544" spans="1:13" x14ac:dyDescent="0.15">
      <c r="A544" t="s">
        <v>3511</v>
      </c>
      <c r="B544" t="s">
        <v>14</v>
      </c>
      <c r="C544" t="s">
        <v>118</v>
      </c>
      <c r="D544" t="s">
        <v>3512</v>
      </c>
      <c r="E544" t="s">
        <v>3513</v>
      </c>
      <c r="F544" t="s">
        <v>3514</v>
      </c>
      <c r="G544" t="s">
        <v>3515</v>
      </c>
      <c r="H544" t="s">
        <v>3515</v>
      </c>
      <c r="I544" t="s">
        <v>3516</v>
      </c>
      <c r="J544" t="s">
        <v>138</v>
      </c>
      <c r="K544" t="s">
        <v>256</v>
      </c>
      <c r="L544" t="s">
        <v>3516</v>
      </c>
      <c r="M544" t="s">
        <v>1392</v>
      </c>
    </row>
    <row r="545" spans="1:13" x14ac:dyDescent="0.15">
      <c r="A545" t="s">
        <v>3517</v>
      </c>
      <c r="B545" t="s">
        <v>14</v>
      </c>
      <c r="C545" t="s">
        <v>23</v>
      </c>
      <c r="D545" t="s">
        <v>3518</v>
      </c>
      <c r="E545" t="s">
        <v>3519</v>
      </c>
      <c r="F545" t="s">
        <v>3520</v>
      </c>
      <c r="G545" t="s">
        <v>3521</v>
      </c>
      <c r="H545" t="s">
        <v>3521</v>
      </c>
      <c r="I545" t="s">
        <v>3522</v>
      </c>
      <c r="J545" t="s">
        <v>230</v>
      </c>
      <c r="K545" t="s">
        <v>360</v>
      </c>
      <c r="L545" t="s">
        <v>3522</v>
      </c>
      <c r="M545" t="s">
        <v>41</v>
      </c>
    </row>
    <row r="546" spans="1:13" x14ac:dyDescent="0.15">
      <c r="A546" t="s">
        <v>3523</v>
      </c>
      <c r="B546" t="s">
        <v>14</v>
      </c>
      <c r="C546" t="s">
        <v>23</v>
      </c>
      <c r="D546" t="s">
        <v>3524</v>
      </c>
      <c r="E546" t="s">
        <v>3525</v>
      </c>
      <c r="F546" t="s">
        <v>3526</v>
      </c>
      <c r="G546" t="s">
        <v>3527</v>
      </c>
      <c r="H546" t="s">
        <v>3527</v>
      </c>
      <c r="I546" t="s">
        <v>3528</v>
      </c>
      <c r="J546" t="s">
        <v>230</v>
      </c>
      <c r="K546" t="s">
        <v>2499</v>
      </c>
      <c r="L546" t="s">
        <v>3528</v>
      </c>
      <c r="M546" t="s">
        <v>104</v>
      </c>
    </row>
    <row r="547" spans="1:13" x14ac:dyDescent="0.15">
      <c r="A547" t="s">
        <v>3529</v>
      </c>
      <c r="B547" t="s">
        <v>14</v>
      </c>
      <c r="C547" t="s">
        <v>118</v>
      </c>
      <c r="D547" t="s">
        <v>3530</v>
      </c>
      <c r="E547" t="s">
        <v>3531</v>
      </c>
      <c r="F547" t="s">
        <v>3532</v>
      </c>
      <c r="G547" t="s">
        <v>3533</v>
      </c>
      <c r="H547" t="s">
        <v>3533</v>
      </c>
      <c r="I547" t="s">
        <v>3534</v>
      </c>
      <c r="J547" t="s">
        <v>20</v>
      </c>
      <c r="K547" t="s">
        <v>567</v>
      </c>
      <c r="L547" t="s">
        <v>3534</v>
      </c>
      <c r="M547" t="s">
        <v>183</v>
      </c>
    </row>
    <row r="548" spans="1:13" x14ac:dyDescent="0.15">
      <c r="A548" t="s">
        <v>3535</v>
      </c>
      <c r="B548" t="s">
        <v>14</v>
      </c>
      <c r="C548" t="s">
        <v>118</v>
      </c>
      <c r="D548" t="s">
        <v>3536</v>
      </c>
      <c r="E548" t="s">
        <v>3537</v>
      </c>
      <c r="F548" t="s">
        <v>3538</v>
      </c>
      <c r="G548" t="s">
        <v>3539</v>
      </c>
      <c r="H548" t="s">
        <v>3539</v>
      </c>
      <c r="I548" t="s">
        <v>3540</v>
      </c>
      <c r="J548" t="s">
        <v>1717</v>
      </c>
      <c r="K548" t="s">
        <v>215</v>
      </c>
      <c r="L548" t="s">
        <v>3540</v>
      </c>
      <c r="M548" t="s">
        <v>31</v>
      </c>
    </row>
    <row r="549" spans="1:13" x14ac:dyDescent="0.15">
      <c r="A549" t="s">
        <v>3541</v>
      </c>
      <c r="B549" t="s">
        <v>14</v>
      </c>
      <c r="C549" t="s">
        <v>23</v>
      </c>
      <c r="D549" t="s">
        <v>3542</v>
      </c>
      <c r="E549" t="s">
        <v>3543</v>
      </c>
      <c r="F549" t="s">
        <v>3544</v>
      </c>
      <c r="G549" t="s">
        <v>3545</v>
      </c>
      <c r="H549" t="s">
        <v>3545</v>
      </c>
      <c r="I549" t="s">
        <v>3546</v>
      </c>
      <c r="J549" t="s">
        <v>124</v>
      </c>
      <c r="K549" t="s">
        <v>3547</v>
      </c>
      <c r="L549" t="s">
        <v>3548</v>
      </c>
      <c r="M549" t="s">
        <v>104</v>
      </c>
    </row>
    <row r="550" spans="1:13" x14ac:dyDescent="0.15">
      <c r="A550" t="s">
        <v>3549</v>
      </c>
      <c r="B550" t="s">
        <v>14</v>
      </c>
      <c r="C550" t="s">
        <v>118</v>
      </c>
      <c r="D550" t="s">
        <v>119</v>
      </c>
      <c r="E550" t="s">
        <v>3550</v>
      </c>
      <c r="F550" t="s">
        <v>3551</v>
      </c>
      <c r="G550" t="s">
        <v>3552</v>
      </c>
      <c r="H550" t="s">
        <v>3552</v>
      </c>
      <c r="I550" t="s">
        <v>3553</v>
      </c>
      <c r="J550" t="s">
        <v>124</v>
      </c>
      <c r="K550" t="s">
        <v>125</v>
      </c>
      <c r="L550" t="s">
        <v>3553</v>
      </c>
      <c r="M550" t="s">
        <v>192</v>
      </c>
    </row>
    <row r="551" spans="1:13" x14ac:dyDescent="0.15">
      <c r="A551" t="s">
        <v>3554</v>
      </c>
      <c r="B551" t="s">
        <v>14</v>
      </c>
      <c r="C551" t="s">
        <v>118</v>
      </c>
      <c r="D551" t="s">
        <v>3555</v>
      </c>
      <c r="E551" t="s">
        <v>3556</v>
      </c>
      <c r="F551" t="s">
        <v>3557</v>
      </c>
      <c r="G551" t="s">
        <v>3558</v>
      </c>
      <c r="H551" t="s">
        <v>3558</v>
      </c>
      <c r="I551" t="s">
        <v>3559</v>
      </c>
      <c r="J551" t="s">
        <v>2698</v>
      </c>
      <c r="K551" t="s">
        <v>3321</v>
      </c>
      <c r="L551" t="s">
        <v>3559</v>
      </c>
      <c r="M551" t="s">
        <v>104</v>
      </c>
    </row>
    <row r="552" spans="1:13" x14ac:dyDescent="0.15">
      <c r="A552" t="s">
        <v>3560</v>
      </c>
      <c r="B552" t="s">
        <v>14</v>
      </c>
      <c r="C552" t="s">
        <v>118</v>
      </c>
      <c r="D552" t="s">
        <v>3561</v>
      </c>
      <c r="E552" t="s">
        <v>3562</v>
      </c>
      <c r="F552" t="s">
        <v>3563</v>
      </c>
      <c r="G552" t="s">
        <v>3564</v>
      </c>
      <c r="H552" t="s">
        <v>3564</v>
      </c>
      <c r="I552" t="s">
        <v>3565</v>
      </c>
      <c r="J552" t="s">
        <v>1724</v>
      </c>
      <c r="K552" t="s">
        <v>256</v>
      </c>
      <c r="L552" t="s">
        <v>3565</v>
      </c>
      <c r="M552" t="s">
        <v>165</v>
      </c>
    </row>
    <row r="553" spans="1:13" x14ac:dyDescent="0.15">
      <c r="A553" t="s">
        <v>3566</v>
      </c>
      <c r="B553" t="s">
        <v>14</v>
      </c>
      <c r="C553" t="s">
        <v>118</v>
      </c>
      <c r="D553" t="s">
        <v>3567</v>
      </c>
      <c r="E553" t="s">
        <v>3568</v>
      </c>
      <c r="F553" t="s">
        <v>3569</v>
      </c>
      <c r="G553" t="s">
        <v>3570</v>
      </c>
      <c r="H553" t="s">
        <v>3570</v>
      </c>
      <c r="I553" t="s">
        <v>3571</v>
      </c>
      <c r="J553" t="s">
        <v>1724</v>
      </c>
      <c r="K553" t="s">
        <v>2598</v>
      </c>
      <c r="L553" t="s">
        <v>3571</v>
      </c>
      <c r="M553" t="s">
        <v>165</v>
      </c>
    </row>
    <row r="554" spans="1:13" x14ac:dyDescent="0.15">
      <c r="A554" t="s">
        <v>3572</v>
      </c>
      <c r="B554" t="s">
        <v>14</v>
      </c>
      <c r="C554" t="s">
        <v>118</v>
      </c>
      <c r="D554" t="s">
        <v>3573</v>
      </c>
      <c r="E554" t="s">
        <v>3574</v>
      </c>
      <c r="F554" t="s">
        <v>3575</v>
      </c>
      <c r="G554" t="s">
        <v>3576</v>
      </c>
      <c r="H554" t="s">
        <v>3576</v>
      </c>
      <c r="I554" t="s">
        <v>3577</v>
      </c>
      <c r="J554" t="s">
        <v>400</v>
      </c>
      <c r="K554" t="s">
        <v>3578</v>
      </c>
      <c r="L554" t="s">
        <v>3579</v>
      </c>
      <c r="M554" t="s">
        <v>165</v>
      </c>
    </row>
    <row r="555" spans="1:13" x14ac:dyDescent="0.15">
      <c r="A555" t="s">
        <v>3580</v>
      </c>
      <c r="B555" t="s">
        <v>14</v>
      </c>
      <c r="C555" t="s">
        <v>23</v>
      </c>
      <c r="D555" t="s">
        <v>3581</v>
      </c>
      <c r="E555" t="s">
        <v>3582</v>
      </c>
      <c r="F555" t="s">
        <v>3583</v>
      </c>
      <c r="G555" t="s">
        <v>3584</v>
      </c>
      <c r="H555" t="s">
        <v>3584</v>
      </c>
      <c r="I555" t="s">
        <v>3585</v>
      </c>
      <c r="J555" t="s">
        <v>206</v>
      </c>
      <c r="K555" t="s">
        <v>64</v>
      </c>
      <c r="L555" t="s">
        <v>3585</v>
      </c>
      <c r="M555" t="s">
        <v>104</v>
      </c>
    </row>
    <row r="556" spans="1:13" x14ac:dyDescent="0.15">
      <c r="A556" t="s">
        <v>3586</v>
      </c>
      <c r="B556" t="s">
        <v>14</v>
      </c>
      <c r="C556" t="s">
        <v>194</v>
      </c>
      <c r="D556" t="s">
        <v>3587</v>
      </c>
      <c r="E556" t="s">
        <v>3588</v>
      </c>
      <c r="F556" t="s">
        <v>3589</v>
      </c>
      <c r="H556" t="s">
        <v>3590</v>
      </c>
      <c r="J556" t="s">
        <v>481</v>
      </c>
      <c r="M556" t="s">
        <v>139</v>
      </c>
    </row>
    <row r="557" spans="1:13" x14ac:dyDescent="0.15">
      <c r="A557" t="s">
        <v>3591</v>
      </c>
      <c r="B557" t="s">
        <v>14</v>
      </c>
      <c r="C557" t="s">
        <v>194</v>
      </c>
      <c r="D557" t="s">
        <v>3592</v>
      </c>
      <c r="E557" t="s">
        <v>3593</v>
      </c>
      <c r="F557" t="s">
        <v>3594</v>
      </c>
      <c r="G557" t="s">
        <v>3595</v>
      </c>
      <c r="H557" t="s">
        <v>3595</v>
      </c>
      <c r="J557" t="s">
        <v>415</v>
      </c>
      <c r="M557" t="s">
        <v>139</v>
      </c>
    </row>
    <row r="558" spans="1:13" x14ac:dyDescent="0.15">
      <c r="A558" t="s">
        <v>3596</v>
      </c>
      <c r="B558" t="s">
        <v>14</v>
      </c>
      <c r="C558" t="s">
        <v>23</v>
      </c>
      <c r="D558" t="s">
        <v>3597</v>
      </c>
      <c r="E558" t="s">
        <v>3598</v>
      </c>
      <c r="F558" t="s">
        <v>3599</v>
      </c>
      <c r="G558" t="s">
        <v>3600</v>
      </c>
      <c r="H558" t="s">
        <v>3600</v>
      </c>
      <c r="I558" t="s">
        <v>1028</v>
      </c>
      <c r="J558" t="s">
        <v>138</v>
      </c>
      <c r="K558" t="s">
        <v>231</v>
      </c>
      <c r="L558" t="s">
        <v>1028</v>
      </c>
      <c r="M558" t="s">
        <v>216</v>
      </c>
    </row>
    <row r="559" spans="1:13" x14ac:dyDescent="0.15">
      <c r="A559" t="s">
        <v>3601</v>
      </c>
      <c r="B559" t="s">
        <v>14</v>
      </c>
      <c r="C559" t="s">
        <v>118</v>
      </c>
      <c r="D559" t="s">
        <v>3602</v>
      </c>
      <c r="E559" t="s">
        <v>3603</v>
      </c>
      <c r="F559" t="s">
        <v>3604</v>
      </c>
      <c r="G559" t="s">
        <v>3605</v>
      </c>
      <c r="H559" t="s">
        <v>3605</v>
      </c>
      <c r="I559" t="s">
        <v>3606</v>
      </c>
      <c r="J559" t="s">
        <v>297</v>
      </c>
      <c r="K559" t="s">
        <v>3607</v>
      </c>
      <c r="L559" t="s">
        <v>3606</v>
      </c>
      <c r="M559" t="s">
        <v>812</v>
      </c>
    </row>
    <row r="560" spans="1:13" x14ac:dyDescent="0.15">
      <c r="A560" t="s">
        <v>3608</v>
      </c>
      <c r="B560" t="s">
        <v>14</v>
      </c>
      <c r="C560" t="s">
        <v>23</v>
      </c>
      <c r="D560" t="s">
        <v>3609</v>
      </c>
      <c r="E560" t="s">
        <v>3610</v>
      </c>
      <c r="F560" t="s">
        <v>3611</v>
      </c>
      <c r="G560" t="s">
        <v>3612</v>
      </c>
      <c r="H560" t="s">
        <v>3612</v>
      </c>
      <c r="I560" t="s">
        <v>3613</v>
      </c>
      <c r="J560" t="s">
        <v>297</v>
      </c>
      <c r="K560" t="s">
        <v>3607</v>
      </c>
      <c r="L560" t="s">
        <v>3613</v>
      </c>
      <c r="M560" t="s">
        <v>41</v>
      </c>
    </row>
    <row r="561" spans="1:13" x14ac:dyDescent="0.15">
      <c r="A561" t="s">
        <v>3614</v>
      </c>
      <c r="B561" t="s">
        <v>14</v>
      </c>
      <c r="C561" t="s">
        <v>23</v>
      </c>
      <c r="D561" t="s">
        <v>3615</v>
      </c>
      <c r="E561" t="s">
        <v>3616</v>
      </c>
      <c r="F561" t="s">
        <v>3617</v>
      </c>
      <c r="G561" t="s">
        <v>3618</v>
      </c>
      <c r="H561" t="s">
        <v>145</v>
      </c>
      <c r="I561" t="s">
        <v>145</v>
      </c>
      <c r="J561" t="s">
        <v>3619</v>
      </c>
      <c r="K561" t="s">
        <v>839</v>
      </c>
      <c r="L561" t="s">
        <v>3620</v>
      </c>
      <c r="M561" t="s">
        <v>248</v>
      </c>
    </row>
    <row r="562" spans="1:13" x14ac:dyDescent="0.15">
      <c r="A562" t="s">
        <v>3621</v>
      </c>
      <c r="B562" t="s">
        <v>14</v>
      </c>
      <c r="C562" t="s">
        <v>23</v>
      </c>
      <c r="D562" t="s">
        <v>3622</v>
      </c>
      <c r="E562" t="s">
        <v>3623</v>
      </c>
      <c r="F562" t="s">
        <v>3624</v>
      </c>
      <c r="G562" t="s">
        <v>3625</v>
      </c>
      <c r="H562" t="s">
        <v>3625</v>
      </c>
      <c r="I562" t="s">
        <v>3626</v>
      </c>
      <c r="J562" t="s">
        <v>20</v>
      </c>
      <c r="K562" t="s">
        <v>271</v>
      </c>
      <c r="L562" t="s">
        <v>3626</v>
      </c>
      <c r="M562" t="s">
        <v>31</v>
      </c>
    </row>
    <row r="563" spans="1:13" x14ac:dyDescent="0.15">
      <c r="A563" t="s">
        <v>3627</v>
      </c>
      <c r="B563" t="s">
        <v>14</v>
      </c>
      <c r="C563" t="s">
        <v>118</v>
      </c>
      <c r="D563" t="s">
        <v>3628</v>
      </c>
      <c r="E563" t="s">
        <v>3629</v>
      </c>
      <c r="F563" t="s">
        <v>3630</v>
      </c>
      <c r="G563" t="s">
        <v>3631</v>
      </c>
      <c r="H563" t="s">
        <v>3631</v>
      </c>
      <c r="I563" t="s">
        <v>3632</v>
      </c>
      <c r="J563" t="s">
        <v>20</v>
      </c>
      <c r="K563" t="s">
        <v>567</v>
      </c>
      <c r="L563" t="s">
        <v>3632</v>
      </c>
      <c r="M563" t="s">
        <v>432</v>
      </c>
    </row>
    <row r="564" spans="1:13" x14ac:dyDescent="0.15">
      <c r="A564" t="s">
        <v>3633</v>
      </c>
      <c r="B564" t="s">
        <v>14</v>
      </c>
      <c r="C564" t="s">
        <v>23</v>
      </c>
      <c r="D564" t="s">
        <v>3634</v>
      </c>
      <c r="E564" t="s">
        <v>3635</v>
      </c>
      <c r="F564" t="s">
        <v>3636</v>
      </c>
      <c r="G564" t="s">
        <v>3637</v>
      </c>
      <c r="H564" t="s">
        <v>3637</v>
      </c>
      <c r="I564" t="s">
        <v>3638</v>
      </c>
      <c r="J564" t="s">
        <v>246</v>
      </c>
      <c r="K564" t="s">
        <v>2122</v>
      </c>
      <c r="L564" t="s">
        <v>3638</v>
      </c>
      <c r="M564" t="s">
        <v>104</v>
      </c>
    </row>
    <row r="565" spans="1:13" x14ac:dyDescent="0.15">
      <c r="A565" t="s">
        <v>3639</v>
      </c>
      <c r="B565" t="s">
        <v>14</v>
      </c>
      <c r="C565" t="s">
        <v>118</v>
      </c>
      <c r="D565" t="s">
        <v>3640</v>
      </c>
      <c r="E565" t="s">
        <v>3641</v>
      </c>
      <c r="F565" t="s">
        <v>3642</v>
      </c>
      <c r="G565" t="s">
        <v>3643</v>
      </c>
      <c r="H565" t="s">
        <v>3643</v>
      </c>
      <c r="I565" t="s">
        <v>3644</v>
      </c>
      <c r="J565" t="s">
        <v>246</v>
      </c>
      <c r="K565" t="s">
        <v>1450</v>
      </c>
      <c r="L565" t="s">
        <v>3644</v>
      </c>
      <c r="M565" t="s">
        <v>880</v>
      </c>
    </row>
    <row r="566" spans="1:13" x14ac:dyDescent="0.15">
      <c r="A566" t="s">
        <v>3645</v>
      </c>
      <c r="B566" t="s">
        <v>14</v>
      </c>
      <c r="C566" t="s">
        <v>118</v>
      </c>
      <c r="D566" t="s">
        <v>3646</v>
      </c>
      <c r="E566" t="s">
        <v>3647</v>
      </c>
      <c r="F566" t="s">
        <v>3648</v>
      </c>
      <c r="G566" t="s">
        <v>3649</v>
      </c>
      <c r="H566" t="s">
        <v>3649</v>
      </c>
      <c r="I566" t="s">
        <v>3650</v>
      </c>
      <c r="J566" t="s">
        <v>246</v>
      </c>
      <c r="K566" t="s">
        <v>1672</v>
      </c>
      <c r="L566" t="s">
        <v>3650</v>
      </c>
      <c r="M566" t="s">
        <v>880</v>
      </c>
    </row>
    <row r="567" spans="1:13" x14ac:dyDescent="0.15">
      <c r="A567" t="s">
        <v>3651</v>
      </c>
      <c r="B567" t="s">
        <v>14</v>
      </c>
      <c r="C567" t="s">
        <v>23</v>
      </c>
      <c r="D567" t="s">
        <v>3652</v>
      </c>
      <c r="E567" t="s">
        <v>3653</v>
      </c>
      <c r="F567" t="s">
        <v>3654</v>
      </c>
      <c r="G567" t="s">
        <v>3655</v>
      </c>
      <c r="H567" t="s">
        <v>3655</v>
      </c>
      <c r="I567" t="s">
        <v>3656</v>
      </c>
      <c r="J567" t="s">
        <v>124</v>
      </c>
      <c r="K567" t="s">
        <v>1281</v>
      </c>
      <c r="L567" t="s">
        <v>3657</v>
      </c>
      <c r="M567" t="s">
        <v>80</v>
      </c>
    </row>
    <row r="568" spans="1:13" x14ac:dyDescent="0.15">
      <c r="A568" t="s">
        <v>3658</v>
      </c>
      <c r="B568" t="s">
        <v>14</v>
      </c>
      <c r="C568" t="s">
        <v>118</v>
      </c>
      <c r="D568" t="s">
        <v>3659</v>
      </c>
      <c r="E568" t="s">
        <v>3660</v>
      </c>
      <c r="F568" t="s">
        <v>3661</v>
      </c>
      <c r="G568" t="s">
        <v>3662</v>
      </c>
      <c r="H568" t="s">
        <v>3662</v>
      </c>
      <c r="I568" t="s">
        <v>3663</v>
      </c>
      <c r="J568" t="s">
        <v>124</v>
      </c>
      <c r="K568" t="s">
        <v>506</v>
      </c>
      <c r="L568" t="s">
        <v>3663</v>
      </c>
      <c r="M568" t="s">
        <v>2913</v>
      </c>
    </row>
    <row r="569" spans="1:13" x14ac:dyDescent="0.15">
      <c r="A569" t="s">
        <v>3664</v>
      </c>
      <c r="B569" t="s">
        <v>14</v>
      </c>
      <c r="C569" t="s">
        <v>118</v>
      </c>
      <c r="D569" t="s">
        <v>3665</v>
      </c>
      <c r="E569" t="s">
        <v>3666</v>
      </c>
      <c r="F569" t="s">
        <v>3667</v>
      </c>
      <c r="G569" t="s">
        <v>3668</v>
      </c>
      <c r="H569" t="s">
        <v>3668</v>
      </c>
      <c r="I569" t="s">
        <v>3669</v>
      </c>
      <c r="J569" t="s">
        <v>124</v>
      </c>
      <c r="K569" t="s">
        <v>2122</v>
      </c>
      <c r="L569" t="s">
        <v>3669</v>
      </c>
      <c r="M569" t="s">
        <v>3238</v>
      </c>
    </row>
    <row r="570" spans="1:13" x14ac:dyDescent="0.15">
      <c r="A570" t="s">
        <v>3670</v>
      </c>
      <c r="B570" t="s">
        <v>14</v>
      </c>
      <c r="C570" t="s">
        <v>118</v>
      </c>
      <c r="D570" t="s">
        <v>3671</v>
      </c>
      <c r="E570" t="s">
        <v>3672</v>
      </c>
      <c r="F570" t="s">
        <v>3673</v>
      </c>
      <c r="G570" t="s">
        <v>3674</v>
      </c>
      <c r="H570" t="s">
        <v>3674</v>
      </c>
      <c r="I570" t="s">
        <v>3675</v>
      </c>
      <c r="J570" t="s">
        <v>124</v>
      </c>
      <c r="K570" t="s">
        <v>819</v>
      </c>
      <c r="L570" t="s">
        <v>3675</v>
      </c>
      <c r="M570" t="s">
        <v>594</v>
      </c>
    </row>
    <row r="571" spans="1:13" x14ac:dyDescent="0.15">
      <c r="A571" t="s">
        <v>3676</v>
      </c>
      <c r="B571" t="s">
        <v>14</v>
      </c>
      <c r="C571" t="s">
        <v>118</v>
      </c>
      <c r="D571" t="s">
        <v>3677</v>
      </c>
      <c r="E571" t="s">
        <v>3678</v>
      </c>
      <c r="F571" t="s">
        <v>3679</v>
      </c>
      <c r="G571" t="s">
        <v>3680</v>
      </c>
      <c r="H571" t="s">
        <v>3680</v>
      </c>
      <c r="I571" t="s">
        <v>3681</v>
      </c>
      <c r="J571" t="s">
        <v>124</v>
      </c>
      <c r="K571" t="s">
        <v>312</v>
      </c>
      <c r="L571" t="s">
        <v>3681</v>
      </c>
      <c r="M571" t="s">
        <v>1132</v>
      </c>
    </row>
    <row r="572" spans="1:13" x14ac:dyDescent="0.15">
      <c r="A572" t="s">
        <v>3682</v>
      </c>
      <c r="B572" t="s">
        <v>14</v>
      </c>
      <c r="C572" t="s">
        <v>23</v>
      </c>
      <c r="D572" t="s">
        <v>3683</v>
      </c>
      <c r="E572" t="s">
        <v>3684</v>
      </c>
      <c r="F572" t="s">
        <v>3685</v>
      </c>
      <c r="G572" t="s">
        <v>466</v>
      </c>
      <c r="H572" t="s">
        <v>466</v>
      </c>
      <c r="I572" t="s">
        <v>3686</v>
      </c>
      <c r="J572" t="s">
        <v>38</v>
      </c>
      <c r="K572" t="s">
        <v>72</v>
      </c>
      <c r="L572" t="s">
        <v>3687</v>
      </c>
      <c r="M572" t="s">
        <v>104</v>
      </c>
    </row>
    <row r="573" spans="1:13" x14ac:dyDescent="0.15">
      <c r="A573" t="s">
        <v>3688</v>
      </c>
      <c r="B573" t="s">
        <v>14</v>
      </c>
      <c r="C573" t="s">
        <v>23</v>
      </c>
      <c r="D573" t="s">
        <v>3689</v>
      </c>
      <c r="E573" t="s">
        <v>3690</v>
      </c>
      <c r="F573" t="s">
        <v>3691</v>
      </c>
      <c r="G573" t="s">
        <v>3692</v>
      </c>
      <c r="H573" t="s">
        <v>3692</v>
      </c>
      <c r="I573" t="s">
        <v>3693</v>
      </c>
      <c r="J573" t="s">
        <v>38</v>
      </c>
      <c r="K573" t="s">
        <v>72</v>
      </c>
      <c r="L573" t="s">
        <v>73</v>
      </c>
      <c r="M573" t="s">
        <v>41</v>
      </c>
    </row>
    <row r="574" spans="1:13" x14ac:dyDescent="0.15">
      <c r="A574" t="s">
        <v>3694</v>
      </c>
      <c r="B574" t="s">
        <v>14</v>
      </c>
      <c r="C574" t="s">
        <v>23</v>
      </c>
      <c r="D574" t="s">
        <v>3695</v>
      </c>
      <c r="E574" t="s">
        <v>3696</v>
      </c>
      <c r="F574" t="s">
        <v>3697</v>
      </c>
      <c r="G574" t="s">
        <v>3698</v>
      </c>
      <c r="H574" t="s">
        <v>3698</v>
      </c>
      <c r="I574" t="s">
        <v>3699</v>
      </c>
      <c r="J574" t="s">
        <v>38</v>
      </c>
      <c r="K574" t="s">
        <v>39</v>
      </c>
      <c r="L574" t="s">
        <v>3700</v>
      </c>
      <c r="M574" t="s">
        <v>104</v>
      </c>
    </row>
    <row r="575" spans="1:13" x14ac:dyDescent="0.15">
      <c r="A575" t="s">
        <v>3701</v>
      </c>
      <c r="B575" t="s">
        <v>14</v>
      </c>
      <c r="C575" t="s">
        <v>23</v>
      </c>
      <c r="D575" t="s">
        <v>3702</v>
      </c>
      <c r="E575" t="s">
        <v>3703</v>
      </c>
      <c r="F575" t="s">
        <v>3704</v>
      </c>
      <c r="G575" t="s">
        <v>3705</v>
      </c>
      <c r="H575" t="s">
        <v>3705</v>
      </c>
      <c r="I575" t="s">
        <v>686</v>
      </c>
      <c r="J575" t="s">
        <v>38</v>
      </c>
      <c r="K575" t="s">
        <v>1541</v>
      </c>
      <c r="L575" t="s">
        <v>3706</v>
      </c>
      <c r="M575" t="s">
        <v>104</v>
      </c>
    </row>
    <row r="576" spans="1:13" x14ac:dyDescent="0.15">
      <c r="A576" t="s">
        <v>3707</v>
      </c>
      <c r="B576" t="s">
        <v>14</v>
      </c>
      <c r="C576" t="s">
        <v>118</v>
      </c>
      <c r="D576" t="s">
        <v>3708</v>
      </c>
      <c r="E576" t="s">
        <v>3709</v>
      </c>
      <c r="F576" t="s">
        <v>3710</v>
      </c>
      <c r="G576" t="s">
        <v>3711</v>
      </c>
      <c r="H576" t="s">
        <v>3711</v>
      </c>
      <c r="I576" t="s">
        <v>3712</v>
      </c>
      <c r="J576" t="s">
        <v>415</v>
      </c>
      <c r="K576" t="s">
        <v>786</v>
      </c>
      <c r="L576" t="s">
        <v>3712</v>
      </c>
      <c r="M576" t="s">
        <v>174</v>
      </c>
    </row>
    <row r="577" spans="1:13" x14ac:dyDescent="0.15">
      <c r="A577" t="s">
        <v>3713</v>
      </c>
      <c r="B577" t="s">
        <v>14</v>
      </c>
      <c r="C577" t="s">
        <v>118</v>
      </c>
      <c r="D577" t="s">
        <v>3714</v>
      </c>
      <c r="E577" t="s">
        <v>3715</v>
      </c>
      <c r="F577" t="s">
        <v>3716</v>
      </c>
      <c r="G577" t="s">
        <v>3717</v>
      </c>
      <c r="H577" t="s">
        <v>3717</v>
      </c>
      <c r="I577" t="s">
        <v>3718</v>
      </c>
      <c r="J577" t="s">
        <v>415</v>
      </c>
      <c r="K577" t="s">
        <v>938</v>
      </c>
      <c r="L577" t="s">
        <v>3718</v>
      </c>
      <c r="M577" t="s">
        <v>1015</v>
      </c>
    </row>
    <row r="578" spans="1:13" x14ac:dyDescent="0.15">
      <c r="A578" t="s">
        <v>3719</v>
      </c>
      <c r="B578" t="s">
        <v>14</v>
      </c>
      <c r="C578" t="s">
        <v>118</v>
      </c>
      <c r="D578" t="s">
        <v>3720</v>
      </c>
      <c r="E578" t="s">
        <v>3721</v>
      </c>
      <c r="F578" t="s">
        <v>3722</v>
      </c>
      <c r="G578" t="s">
        <v>3723</v>
      </c>
      <c r="H578" t="s">
        <v>3723</v>
      </c>
      <c r="I578" t="s">
        <v>3724</v>
      </c>
      <c r="J578" t="s">
        <v>415</v>
      </c>
      <c r="K578" t="s">
        <v>215</v>
      </c>
      <c r="L578" t="s">
        <v>3724</v>
      </c>
      <c r="M578" t="s">
        <v>248</v>
      </c>
    </row>
    <row r="579" spans="1:13" x14ac:dyDescent="0.15">
      <c r="A579" t="s">
        <v>3725</v>
      </c>
      <c r="B579" t="s">
        <v>14</v>
      </c>
      <c r="C579" t="s">
        <v>118</v>
      </c>
      <c r="D579" t="s">
        <v>3726</v>
      </c>
      <c r="E579" t="s">
        <v>3727</v>
      </c>
      <c r="F579" t="s">
        <v>3728</v>
      </c>
      <c r="G579" t="s">
        <v>1436</v>
      </c>
      <c r="H579" t="s">
        <v>1436</v>
      </c>
      <c r="I579" t="s">
        <v>3729</v>
      </c>
      <c r="J579" t="s">
        <v>415</v>
      </c>
      <c r="K579" t="s">
        <v>3730</v>
      </c>
      <c r="L579" t="s">
        <v>3729</v>
      </c>
      <c r="M579" t="s">
        <v>880</v>
      </c>
    </row>
    <row r="580" spans="1:13" x14ac:dyDescent="0.15">
      <c r="A580" t="s">
        <v>3731</v>
      </c>
      <c r="B580" t="s">
        <v>14</v>
      </c>
      <c r="C580" t="s">
        <v>118</v>
      </c>
      <c r="D580" t="s">
        <v>3732</v>
      </c>
      <c r="E580" t="s">
        <v>3733</v>
      </c>
      <c r="F580" t="s">
        <v>3734</v>
      </c>
      <c r="G580" t="s">
        <v>3735</v>
      </c>
      <c r="H580" t="s">
        <v>3735</v>
      </c>
      <c r="I580" t="s">
        <v>3736</v>
      </c>
      <c r="J580" t="s">
        <v>255</v>
      </c>
      <c r="K580" t="s">
        <v>239</v>
      </c>
      <c r="L580" t="s">
        <v>3736</v>
      </c>
      <c r="M580" t="s">
        <v>432</v>
      </c>
    </row>
    <row r="581" spans="1:13" x14ac:dyDescent="0.15">
      <c r="A581" t="s">
        <v>3737</v>
      </c>
      <c r="B581" t="s">
        <v>14</v>
      </c>
      <c r="C581" t="s">
        <v>118</v>
      </c>
      <c r="D581" t="s">
        <v>3738</v>
      </c>
      <c r="E581" t="s">
        <v>3739</v>
      </c>
      <c r="F581" t="s">
        <v>3740</v>
      </c>
      <c r="G581" t="s">
        <v>3741</v>
      </c>
      <c r="H581" t="s">
        <v>3741</v>
      </c>
      <c r="I581" t="s">
        <v>3742</v>
      </c>
      <c r="J581" t="s">
        <v>206</v>
      </c>
      <c r="K581" t="s">
        <v>256</v>
      </c>
      <c r="L581" t="s">
        <v>3742</v>
      </c>
      <c r="M581" t="s">
        <v>482</v>
      </c>
    </row>
    <row r="582" spans="1:13" x14ac:dyDescent="0.15">
      <c r="A582" t="s">
        <v>3743</v>
      </c>
      <c r="B582" t="s">
        <v>14</v>
      </c>
      <c r="C582" t="s">
        <v>118</v>
      </c>
      <c r="D582" t="s">
        <v>3744</v>
      </c>
      <c r="E582" t="s">
        <v>3745</v>
      </c>
      <c r="F582" t="s">
        <v>3746</v>
      </c>
      <c r="G582" t="s">
        <v>3747</v>
      </c>
      <c r="H582" t="s">
        <v>3747</v>
      </c>
      <c r="I582" t="s">
        <v>3748</v>
      </c>
      <c r="J582" t="s">
        <v>514</v>
      </c>
      <c r="K582" t="s">
        <v>2499</v>
      </c>
      <c r="L582" t="s">
        <v>3748</v>
      </c>
      <c r="M582" t="s">
        <v>313</v>
      </c>
    </row>
    <row r="583" spans="1:13" x14ac:dyDescent="0.15">
      <c r="A583" t="s">
        <v>3749</v>
      </c>
      <c r="B583" t="s">
        <v>14</v>
      </c>
      <c r="C583" t="s">
        <v>118</v>
      </c>
      <c r="D583" t="s">
        <v>3750</v>
      </c>
      <c r="E583" t="s">
        <v>3751</v>
      </c>
      <c r="F583" t="s">
        <v>3752</v>
      </c>
      <c r="G583" t="s">
        <v>3753</v>
      </c>
      <c r="H583" t="s">
        <v>3753</v>
      </c>
      <c r="I583" t="s">
        <v>3754</v>
      </c>
      <c r="J583" t="s">
        <v>230</v>
      </c>
      <c r="K583" t="s">
        <v>312</v>
      </c>
      <c r="L583" t="s">
        <v>3754</v>
      </c>
      <c r="M583" t="s">
        <v>3382</v>
      </c>
    </row>
    <row r="584" spans="1:13" x14ac:dyDescent="0.15">
      <c r="A584" t="s">
        <v>3755</v>
      </c>
      <c r="B584" t="s">
        <v>14</v>
      </c>
      <c r="C584" t="s">
        <v>118</v>
      </c>
      <c r="D584" t="s">
        <v>3756</v>
      </c>
      <c r="E584" t="s">
        <v>3757</v>
      </c>
      <c r="F584" t="s">
        <v>3758</v>
      </c>
      <c r="H584" t="s">
        <v>3759</v>
      </c>
      <c r="I584" t="s">
        <v>3760</v>
      </c>
      <c r="J584" t="s">
        <v>3761</v>
      </c>
      <c r="K584" t="s">
        <v>1262</v>
      </c>
      <c r="L584" t="s">
        <v>3762</v>
      </c>
      <c r="M584" t="s">
        <v>139</v>
      </c>
    </row>
    <row r="585" spans="1:13" x14ac:dyDescent="0.15">
      <c r="A585" t="s">
        <v>3763</v>
      </c>
      <c r="B585" t="s">
        <v>14</v>
      </c>
      <c r="C585" t="s">
        <v>118</v>
      </c>
      <c r="D585" t="s">
        <v>3764</v>
      </c>
      <c r="E585" t="s">
        <v>3765</v>
      </c>
      <c r="F585" t="s">
        <v>3766</v>
      </c>
      <c r="G585" t="s">
        <v>3767</v>
      </c>
      <c r="H585" t="s">
        <v>3767</v>
      </c>
      <c r="I585" t="s">
        <v>3768</v>
      </c>
      <c r="J585" t="s">
        <v>297</v>
      </c>
      <c r="K585" t="s">
        <v>554</v>
      </c>
      <c r="L585" t="s">
        <v>3768</v>
      </c>
      <c r="M585" t="s">
        <v>432</v>
      </c>
    </row>
    <row r="586" spans="1:13" x14ac:dyDescent="0.15">
      <c r="A586" t="s">
        <v>3769</v>
      </c>
      <c r="B586" t="s">
        <v>14</v>
      </c>
      <c r="C586" t="s">
        <v>23</v>
      </c>
      <c r="D586" t="s">
        <v>3770</v>
      </c>
      <c r="E586" t="s">
        <v>3771</v>
      </c>
      <c r="F586" t="s">
        <v>3772</v>
      </c>
      <c r="G586" t="s">
        <v>1353</v>
      </c>
      <c r="H586" t="s">
        <v>1353</v>
      </c>
      <c r="I586" t="s">
        <v>3773</v>
      </c>
      <c r="J586" t="s">
        <v>394</v>
      </c>
      <c r="K586" t="s">
        <v>72</v>
      </c>
      <c r="L586" t="s">
        <v>2088</v>
      </c>
      <c r="M586" t="s">
        <v>353</v>
      </c>
    </row>
    <row r="587" spans="1:13" x14ac:dyDescent="0.15">
      <c r="A587" t="s">
        <v>3774</v>
      </c>
      <c r="B587" t="s">
        <v>14</v>
      </c>
      <c r="C587" t="s">
        <v>23</v>
      </c>
      <c r="D587" t="s">
        <v>3775</v>
      </c>
      <c r="E587" t="s">
        <v>3776</v>
      </c>
      <c r="F587" t="s">
        <v>3777</v>
      </c>
      <c r="G587" t="s">
        <v>1830</v>
      </c>
      <c r="H587" t="s">
        <v>1830</v>
      </c>
      <c r="I587" t="s">
        <v>3778</v>
      </c>
      <c r="J587" t="s">
        <v>521</v>
      </c>
      <c r="K587" t="s">
        <v>239</v>
      </c>
      <c r="L587" t="s">
        <v>3779</v>
      </c>
      <c r="M587" t="s">
        <v>104</v>
      </c>
    </row>
    <row r="588" spans="1:13" x14ac:dyDescent="0.15">
      <c r="A588" t="s">
        <v>3780</v>
      </c>
      <c r="B588" t="s">
        <v>14</v>
      </c>
      <c r="C588" t="s">
        <v>23</v>
      </c>
      <c r="D588" t="s">
        <v>3144</v>
      </c>
      <c r="E588" t="s">
        <v>3781</v>
      </c>
      <c r="F588" t="s">
        <v>3782</v>
      </c>
      <c r="G588" t="s">
        <v>3783</v>
      </c>
      <c r="H588" t="s">
        <v>3783</v>
      </c>
      <c r="I588" t="s">
        <v>3784</v>
      </c>
      <c r="J588" t="s">
        <v>415</v>
      </c>
      <c r="K588" t="s">
        <v>474</v>
      </c>
      <c r="L588" t="s">
        <v>3784</v>
      </c>
      <c r="M588" t="s">
        <v>104</v>
      </c>
    </row>
    <row r="589" spans="1:13" x14ac:dyDescent="0.15">
      <c r="A589" t="s">
        <v>3785</v>
      </c>
      <c r="B589" t="s">
        <v>14</v>
      </c>
      <c r="C589" t="s">
        <v>23</v>
      </c>
      <c r="D589" t="s">
        <v>3786</v>
      </c>
      <c r="E589" t="s">
        <v>3787</v>
      </c>
      <c r="F589" t="s">
        <v>3788</v>
      </c>
      <c r="G589" t="s">
        <v>3789</v>
      </c>
      <c r="H589" t="s">
        <v>3789</v>
      </c>
      <c r="I589" t="s">
        <v>3790</v>
      </c>
      <c r="J589" t="s">
        <v>415</v>
      </c>
      <c r="K589" t="s">
        <v>380</v>
      </c>
      <c r="L589" t="s">
        <v>3790</v>
      </c>
      <c r="M589" t="s">
        <v>104</v>
      </c>
    </row>
    <row r="590" spans="1:13" x14ac:dyDescent="0.15">
      <c r="A590" t="s">
        <v>3791</v>
      </c>
      <c r="B590" t="s">
        <v>14</v>
      </c>
      <c r="C590" t="s">
        <v>118</v>
      </c>
      <c r="D590" t="s">
        <v>3792</v>
      </c>
      <c r="E590" t="s">
        <v>3793</v>
      </c>
      <c r="F590" t="s">
        <v>3794</v>
      </c>
      <c r="G590" t="s">
        <v>3795</v>
      </c>
      <c r="H590" t="s">
        <v>3795</v>
      </c>
      <c r="I590" t="s">
        <v>3796</v>
      </c>
      <c r="J590" t="s">
        <v>415</v>
      </c>
      <c r="K590" t="s">
        <v>554</v>
      </c>
      <c r="L590" t="s">
        <v>3796</v>
      </c>
      <c r="M590" t="s">
        <v>165</v>
      </c>
    </row>
    <row r="591" spans="1:13" x14ac:dyDescent="0.15">
      <c r="A591" t="s">
        <v>3797</v>
      </c>
      <c r="B591" t="s">
        <v>14</v>
      </c>
      <c r="C591" t="s">
        <v>118</v>
      </c>
      <c r="D591" t="s">
        <v>3798</v>
      </c>
      <c r="E591" t="s">
        <v>3799</v>
      </c>
      <c r="F591" t="s">
        <v>3800</v>
      </c>
      <c r="G591" t="s">
        <v>3801</v>
      </c>
      <c r="H591" t="s">
        <v>3801</v>
      </c>
      <c r="I591" t="s">
        <v>3802</v>
      </c>
      <c r="J591" t="s">
        <v>415</v>
      </c>
      <c r="K591" t="s">
        <v>3803</v>
      </c>
      <c r="L591" t="s">
        <v>3804</v>
      </c>
      <c r="M591" t="s">
        <v>272</v>
      </c>
    </row>
    <row r="592" spans="1:13" x14ac:dyDescent="0.15">
      <c r="A592" t="s">
        <v>3805</v>
      </c>
      <c r="B592" t="s">
        <v>14</v>
      </c>
      <c r="C592" t="s">
        <v>118</v>
      </c>
      <c r="D592" t="s">
        <v>3806</v>
      </c>
      <c r="E592" t="s">
        <v>3807</v>
      </c>
      <c r="F592" t="s">
        <v>3808</v>
      </c>
      <c r="G592" t="s">
        <v>3809</v>
      </c>
      <c r="H592" t="s">
        <v>3809</v>
      </c>
      <c r="I592" t="s">
        <v>2155</v>
      </c>
      <c r="J592" t="s">
        <v>230</v>
      </c>
      <c r="K592" t="s">
        <v>256</v>
      </c>
      <c r="L592" t="s">
        <v>2155</v>
      </c>
      <c r="M592" t="s">
        <v>41</v>
      </c>
    </row>
    <row r="593" spans="1:13" x14ac:dyDescent="0.15">
      <c r="A593" t="s">
        <v>3810</v>
      </c>
      <c r="B593" t="s">
        <v>14</v>
      </c>
      <c r="C593" t="s">
        <v>118</v>
      </c>
      <c r="D593" t="s">
        <v>3811</v>
      </c>
      <c r="E593" t="s">
        <v>3812</v>
      </c>
      <c r="F593" t="s">
        <v>3808</v>
      </c>
      <c r="G593" t="s">
        <v>3813</v>
      </c>
      <c r="H593" t="s">
        <v>3813</v>
      </c>
      <c r="I593" t="s">
        <v>2355</v>
      </c>
      <c r="J593" t="s">
        <v>415</v>
      </c>
      <c r="K593" t="s">
        <v>416</v>
      </c>
      <c r="L593" t="s">
        <v>3814</v>
      </c>
      <c r="M593" t="s">
        <v>290</v>
      </c>
    </row>
    <row r="594" spans="1:13" x14ac:dyDescent="0.15">
      <c r="A594" t="s">
        <v>3815</v>
      </c>
      <c r="B594" t="s">
        <v>14</v>
      </c>
      <c r="C594" t="s">
        <v>23</v>
      </c>
      <c r="D594" t="s">
        <v>3816</v>
      </c>
      <c r="E594" t="s">
        <v>3817</v>
      </c>
      <c r="F594" t="s">
        <v>3818</v>
      </c>
      <c r="G594" t="s">
        <v>3819</v>
      </c>
      <c r="H594" t="s">
        <v>3819</v>
      </c>
      <c r="I594" t="s">
        <v>3820</v>
      </c>
      <c r="J594" t="s">
        <v>124</v>
      </c>
      <c r="K594" t="s">
        <v>2043</v>
      </c>
      <c r="L594" t="s">
        <v>3821</v>
      </c>
      <c r="M594" t="s">
        <v>216</v>
      </c>
    </row>
    <row r="595" spans="1:13" x14ac:dyDescent="0.15">
      <c r="A595" t="s">
        <v>3822</v>
      </c>
      <c r="B595" t="s">
        <v>14</v>
      </c>
      <c r="C595" t="s">
        <v>23</v>
      </c>
      <c r="D595" t="s">
        <v>3823</v>
      </c>
      <c r="E595" t="s">
        <v>3824</v>
      </c>
      <c r="F595" t="s">
        <v>3825</v>
      </c>
      <c r="G595" t="s">
        <v>3819</v>
      </c>
      <c r="H595" t="s">
        <v>3819</v>
      </c>
      <c r="I595" t="s">
        <v>3820</v>
      </c>
      <c r="J595" t="s">
        <v>124</v>
      </c>
      <c r="K595" t="s">
        <v>1208</v>
      </c>
      <c r="L595" t="s">
        <v>2142</v>
      </c>
      <c r="M595" t="s">
        <v>216</v>
      </c>
    </row>
    <row r="596" spans="1:13" x14ac:dyDescent="0.15">
      <c r="A596" t="s">
        <v>3826</v>
      </c>
      <c r="B596" t="s">
        <v>14</v>
      </c>
      <c r="C596" t="s">
        <v>23</v>
      </c>
      <c r="D596" t="s">
        <v>3827</v>
      </c>
      <c r="E596" t="s">
        <v>3828</v>
      </c>
      <c r="F596" t="s">
        <v>3829</v>
      </c>
      <c r="G596" t="s">
        <v>3830</v>
      </c>
      <c r="H596" t="s">
        <v>3830</v>
      </c>
      <c r="I596" t="s">
        <v>3528</v>
      </c>
      <c r="J596" t="s">
        <v>124</v>
      </c>
      <c r="K596" t="s">
        <v>1281</v>
      </c>
      <c r="L596" t="s">
        <v>3831</v>
      </c>
      <c r="M596" t="s">
        <v>216</v>
      </c>
    </row>
    <row r="597" spans="1:13" x14ac:dyDescent="0.15">
      <c r="A597" t="s">
        <v>3832</v>
      </c>
      <c r="B597" t="s">
        <v>14</v>
      </c>
      <c r="C597" t="s">
        <v>118</v>
      </c>
      <c r="D597" t="s">
        <v>1738</v>
      </c>
      <c r="E597" t="s">
        <v>3833</v>
      </c>
      <c r="F597" t="s">
        <v>3834</v>
      </c>
      <c r="H597" t="s">
        <v>145</v>
      </c>
      <c r="I597" t="s">
        <v>3835</v>
      </c>
      <c r="J597" t="s">
        <v>344</v>
      </c>
      <c r="K597" t="s">
        <v>1743</v>
      </c>
      <c r="L597" t="s">
        <v>3835</v>
      </c>
      <c r="M597" t="s">
        <v>80</v>
      </c>
    </row>
    <row r="598" spans="1:13" x14ac:dyDescent="0.15">
      <c r="A598" t="s">
        <v>3836</v>
      </c>
      <c r="B598" t="s">
        <v>14</v>
      </c>
      <c r="C598" t="s">
        <v>194</v>
      </c>
      <c r="D598" t="s">
        <v>3837</v>
      </c>
      <c r="E598" t="s">
        <v>3838</v>
      </c>
      <c r="F598" t="s">
        <v>3839</v>
      </c>
      <c r="H598" t="s">
        <v>3840</v>
      </c>
      <c r="J598" t="s">
        <v>199</v>
      </c>
      <c r="M598" t="s">
        <v>139</v>
      </c>
    </row>
    <row r="599" spans="1:13" x14ac:dyDescent="0.15">
      <c r="A599" t="s">
        <v>3841</v>
      </c>
      <c r="B599" t="s">
        <v>14</v>
      </c>
      <c r="C599" t="s">
        <v>118</v>
      </c>
      <c r="D599" t="s">
        <v>3842</v>
      </c>
      <c r="E599" t="s">
        <v>3843</v>
      </c>
      <c r="F599" t="s">
        <v>3844</v>
      </c>
      <c r="G599" t="s">
        <v>3845</v>
      </c>
      <c r="H599" t="s">
        <v>3845</v>
      </c>
      <c r="I599" t="s">
        <v>3203</v>
      </c>
      <c r="J599" t="s">
        <v>206</v>
      </c>
      <c r="K599" t="s">
        <v>2598</v>
      </c>
      <c r="L599" t="s">
        <v>3203</v>
      </c>
      <c r="M599" t="s">
        <v>165</v>
      </c>
    </row>
    <row r="600" spans="1:13" x14ac:dyDescent="0.15">
      <c r="A600" t="s">
        <v>3846</v>
      </c>
      <c r="B600" t="s">
        <v>14</v>
      </c>
      <c r="C600" t="s">
        <v>118</v>
      </c>
      <c r="D600" t="s">
        <v>3847</v>
      </c>
      <c r="E600" t="s">
        <v>3848</v>
      </c>
      <c r="F600" t="s">
        <v>3849</v>
      </c>
      <c r="G600" t="s">
        <v>3850</v>
      </c>
      <c r="H600" t="s">
        <v>3850</v>
      </c>
      <c r="I600" t="s">
        <v>3851</v>
      </c>
      <c r="J600" t="s">
        <v>521</v>
      </c>
      <c r="K600" t="s">
        <v>256</v>
      </c>
      <c r="L600" t="s">
        <v>3851</v>
      </c>
      <c r="M600" t="s">
        <v>3852</v>
      </c>
    </row>
    <row r="601" spans="1:13" x14ac:dyDescent="0.15">
      <c r="A601" t="s">
        <v>3853</v>
      </c>
      <c r="B601" t="s">
        <v>14</v>
      </c>
      <c r="C601" t="s">
        <v>118</v>
      </c>
      <c r="D601" t="s">
        <v>3854</v>
      </c>
      <c r="E601" t="s">
        <v>3855</v>
      </c>
      <c r="F601" t="s">
        <v>3856</v>
      </c>
      <c r="G601" t="s">
        <v>3857</v>
      </c>
      <c r="H601" t="s">
        <v>3857</v>
      </c>
      <c r="I601" t="s">
        <v>3858</v>
      </c>
      <c r="J601" t="s">
        <v>230</v>
      </c>
      <c r="K601" t="s">
        <v>339</v>
      </c>
      <c r="L601" t="s">
        <v>3858</v>
      </c>
      <c r="M601" t="s">
        <v>174</v>
      </c>
    </row>
    <row r="602" spans="1:13" x14ac:dyDescent="0.15">
      <c r="A602" t="s">
        <v>3859</v>
      </c>
      <c r="B602" t="s">
        <v>14</v>
      </c>
      <c r="C602" t="s">
        <v>23</v>
      </c>
      <c r="D602" t="s">
        <v>3860</v>
      </c>
      <c r="E602" t="s">
        <v>3861</v>
      </c>
      <c r="F602" t="s">
        <v>3862</v>
      </c>
      <c r="G602" t="s">
        <v>3863</v>
      </c>
      <c r="H602" t="s">
        <v>3863</v>
      </c>
      <c r="I602" t="s">
        <v>3864</v>
      </c>
      <c r="J602" t="s">
        <v>230</v>
      </c>
      <c r="K602" t="s">
        <v>332</v>
      </c>
      <c r="L602" t="s">
        <v>3864</v>
      </c>
      <c r="M602" t="s">
        <v>104</v>
      </c>
    </row>
    <row r="603" spans="1:13" x14ac:dyDescent="0.15">
      <c r="A603" t="s">
        <v>3865</v>
      </c>
      <c r="B603" t="s">
        <v>14</v>
      </c>
      <c r="C603" t="s">
        <v>23</v>
      </c>
      <c r="D603" t="s">
        <v>3866</v>
      </c>
      <c r="E603" t="s">
        <v>3867</v>
      </c>
      <c r="F603" t="s">
        <v>3868</v>
      </c>
      <c r="G603" t="s">
        <v>3869</v>
      </c>
      <c r="H603" t="s">
        <v>3869</v>
      </c>
      <c r="I603" t="s">
        <v>3870</v>
      </c>
      <c r="J603" t="s">
        <v>400</v>
      </c>
      <c r="K603" t="s">
        <v>39</v>
      </c>
      <c r="L603" t="s">
        <v>3706</v>
      </c>
      <c r="M603" t="s">
        <v>104</v>
      </c>
    </row>
    <row r="604" spans="1:13" x14ac:dyDescent="0.15">
      <c r="A604" t="s">
        <v>3871</v>
      </c>
      <c r="B604" t="s">
        <v>14</v>
      </c>
      <c r="C604" t="s">
        <v>118</v>
      </c>
      <c r="D604" t="s">
        <v>3872</v>
      </c>
      <c r="E604" t="s">
        <v>3873</v>
      </c>
      <c r="F604" t="s">
        <v>3874</v>
      </c>
      <c r="G604" t="s">
        <v>3875</v>
      </c>
      <c r="H604" t="s">
        <v>3875</v>
      </c>
      <c r="I604" t="s">
        <v>1970</v>
      </c>
      <c r="J604" t="s">
        <v>230</v>
      </c>
      <c r="K604" t="s">
        <v>239</v>
      </c>
      <c r="L604" t="s">
        <v>1970</v>
      </c>
      <c r="M604" t="s">
        <v>482</v>
      </c>
    </row>
    <row r="605" spans="1:13" x14ac:dyDescent="0.15">
      <c r="A605" t="s">
        <v>3876</v>
      </c>
      <c r="B605" t="s">
        <v>14</v>
      </c>
      <c r="C605" t="s">
        <v>118</v>
      </c>
      <c r="D605" t="s">
        <v>3877</v>
      </c>
      <c r="E605" t="s">
        <v>3878</v>
      </c>
      <c r="F605" t="s">
        <v>3879</v>
      </c>
      <c r="G605" t="s">
        <v>3880</v>
      </c>
      <c r="H605" t="s">
        <v>3880</v>
      </c>
      <c r="I605" t="s">
        <v>3881</v>
      </c>
      <c r="J605" t="s">
        <v>1717</v>
      </c>
      <c r="K605" t="s">
        <v>1946</v>
      </c>
      <c r="L605" t="s">
        <v>3881</v>
      </c>
      <c r="M605" t="s">
        <v>41</v>
      </c>
    </row>
    <row r="606" spans="1:13" x14ac:dyDescent="0.15">
      <c r="A606" t="s">
        <v>3882</v>
      </c>
      <c r="B606" t="s">
        <v>14</v>
      </c>
      <c r="C606" t="s">
        <v>118</v>
      </c>
      <c r="D606" t="s">
        <v>3883</v>
      </c>
      <c r="E606" t="s">
        <v>3884</v>
      </c>
      <c r="F606" t="s">
        <v>3885</v>
      </c>
      <c r="H606" t="s">
        <v>3886</v>
      </c>
      <c r="I606" t="s">
        <v>145</v>
      </c>
      <c r="J606" t="s">
        <v>2181</v>
      </c>
      <c r="K606" t="s">
        <v>1672</v>
      </c>
      <c r="L606" t="s">
        <v>3887</v>
      </c>
      <c r="M606" t="s">
        <v>482</v>
      </c>
    </row>
    <row r="607" spans="1:13" x14ac:dyDescent="0.15">
      <c r="A607" t="s">
        <v>3888</v>
      </c>
      <c r="B607" t="s">
        <v>14</v>
      </c>
      <c r="C607" t="s">
        <v>23</v>
      </c>
      <c r="D607" t="s">
        <v>3889</v>
      </c>
      <c r="E607" t="s">
        <v>3890</v>
      </c>
      <c r="F607" t="s">
        <v>3891</v>
      </c>
      <c r="G607" t="s">
        <v>3892</v>
      </c>
      <c r="H607" t="s">
        <v>3892</v>
      </c>
      <c r="I607" t="s">
        <v>3893</v>
      </c>
      <c r="J607" t="s">
        <v>124</v>
      </c>
      <c r="K607" t="s">
        <v>1366</v>
      </c>
      <c r="L607" t="s">
        <v>2405</v>
      </c>
      <c r="M607" t="s">
        <v>482</v>
      </c>
    </row>
    <row r="608" spans="1:13" x14ac:dyDescent="0.15">
      <c r="A608" t="s">
        <v>3894</v>
      </c>
      <c r="B608" t="s">
        <v>14</v>
      </c>
      <c r="C608" t="s">
        <v>23</v>
      </c>
      <c r="D608" t="s">
        <v>3895</v>
      </c>
      <c r="E608" t="s">
        <v>3896</v>
      </c>
      <c r="F608" t="s">
        <v>3897</v>
      </c>
      <c r="G608" t="s">
        <v>3898</v>
      </c>
      <c r="H608" t="s">
        <v>3898</v>
      </c>
      <c r="I608" t="s">
        <v>3899</v>
      </c>
      <c r="J608" t="s">
        <v>124</v>
      </c>
      <c r="K608" t="s">
        <v>2043</v>
      </c>
      <c r="L608" t="s">
        <v>3900</v>
      </c>
      <c r="M608" t="s">
        <v>482</v>
      </c>
    </row>
    <row r="609" spans="1:13" x14ac:dyDescent="0.15">
      <c r="A609" t="s">
        <v>3901</v>
      </c>
      <c r="B609" t="s">
        <v>14</v>
      </c>
      <c r="C609" t="s">
        <v>118</v>
      </c>
      <c r="D609" t="s">
        <v>3902</v>
      </c>
      <c r="E609" t="s">
        <v>3903</v>
      </c>
      <c r="F609" t="s">
        <v>3904</v>
      </c>
      <c r="H609" t="s">
        <v>3905</v>
      </c>
      <c r="I609" t="s">
        <v>145</v>
      </c>
      <c r="J609" t="s">
        <v>2181</v>
      </c>
      <c r="K609" t="s">
        <v>247</v>
      </c>
      <c r="L609" t="s">
        <v>3906</v>
      </c>
      <c r="M609" t="s">
        <v>216</v>
      </c>
    </row>
    <row r="610" spans="1:13" x14ac:dyDescent="0.15">
      <c r="A610" t="s">
        <v>3907</v>
      </c>
      <c r="B610" t="s">
        <v>14</v>
      </c>
      <c r="C610" t="s">
        <v>23</v>
      </c>
      <c r="D610" t="s">
        <v>3908</v>
      </c>
      <c r="E610" t="s">
        <v>3909</v>
      </c>
      <c r="F610" t="s">
        <v>3910</v>
      </c>
      <c r="G610" t="s">
        <v>3911</v>
      </c>
      <c r="H610" t="s">
        <v>3911</v>
      </c>
      <c r="I610" t="s">
        <v>3912</v>
      </c>
      <c r="J610" t="s">
        <v>124</v>
      </c>
      <c r="K610" t="s">
        <v>1208</v>
      </c>
      <c r="L610" t="s">
        <v>3913</v>
      </c>
      <c r="M610" t="s">
        <v>482</v>
      </c>
    </row>
    <row r="611" spans="1:13" x14ac:dyDescent="0.15">
      <c r="A611" t="s">
        <v>3914</v>
      </c>
      <c r="B611" t="s">
        <v>14</v>
      </c>
      <c r="C611" t="s">
        <v>23</v>
      </c>
      <c r="D611" t="s">
        <v>3915</v>
      </c>
      <c r="E611" t="s">
        <v>3916</v>
      </c>
      <c r="F611" t="s">
        <v>3917</v>
      </c>
      <c r="G611" t="s">
        <v>3918</v>
      </c>
      <c r="H611" t="s">
        <v>3918</v>
      </c>
      <c r="I611" t="s">
        <v>3919</v>
      </c>
      <c r="J611" t="s">
        <v>124</v>
      </c>
      <c r="K611" t="s">
        <v>1882</v>
      </c>
      <c r="L611" t="s">
        <v>3920</v>
      </c>
      <c r="M611" t="s">
        <v>482</v>
      </c>
    </row>
    <row r="612" spans="1:13" x14ac:dyDescent="0.15">
      <c r="A612" t="s">
        <v>3921</v>
      </c>
      <c r="B612" t="s">
        <v>14</v>
      </c>
      <c r="C612" t="s">
        <v>23</v>
      </c>
      <c r="D612" t="s">
        <v>3922</v>
      </c>
      <c r="E612" t="s">
        <v>3923</v>
      </c>
      <c r="F612" t="s">
        <v>3924</v>
      </c>
      <c r="G612" t="s">
        <v>2243</v>
      </c>
      <c r="H612" t="s">
        <v>2243</v>
      </c>
      <c r="I612" t="s">
        <v>3925</v>
      </c>
      <c r="J612" t="s">
        <v>124</v>
      </c>
      <c r="K612" t="s">
        <v>723</v>
      </c>
      <c r="L612" t="s">
        <v>2447</v>
      </c>
      <c r="M612" t="s">
        <v>482</v>
      </c>
    </row>
    <row r="613" spans="1:13" x14ac:dyDescent="0.15">
      <c r="A613" t="s">
        <v>3926</v>
      </c>
      <c r="B613" t="s">
        <v>14</v>
      </c>
      <c r="C613" t="s">
        <v>23</v>
      </c>
      <c r="D613" t="s">
        <v>3927</v>
      </c>
      <c r="E613" t="s">
        <v>3928</v>
      </c>
      <c r="F613" t="s">
        <v>3929</v>
      </c>
      <c r="G613" t="s">
        <v>2243</v>
      </c>
      <c r="H613" t="s">
        <v>2243</v>
      </c>
      <c r="I613" t="s">
        <v>3925</v>
      </c>
      <c r="J613" t="s">
        <v>124</v>
      </c>
      <c r="K613" t="s">
        <v>1281</v>
      </c>
      <c r="L613" t="s">
        <v>3930</v>
      </c>
      <c r="M613" t="s">
        <v>482</v>
      </c>
    </row>
    <row r="614" spans="1:13" x14ac:dyDescent="0.15">
      <c r="A614" t="s">
        <v>3931</v>
      </c>
      <c r="B614" t="s">
        <v>14</v>
      </c>
      <c r="C614" t="s">
        <v>118</v>
      </c>
      <c r="D614" t="s">
        <v>3932</v>
      </c>
      <c r="E614" t="s">
        <v>3933</v>
      </c>
      <c r="F614" t="s">
        <v>3934</v>
      </c>
      <c r="G614" t="s">
        <v>3935</v>
      </c>
      <c r="H614" t="s">
        <v>3935</v>
      </c>
      <c r="I614" t="s">
        <v>3936</v>
      </c>
      <c r="J614" t="s">
        <v>124</v>
      </c>
      <c r="K614" t="s">
        <v>811</v>
      </c>
      <c r="L614" t="s">
        <v>3936</v>
      </c>
      <c r="M614" t="s">
        <v>2979</v>
      </c>
    </row>
    <row r="615" spans="1:13" x14ac:dyDescent="0.15">
      <c r="A615" t="s">
        <v>3937</v>
      </c>
      <c r="B615" t="s">
        <v>14</v>
      </c>
      <c r="C615" t="s">
        <v>23</v>
      </c>
      <c r="D615" t="s">
        <v>3938</v>
      </c>
      <c r="E615" t="s">
        <v>3939</v>
      </c>
      <c r="F615" t="s">
        <v>3940</v>
      </c>
      <c r="G615" t="s">
        <v>3941</v>
      </c>
      <c r="H615" t="s">
        <v>3941</v>
      </c>
      <c r="I615" t="s">
        <v>3942</v>
      </c>
      <c r="J615" t="s">
        <v>110</v>
      </c>
      <c r="K615" t="s">
        <v>1743</v>
      </c>
      <c r="L615" t="s">
        <v>3943</v>
      </c>
      <c r="M615" t="s">
        <v>3944</v>
      </c>
    </row>
    <row r="616" spans="1:13" x14ac:dyDescent="0.15">
      <c r="A616" t="s">
        <v>3945</v>
      </c>
      <c r="B616" t="s">
        <v>14</v>
      </c>
      <c r="C616" t="s">
        <v>23</v>
      </c>
      <c r="D616" t="s">
        <v>3946</v>
      </c>
      <c r="E616" t="s">
        <v>3947</v>
      </c>
      <c r="F616" t="s">
        <v>3948</v>
      </c>
      <c r="G616" t="s">
        <v>3949</v>
      </c>
      <c r="H616" t="s">
        <v>3949</v>
      </c>
      <c r="I616" t="s">
        <v>3426</v>
      </c>
      <c r="J616" t="s">
        <v>415</v>
      </c>
      <c r="K616" t="s">
        <v>190</v>
      </c>
      <c r="L616" t="s">
        <v>3426</v>
      </c>
      <c r="M616" t="s">
        <v>104</v>
      </c>
    </row>
    <row r="617" spans="1:13" x14ac:dyDescent="0.15">
      <c r="A617" t="s">
        <v>3950</v>
      </c>
      <c r="B617" t="s">
        <v>14</v>
      </c>
      <c r="C617" t="s">
        <v>118</v>
      </c>
      <c r="D617" t="s">
        <v>3951</v>
      </c>
      <c r="E617" t="s">
        <v>3952</v>
      </c>
      <c r="F617" t="s">
        <v>3953</v>
      </c>
      <c r="G617" t="s">
        <v>3954</v>
      </c>
      <c r="H617" t="s">
        <v>3954</v>
      </c>
      <c r="I617" t="s">
        <v>3955</v>
      </c>
      <c r="J617" t="s">
        <v>214</v>
      </c>
      <c r="K617" t="s">
        <v>190</v>
      </c>
      <c r="L617" t="s">
        <v>3955</v>
      </c>
      <c r="M617" t="s">
        <v>104</v>
      </c>
    </row>
    <row r="618" spans="1:13" x14ac:dyDescent="0.15">
      <c r="A618" t="s">
        <v>3956</v>
      </c>
      <c r="B618" t="s">
        <v>14</v>
      </c>
      <c r="C618" t="s">
        <v>118</v>
      </c>
      <c r="D618" t="s">
        <v>3957</v>
      </c>
      <c r="E618" t="s">
        <v>3958</v>
      </c>
      <c r="F618" t="s">
        <v>3959</v>
      </c>
      <c r="G618" t="s">
        <v>3960</v>
      </c>
      <c r="H618" t="s">
        <v>3960</v>
      </c>
      <c r="I618" t="s">
        <v>3961</v>
      </c>
      <c r="J618" t="s">
        <v>214</v>
      </c>
      <c r="K618" t="s">
        <v>832</v>
      </c>
      <c r="L618" t="s">
        <v>3961</v>
      </c>
      <c r="M618" t="s">
        <v>174</v>
      </c>
    </row>
    <row r="619" spans="1:13" x14ac:dyDescent="0.15">
      <c r="A619" t="s">
        <v>3962</v>
      </c>
      <c r="B619" t="s">
        <v>14</v>
      </c>
      <c r="C619" t="s">
        <v>118</v>
      </c>
      <c r="D619" t="s">
        <v>3963</v>
      </c>
      <c r="E619" t="s">
        <v>3964</v>
      </c>
      <c r="F619" t="s">
        <v>3965</v>
      </c>
      <c r="G619" t="s">
        <v>3966</v>
      </c>
      <c r="H619" t="s">
        <v>3966</v>
      </c>
      <c r="I619" t="s">
        <v>1944</v>
      </c>
      <c r="J619" t="s">
        <v>214</v>
      </c>
      <c r="K619" t="s">
        <v>1295</v>
      </c>
      <c r="L619" t="s">
        <v>1944</v>
      </c>
      <c r="M619" t="s">
        <v>126</v>
      </c>
    </row>
    <row r="620" spans="1:13" x14ac:dyDescent="0.15">
      <c r="A620" t="s">
        <v>3967</v>
      </c>
      <c r="B620" t="s">
        <v>14</v>
      </c>
      <c r="C620" t="s">
        <v>118</v>
      </c>
      <c r="D620" t="s">
        <v>3968</v>
      </c>
      <c r="E620" t="s">
        <v>3969</v>
      </c>
      <c r="F620" t="s">
        <v>3970</v>
      </c>
      <c r="G620" t="s">
        <v>3971</v>
      </c>
      <c r="H620" t="s">
        <v>3971</v>
      </c>
      <c r="I620" t="s">
        <v>3972</v>
      </c>
      <c r="J620" t="s">
        <v>255</v>
      </c>
      <c r="K620" t="s">
        <v>190</v>
      </c>
      <c r="L620" t="s">
        <v>3972</v>
      </c>
      <c r="M620" t="s">
        <v>104</v>
      </c>
    </row>
    <row r="621" spans="1:13" x14ac:dyDescent="0.15">
      <c r="A621" t="s">
        <v>3973</v>
      </c>
      <c r="B621" t="s">
        <v>14</v>
      </c>
      <c r="C621" t="s">
        <v>118</v>
      </c>
      <c r="D621" t="s">
        <v>3974</v>
      </c>
      <c r="E621" t="s">
        <v>3975</v>
      </c>
      <c r="F621" t="s">
        <v>3976</v>
      </c>
      <c r="G621" t="s">
        <v>3977</v>
      </c>
      <c r="H621" t="s">
        <v>3977</v>
      </c>
      <c r="I621" t="s">
        <v>2077</v>
      </c>
      <c r="J621" t="s">
        <v>352</v>
      </c>
      <c r="K621" t="s">
        <v>1030</v>
      </c>
      <c r="L621" t="s">
        <v>2077</v>
      </c>
      <c r="M621" t="s">
        <v>248</v>
      </c>
    </row>
    <row r="622" spans="1:13" x14ac:dyDescent="0.15">
      <c r="A622" t="s">
        <v>3978</v>
      </c>
      <c r="B622" t="s">
        <v>14</v>
      </c>
      <c r="C622" t="s">
        <v>118</v>
      </c>
      <c r="D622" t="s">
        <v>3979</v>
      </c>
      <c r="E622" t="s">
        <v>3980</v>
      </c>
      <c r="F622" t="s">
        <v>3981</v>
      </c>
      <c r="G622" t="s">
        <v>3982</v>
      </c>
      <c r="H622" t="s">
        <v>3982</v>
      </c>
      <c r="I622" t="s">
        <v>3983</v>
      </c>
      <c r="J622" t="s">
        <v>352</v>
      </c>
      <c r="K622" t="s">
        <v>190</v>
      </c>
      <c r="L622" t="s">
        <v>3983</v>
      </c>
      <c r="M622" t="s">
        <v>31</v>
      </c>
    </row>
    <row r="623" spans="1:13" x14ac:dyDescent="0.15">
      <c r="A623" t="s">
        <v>3984</v>
      </c>
      <c r="B623" t="s">
        <v>14</v>
      </c>
      <c r="C623" t="s">
        <v>118</v>
      </c>
      <c r="D623" t="s">
        <v>3985</v>
      </c>
      <c r="E623" t="s">
        <v>3986</v>
      </c>
      <c r="F623" t="s">
        <v>3987</v>
      </c>
      <c r="G623" t="s">
        <v>3988</v>
      </c>
      <c r="H623" t="s">
        <v>3988</v>
      </c>
      <c r="I623" t="s">
        <v>3989</v>
      </c>
      <c r="J623" t="s">
        <v>352</v>
      </c>
      <c r="K623" t="s">
        <v>173</v>
      </c>
      <c r="L623" t="s">
        <v>3989</v>
      </c>
      <c r="M623" t="s">
        <v>31</v>
      </c>
    </row>
    <row r="624" spans="1:13" x14ac:dyDescent="0.15">
      <c r="A624" t="s">
        <v>3990</v>
      </c>
      <c r="B624" t="s">
        <v>14</v>
      </c>
      <c r="C624" t="s">
        <v>118</v>
      </c>
      <c r="D624" t="s">
        <v>3991</v>
      </c>
      <c r="E624" t="s">
        <v>3992</v>
      </c>
      <c r="F624" t="s">
        <v>3993</v>
      </c>
      <c r="G624" t="s">
        <v>3994</v>
      </c>
      <c r="H624" t="s">
        <v>3994</v>
      </c>
      <c r="I624" t="s">
        <v>3995</v>
      </c>
      <c r="J624" t="s">
        <v>255</v>
      </c>
      <c r="K624" t="s">
        <v>540</v>
      </c>
      <c r="L624" t="s">
        <v>3995</v>
      </c>
      <c r="M624" t="s">
        <v>21</v>
      </c>
    </row>
    <row r="625" spans="1:13" x14ac:dyDescent="0.15">
      <c r="A625" t="s">
        <v>3996</v>
      </c>
      <c r="B625" t="s">
        <v>14</v>
      </c>
      <c r="C625" t="s">
        <v>23</v>
      </c>
      <c r="D625" t="s">
        <v>3997</v>
      </c>
      <c r="E625" t="s">
        <v>3998</v>
      </c>
      <c r="F625" t="s">
        <v>3999</v>
      </c>
      <c r="G625" t="s">
        <v>4000</v>
      </c>
      <c r="H625" t="s">
        <v>4000</v>
      </c>
      <c r="I625" t="s">
        <v>4001</v>
      </c>
      <c r="J625" t="s">
        <v>206</v>
      </c>
      <c r="K625" t="s">
        <v>554</v>
      </c>
      <c r="L625" t="s">
        <v>4001</v>
      </c>
      <c r="M625" t="s">
        <v>41</v>
      </c>
    </row>
    <row r="626" spans="1:13" x14ac:dyDescent="0.15">
      <c r="A626" t="s">
        <v>4002</v>
      </c>
      <c r="B626" t="s">
        <v>14</v>
      </c>
      <c r="C626" t="s">
        <v>118</v>
      </c>
      <c r="D626" t="s">
        <v>4003</v>
      </c>
      <c r="E626" t="s">
        <v>4004</v>
      </c>
      <c r="F626" t="s">
        <v>4005</v>
      </c>
      <c r="G626" t="s">
        <v>4006</v>
      </c>
      <c r="H626" t="s">
        <v>4006</v>
      </c>
      <c r="I626" t="s">
        <v>4007</v>
      </c>
      <c r="J626" t="s">
        <v>156</v>
      </c>
      <c r="K626" t="s">
        <v>608</v>
      </c>
      <c r="L626" t="s">
        <v>4007</v>
      </c>
      <c r="M626" t="s">
        <v>174</v>
      </c>
    </row>
    <row r="627" spans="1:13" x14ac:dyDescent="0.15">
      <c r="A627" t="s">
        <v>4008</v>
      </c>
      <c r="B627" t="s">
        <v>14</v>
      </c>
      <c r="C627" t="s">
        <v>118</v>
      </c>
      <c r="D627" t="s">
        <v>4009</v>
      </c>
      <c r="E627" t="s">
        <v>4010</v>
      </c>
      <c r="F627" t="s">
        <v>4011</v>
      </c>
      <c r="G627" t="s">
        <v>4012</v>
      </c>
      <c r="H627" t="s">
        <v>4012</v>
      </c>
      <c r="I627" t="s">
        <v>4013</v>
      </c>
      <c r="J627" t="s">
        <v>206</v>
      </c>
      <c r="K627" t="s">
        <v>2030</v>
      </c>
      <c r="L627" t="s">
        <v>4013</v>
      </c>
      <c r="M627" t="s">
        <v>1015</v>
      </c>
    </row>
    <row r="628" spans="1:13" x14ac:dyDescent="0.15">
      <c r="A628" t="s">
        <v>4014</v>
      </c>
      <c r="B628" t="s">
        <v>14</v>
      </c>
      <c r="C628" t="s">
        <v>23</v>
      </c>
      <c r="D628" t="s">
        <v>4015</v>
      </c>
      <c r="E628" t="s">
        <v>4016</v>
      </c>
      <c r="F628" t="s">
        <v>4017</v>
      </c>
      <c r="G628" t="s">
        <v>4018</v>
      </c>
      <c r="H628" t="s">
        <v>4018</v>
      </c>
      <c r="I628" t="s">
        <v>4019</v>
      </c>
      <c r="J628" t="s">
        <v>138</v>
      </c>
      <c r="K628" t="s">
        <v>1541</v>
      </c>
      <c r="L628" t="s">
        <v>4019</v>
      </c>
      <c r="M628" t="s">
        <v>104</v>
      </c>
    </row>
    <row r="629" spans="1:13" x14ac:dyDescent="0.15">
      <c r="A629" t="s">
        <v>4020</v>
      </c>
      <c r="B629" t="s">
        <v>14</v>
      </c>
      <c r="C629" t="s">
        <v>23</v>
      </c>
      <c r="D629" t="s">
        <v>4021</v>
      </c>
      <c r="E629" t="s">
        <v>4022</v>
      </c>
      <c r="F629" t="s">
        <v>4023</v>
      </c>
      <c r="G629" t="s">
        <v>4024</v>
      </c>
      <c r="H629" t="s">
        <v>4024</v>
      </c>
      <c r="I629" t="s">
        <v>4025</v>
      </c>
      <c r="J629" t="s">
        <v>138</v>
      </c>
      <c r="K629" t="s">
        <v>4026</v>
      </c>
      <c r="L629" t="s">
        <v>4027</v>
      </c>
      <c r="M629" t="s">
        <v>41</v>
      </c>
    </row>
    <row r="630" spans="1:13" x14ac:dyDescent="0.15">
      <c r="A630" t="s">
        <v>4028</v>
      </c>
      <c r="B630" t="s">
        <v>14</v>
      </c>
      <c r="C630" t="s">
        <v>118</v>
      </c>
      <c r="D630" t="s">
        <v>4029</v>
      </c>
      <c r="E630" t="s">
        <v>4030</v>
      </c>
      <c r="F630" t="s">
        <v>4031</v>
      </c>
      <c r="G630" t="s">
        <v>4032</v>
      </c>
      <c r="H630" t="s">
        <v>4032</v>
      </c>
      <c r="I630" t="s">
        <v>4033</v>
      </c>
      <c r="J630" t="s">
        <v>473</v>
      </c>
      <c r="K630" t="s">
        <v>4034</v>
      </c>
      <c r="L630" t="s">
        <v>4033</v>
      </c>
      <c r="M630" t="s">
        <v>4035</v>
      </c>
    </row>
    <row r="631" spans="1:13" x14ac:dyDescent="0.15">
      <c r="A631" t="s">
        <v>4036</v>
      </c>
      <c r="B631" t="s">
        <v>14</v>
      </c>
      <c r="C631" t="s">
        <v>118</v>
      </c>
      <c r="D631" t="s">
        <v>4037</v>
      </c>
      <c r="E631" t="s">
        <v>4038</v>
      </c>
      <c r="F631" t="s">
        <v>4039</v>
      </c>
      <c r="G631" t="s">
        <v>4040</v>
      </c>
      <c r="H631" t="s">
        <v>4040</v>
      </c>
      <c r="I631" t="s">
        <v>4041</v>
      </c>
      <c r="J631" t="s">
        <v>1717</v>
      </c>
      <c r="K631" t="s">
        <v>4042</v>
      </c>
      <c r="L631" t="s">
        <v>4041</v>
      </c>
      <c r="M631" t="s">
        <v>432</v>
      </c>
    </row>
    <row r="632" spans="1:13" x14ac:dyDescent="0.15">
      <c r="A632" t="s">
        <v>4043</v>
      </c>
      <c r="B632" t="s">
        <v>14</v>
      </c>
      <c r="C632" t="s">
        <v>23</v>
      </c>
      <c r="D632" t="s">
        <v>4044</v>
      </c>
      <c r="E632" t="s">
        <v>4045</v>
      </c>
      <c r="F632" t="s">
        <v>4046</v>
      </c>
      <c r="G632" t="s">
        <v>4047</v>
      </c>
      <c r="H632" t="s">
        <v>4047</v>
      </c>
      <c r="I632" t="s">
        <v>4048</v>
      </c>
      <c r="J632" t="s">
        <v>4049</v>
      </c>
      <c r="K632" t="s">
        <v>4050</v>
      </c>
      <c r="L632" t="s">
        <v>149</v>
      </c>
      <c r="M632" t="s">
        <v>41</v>
      </c>
    </row>
    <row r="633" spans="1:13" x14ac:dyDescent="0.15">
      <c r="A633" t="s">
        <v>4051</v>
      </c>
      <c r="B633" t="s">
        <v>14</v>
      </c>
      <c r="C633" t="s">
        <v>118</v>
      </c>
      <c r="D633" t="s">
        <v>4052</v>
      </c>
      <c r="E633" t="s">
        <v>4053</v>
      </c>
      <c r="F633" t="s">
        <v>4054</v>
      </c>
      <c r="G633" t="s">
        <v>4055</v>
      </c>
      <c r="H633" t="s">
        <v>4055</v>
      </c>
      <c r="I633" t="s">
        <v>4056</v>
      </c>
      <c r="J633" t="s">
        <v>400</v>
      </c>
      <c r="K633" t="s">
        <v>48</v>
      </c>
      <c r="L633" t="s">
        <v>4056</v>
      </c>
      <c r="M633" t="s">
        <v>432</v>
      </c>
    </row>
    <row r="634" spans="1:13" x14ac:dyDescent="0.15">
      <c r="A634" t="s">
        <v>4057</v>
      </c>
      <c r="B634" t="s">
        <v>14</v>
      </c>
      <c r="C634" t="s">
        <v>118</v>
      </c>
      <c r="D634" t="s">
        <v>4058</v>
      </c>
      <c r="E634" t="s">
        <v>4059</v>
      </c>
      <c r="F634" t="s">
        <v>4060</v>
      </c>
      <c r="G634" t="s">
        <v>4061</v>
      </c>
      <c r="H634" t="s">
        <v>4061</v>
      </c>
      <c r="I634" t="s">
        <v>4062</v>
      </c>
      <c r="J634" t="s">
        <v>400</v>
      </c>
      <c r="K634" t="s">
        <v>4050</v>
      </c>
      <c r="L634" t="s">
        <v>4063</v>
      </c>
      <c r="M634" t="s">
        <v>432</v>
      </c>
    </row>
    <row r="635" spans="1:13" x14ac:dyDescent="0.15">
      <c r="A635" t="s">
        <v>4064</v>
      </c>
      <c r="B635" t="s">
        <v>14</v>
      </c>
      <c r="C635" t="s">
        <v>23</v>
      </c>
      <c r="D635" t="s">
        <v>4065</v>
      </c>
      <c r="E635" t="s">
        <v>4066</v>
      </c>
      <c r="F635" t="s">
        <v>4067</v>
      </c>
      <c r="G635" t="s">
        <v>4068</v>
      </c>
      <c r="H635" t="s">
        <v>4068</v>
      </c>
      <c r="I635" t="s">
        <v>4069</v>
      </c>
      <c r="J635" t="s">
        <v>124</v>
      </c>
      <c r="K635" t="s">
        <v>1030</v>
      </c>
      <c r="L635" t="s">
        <v>4069</v>
      </c>
      <c r="M635" t="s">
        <v>41</v>
      </c>
    </row>
    <row r="636" spans="1:13" x14ac:dyDescent="0.15">
      <c r="A636" t="s">
        <v>4070</v>
      </c>
      <c r="B636" t="s">
        <v>14</v>
      </c>
      <c r="C636" t="s">
        <v>23</v>
      </c>
      <c r="D636" t="s">
        <v>4071</v>
      </c>
      <c r="E636" t="s">
        <v>4072</v>
      </c>
      <c r="F636" t="s">
        <v>4073</v>
      </c>
      <c r="H636" t="s">
        <v>4074</v>
      </c>
      <c r="I636" t="s">
        <v>4075</v>
      </c>
      <c r="J636" t="s">
        <v>230</v>
      </c>
      <c r="K636" t="s">
        <v>2030</v>
      </c>
      <c r="L636" t="s">
        <v>4075</v>
      </c>
      <c r="M636" t="s">
        <v>216</v>
      </c>
    </row>
    <row r="637" spans="1:13" x14ac:dyDescent="0.15">
      <c r="A637" t="s">
        <v>4076</v>
      </c>
      <c r="B637" t="s">
        <v>14</v>
      </c>
      <c r="C637" t="s">
        <v>23</v>
      </c>
      <c r="D637" t="s">
        <v>4077</v>
      </c>
      <c r="E637" t="s">
        <v>4078</v>
      </c>
      <c r="F637" t="s">
        <v>4079</v>
      </c>
      <c r="G637" t="s">
        <v>4080</v>
      </c>
      <c r="H637" t="s">
        <v>4080</v>
      </c>
      <c r="I637" t="s">
        <v>4081</v>
      </c>
      <c r="J637" t="s">
        <v>521</v>
      </c>
      <c r="K637" t="s">
        <v>215</v>
      </c>
      <c r="L637" t="s">
        <v>4081</v>
      </c>
      <c r="M637" t="s">
        <v>80</v>
      </c>
    </row>
    <row r="638" spans="1:13" x14ac:dyDescent="0.15">
      <c r="A638" t="s">
        <v>4082</v>
      </c>
      <c r="B638" t="s">
        <v>14</v>
      </c>
      <c r="C638" t="s">
        <v>23</v>
      </c>
      <c r="D638" t="s">
        <v>4083</v>
      </c>
      <c r="E638" t="s">
        <v>4084</v>
      </c>
      <c r="F638" t="s">
        <v>4085</v>
      </c>
      <c r="G638" t="s">
        <v>4063</v>
      </c>
      <c r="H638" t="s">
        <v>4063</v>
      </c>
      <c r="I638" t="s">
        <v>4086</v>
      </c>
      <c r="J638" t="s">
        <v>156</v>
      </c>
      <c r="K638" t="s">
        <v>1321</v>
      </c>
      <c r="L638" t="s">
        <v>4086</v>
      </c>
      <c r="M638" t="s">
        <v>104</v>
      </c>
    </row>
    <row r="639" spans="1:13" x14ac:dyDescent="0.15">
      <c r="A639" t="s">
        <v>4087</v>
      </c>
      <c r="B639" t="s">
        <v>14</v>
      </c>
      <c r="C639" t="s">
        <v>23</v>
      </c>
      <c r="D639" t="s">
        <v>4088</v>
      </c>
      <c r="E639" t="s">
        <v>4089</v>
      </c>
      <c r="F639" t="s">
        <v>4090</v>
      </c>
      <c r="G639" t="s">
        <v>4091</v>
      </c>
      <c r="H639" t="s">
        <v>4091</v>
      </c>
      <c r="I639" t="s">
        <v>4092</v>
      </c>
      <c r="J639" t="s">
        <v>29</v>
      </c>
      <c r="K639" t="s">
        <v>1757</v>
      </c>
      <c r="L639" t="s">
        <v>4093</v>
      </c>
      <c r="M639" t="s">
        <v>104</v>
      </c>
    </row>
    <row r="640" spans="1:13" x14ac:dyDescent="0.15">
      <c r="A640" t="s">
        <v>4094</v>
      </c>
      <c r="B640" t="s">
        <v>14</v>
      </c>
      <c r="C640" t="s">
        <v>23</v>
      </c>
      <c r="D640" t="s">
        <v>4095</v>
      </c>
      <c r="E640" t="s">
        <v>4096</v>
      </c>
      <c r="F640" t="s">
        <v>4097</v>
      </c>
      <c r="G640" t="s">
        <v>4098</v>
      </c>
      <c r="H640" t="s">
        <v>4098</v>
      </c>
      <c r="I640" t="s">
        <v>4099</v>
      </c>
      <c r="J640" t="s">
        <v>29</v>
      </c>
      <c r="K640" t="s">
        <v>2030</v>
      </c>
      <c r="L640" t="s">
        <v>4099</v>
      </c>
      <c r="M640" t="s">
        <v>104</v>
      </c>
    </row>
    <row r="641" spans="1:13" x14ac:dyDescent="0.15">
      <c r="A641" t="s">
        <v>4100</v>
      </c>
      <c r="B641" t="s">
        <v>14</v>
      </c>
      <c r="C641" t="s">
        <v>118</v>
      </c>
      <c r="D641" t="s">
        <v>4101</v>
      </c>
      <c r="E641" t="s">
        <v>4102</v>
      </c>
      <c r="F641" t="s">
        <v>4103</v>
      </c>
      <c r="G641" t="s">
        <v>4104</v>
      </c>
      <c r="H641" t="s">
        <v>4104</v>
      </c>
      <c r="I641" t="s">
        <v>4105</v>
      </c>
      <c r="J641" t="s">
        <v>138</v>
      </c>
      <c r="K641" t="s">
        <v>4106</v>
      </c>
      <c r="L641" t="s">
        <v>4105</v>
      </c>
      <c r="M641" t="s">
        <v>773</v>
      </c>
    </row>
    <row r="642" spans="1:13" x14ac:dyDescent="0.15">
      <c r="A642" t="s">
        <v>4107</v>
      </c>
      <c r="B642" t="s">
        <v>14</v>
      </c>
      <c r="C642" t="s">
        <v>118</v>
      </c>
      <c r="D642" t="s">
        <v>4108</v>
      </c>
      <c r="E642" t="s">
        <v>4109</v>
      </c>
      <c r="F642" t="s">
        <v>4110</v>
      </c>
      <c r="G642" t="s">
        <v>4111</v>
      </c>
      <c r="H642" t="s">
        <v>4111</v>
      </c>
      <c r="I642" t="s">
        <v>4112</v>
      </c>
      <c r="J642" t="s">
        <v>206</v>
      </c>
      <c r="K642" t="s">
        <v>1125</v>
      </c>
      <c r="L642" t="s">
        <v>4112</v>
      </c>
      <c r="M642" t="s">
        <v>165</v>
      </c>
    </row>
    <row r="643" spans="1:13" x14ac:dyDescent="0.15">
      <c r="A643" t="s">
        <v>4113</v>
      </c>
      <c r="B643" t="s">
        <v>14</v>
      </c>
      <c r="C643" t="s">
        <v>118</v>
      </c>
      <c r="D643" t="s">
        <v>4114</v>
      </c>
      <c r="E643" t="s">
        <v>4115</v>
      </c>
      <c r="F643" t="s">
        <v>4110</v>
      </c>
      <c r="G643" t="s">
        <v>4116</v>
      </c>
      <c r="H643" t="s">
        <v>4116</v>
      </c>
      <c r="I643" t="s">
        <v>4117</v>
      </c>
      <c r="J643" t="s">
        <v>138</v>
      </c>
      <c r="K643" t="s">
        <v>173</v>
      </c>
      <c r="L643" t="s">
        <v>4117</v>
      </c>
      <c r="M643" t="s">
        <v>773</v>
      </c>
    </row>
    <row r="644" spans="1:13" x14ac:dyDescent="0.15">
      <c r="A644" t="s">
        <v>4118</v>
      </c>
      <c r="B644" t="s">
        <v>14</v>
      </c>
      <c r="C644" t="s">
        <v>23</v>
      </c>
      <c r="D644" t="s">
        <v>4119</v>
      </c>
      <c r="E644" t="s">
        <v>4120</v>
      </c>
      <c r="F644" t="s">
        <v>4121</v>
      </c>
      <c r="G644" t="s">
        <v>4122</v>
      </c>
      <c r="H644" t="s">
        <v>4122</v>
      </c>
      <c r="I644" t="s">
        <v>4123</v>
      </c>
      <c r="J644" t="s">
        <v>352</v>
      </c>
      <c r="K644" t="s">
        <v>567</v>
      </c>
      <c r="L644" t="s">
        <v>4123</v>
      </c>
      <c r="M644" t="s">
        <v>104</v>
      </c>
    </row>
    <row r="645" spans="1:13" x14ac:dyDescent="0.15">
      <c r="A645" t="s">
        <v>4124</v>
      </c>
      <c r="B645" t="s">
        <v>14</v>
      </c>
      <c r="C645" t="s">
        <v>118</v>
      </c>
      <c r="D645" t="s">
        <v>4125</v>
      </c>
      <c r="E645" t="s">
        <v>4126</v>
      </c>
      <c r="F645" t="s">
        <v>4127</v>
      </c>
      <c r="G645" t="s">
        <v>3461</v>
      </c>
      <c r="H645" t="s">
        <v>3461</v>
      </c>
      <c r="I645" t="s">
        <v>4128</v>
      </c>
      <c r="J645" t="s">
        <v>206</v>
      </c>
      <c r="K645" t="s">
        <v>4042</v>
      </c>
      <c r="L645" t="s">
        <v>4128</v>
      </c>
      <c r="M645" t="s">
        <v>3238</v>
      </c>
    </row>
    <row r="646" spans="1:13" x14ac:dyDescent="0.15">
      <c r="A646" t="s">
        <v>4129</v>
      </c>
      <c r="B646" t="s">
        <v>14</v>
      </c>
      <c r="C646" t="s">
        <v>118</v>
      </c>
      <c r="D646" t="s">
        <v>4130</v>
      </c>
      <c r="E646" t="s">
        <v>4131</v>
      </c>
      <c r="F646" t="s">
        <v>4132</v>
      </c>
      <c r="G646" t="s">
        <v>4133</v>
      </c>
      <c r="H646" t="s">
        <v>4133</v>
      </c>
      <c r="I646" t="s">
        <v>3473</v>
      </c>
      <c r="J646" t="s">
        <v>206</v>
      </c>
      <c r="K646" t="s">
        <v>339</v>
      </c>
      <c r="L646" t="s">
        <v>3473</v>
      </c>
      <c r="M646" t="s">
        <v>3225</v>
      </c>
    </row>
    <row r="647" spans="1:13" x14ac:dyDescent="0.15">
      <c r="A647" t="s">
        <v>4134</v>
      </c>
      <c r="B647" t="s">
        <v>14</v>
      </c>
      <c r="C647" t="s">
        <v>23</v>
      </c>
      <c r="D647" t="s">
        <v>4135</v>
      </c>
      <c r="E647" t="s">
        <v>4136</v>
      </c>
      <c r="F647" t="s">
        <v>4137</v>
      </c>
      <c r="G647" t="s">
        <v>4138</v>
      </c>
      <c r="H647" t="s">
        <v>4138</v>
      </c>
      <c r="I647" t="s">
        <v>4139</v>
      </c>
      <c r="J647" t="s">
        <v>95</v>
      </c>
      <c r="K647" t="s">
        <v>72</v>
      </c>
      <c r="L647" t="s">
        <v>4140</v>
      </c>
      <c r="M647" t="s">
        <v>104</v>
      </c>
    </row>
    <row r="648" spans="1:13" x14ac:dyDescent="0.15">
      <c r="A648" t="s">
        <v>4141</v>
      </c>
      <c r="B648" t="s">
        <v>14</v>
      </c>
      <c r="C648" t="s">
        <v>118</v>
      </c>
      <c r="D648" t="s">
        <v>4142</v>
      </c>
      <c r="E648" t="s">
        <v>4143</v>
      </c>
      <c r="F648" t="s">
        <v>4144</v>
      </c>
      <c r="G648" t="s">
        <v>4145</v>
      </c>
      <c r="H648" t="s">
        <v>4145</v>
      </c>
      <c r="I648" t="s">
        <v>4146</v>
      </c>
      <c r="J648" t="s">
        <v>297</v>
      </c>
      <c r="K648" t="s">
        <v>2499</v>
      </c>
      <c r="L648" t="s">
        <v>4146</v>
      </c>
      <c r="M648" t="s">
        <v>1385</v>
      </c>
    </row>
    <row r="649" spans="1:13" x14ac:dyDescent="0.15">
      <c r="A649" t="s">
        <v>4147</v>
      </c>
      <c r="B649" t="s">
        <v>14</v>
      </c>
      <c r="C649" t="s">
        <v>118</v>
      </c>
      <c r="D649" t="s">
        <v>4148</v>
      </c>
      <c r="E649" t="s">
        <v>4149</v>
      </c>
      <c r="F649" t="s">
        <v>4150</v>
      </c>
      <c r="G649" t="s">
        <v>4151</v>
      </c>
      <c r="H649" t="s">
        <v>4151</v>
      </c>
      <c r="I649" t="s">
        <v>4152</v>
      </c>
      <c r="J649" t="s">
        <v>1717</v>
      </c>
      <c r="K649" t="s">
        <v>1139</v>
      </c>
      <c r="L649" t="s">
        <v>4152</v>
      </c>
      <c r="M649" t="s">
        <v>165</v>
      </c>
    </row>
    <row r="650" spans="1:13" x14ac:dyDescent="0.15">
      <c r="A650" t="s">
        <v>4153</v>
      </c>
      <c r="B650" t="s">
        <v>14</v>
      </c>
      <c r="C650" t="s">
        <v>23</v>
      </c>
      <c r="D650" t="s">
        <v>4154</v>
      </c>
      <c r="E650" t="s">
        <v>4155</v>
      </c>
      <c r="F650" t="s">
        <v>4156</v>
      </c>
      <c r="G650" t="s">
        <v>4157</v>
      </c>
      <c r="H650" t="s">
        <v>4157</v>
      </c>
      <c r="I650" t="s">
        <v>65</v>
      </c>
      <c r="J650" t="s">
        <v>1423</v>
      </c>
      <c r="K650" t="s">
        <v>4158</v>
      </c>
      <c r="L650" t="s">
        <v>4159</v>
      </c>
      <c r="M650" t="s">
        <v>104</v>
      </c>
    </row>
    <row r="651" spans="1:13" x14ac:dyDescent="0.15">
      <c r="A651" t="s">
        <v>4160</v>
      </c>
      <c r="B651" t="s">
        <v>14</v>
      </c>
      <c r="C651" t="s">
        <v>23</v>
      </c>
      <c r="D651" t="s">
        <v>4161</v>
      </c>
      <c r="E651" t="s">
        <v>4162</v>
      </c>
      <c r="F651" t="s">
        <v>4163</v>
      </c>
      <c r="G651" t="s">
        <v>4164</v>
      </c>
      <c r="H651" t="s">
        <v>4164</v>
      </c>
      <c r="I651" t="s">
        <v>4165</v>
      </c>
      <c r="J651" t="s">
        <v>124</v>
      </c>
      <c r="K651" t="s">
        <v>3500</v>
      </c>
      <c r="L651" t="s">
        <v>4165</v>
      </c>
      <c r="M651" t="s">
        <v>41</v>
      </c>
    </row>
    <row r="652" spans="1:13" x14ac:dyDescent="0.15">
      <c r="A652" t="s">
        <v>4166</v>
      </c>
      <c r="B652" t="s">
        <v>14</v>
      </c>
      <c r="C652" t="s">
        <v>118</v>
      </c>
      <c r="D652" t="s">
        <v>4167</v>
      </c>
      <c r="E652" t="s">
        <v>4168</v>
      </c>
      <c r="F652" t="s">
        <v>4169</v>
      </c>
      <c r="G652" t="s">
        <v>4170</v>
      </c>
      <c r="H652" t="s">
        <v>4170</v>
      </c>
      <c r="I652" t="s">
        <v>4171</v>
      </c>
      <c r="J652" t="s">
        <v>415</v>
      </c>
      <c r="K652" t="s">
        <v>1139</v>
      </c>
      <c r="L652" t="s">
        <v>4171</v>
      </c>
      <c r="M652" t="s">
        <v>4035</v>
      </c>
    </row>
    <row r="653" spans="1:13" x14ac:dyDescent="0.15">
      <c r="A653" t="s">
        <v>4172</v>
      </c>
      <c r="B653" t="s">
        <v>14</v>
      </c>
      <c r="C653" t="s">
        <v>118</v>
      </c>
      <c r="D653" t="s">
        <v>4173</v>
      </c>
      <c r="E653" t="s">
        <v>4174</v>
      </c>
      <c r="F653" t="s">
        <v>4175</v>
      </c>
      <c r="G653" t="s">
        <v>4176</v>
      </c>
      <c r="H653" t="s">
        <v>4176</v>
      </c>
      <c r="I653" t="s">
        <v>4177</v>
      </c>
      <c r="J653" t="s">
        <v>415</v>
      </c>
      <c r="K653" t="s">
        <v>832</v>
      </c>
      <c r="L653" t="s">
        <v>4177</v>
      </c>
      <c r="M653" t="s">
        <v>232</v>
      </c>
    </row>
    <row r="654" spans="1:13" x14ac:dyDescent="0.15">
      <c r="A654" t="s">
        <v>4178</v>
      </c>
      <c r="B654" t="s">
        <v>14</v>
      </c>
      <c r="C654" t="s">
        <v>118</v>
      </c>
      <c r="D654" t="s">
        <v>4179</v>
      </c>
      <c r="E654" t="s">
        <v>4180</v>
      </c>
      <c r="F654" t="s">
        <v>4181</v>
      </c>
      <c r="G654" t="s">
        <v>4182</v>
      </c>
      <c r="H654" t="s">
        <v>4182</v>
      </c>
      <c r="I654" t="s">
        <v>4183</v>
      </c>
      <c r="J654" t="s">
        <v>352</v>
      </c>
      <c r="K654" t="s">
        <v>173</v>
      </c>
      <c r="L654" t="s">
        <v>4183</v>
      </c>
      <c r="M654" t="s">
        <v>1725</v>
      </c>
    </row>
    <row r="655" spans="1:13" x14ac:dyDescent="0.15">
      <c r="A655" t="s">
        <v>4184</v>
      </c>
      <c r="B655" t="s">
        <v>14</v>
      </c>
      <c r="C655" t="s">
        <v>118</v>
      </c>
      <c r="D655" t="s">
        <v>4185</v>
      </c>
      <c r="E655" t="s">
        <v>4186</v>
      </c>
      <c r="F655" t="s">
        <v>4187</v>
      </c>
      <c r="G655" t="s">
        <v>4188</v>
      </c>
      <c r="H655" t="s">
        <v>4188</v>
      </c>
      <c r="I655" t="s">
        <v>4189</v>
      </c>
      <c r="J655" t="s">
        <v>352</v>
      </c>
      <c r="K655" t="s">
        <v>2499</v>
      </c>
      <c r="L655" t="s">
        <v>4189</v>
      </c>
      <c r="M655" t="s">
        <v>1725</v>
      </c>
    </row>
    <row r="656" spans="1:13" x14ac:dyDescent="0.15">
      <c r="A656" t="s">
        <v>4190</v>
      </c>
      <c r="B656" t="s">
        <v>14</v>
      </c>
      <c r="C656" t="s">
        <v>118</v>
      </c>
      <c r="D656" t="s">
        <v>4191</v>
      </c>
      <c r="E656" t="s">
        <v>4192</v>
      </c>
      <c r="F656" t="s">
        <v>4187</v>
      </c>
      <c r="G656" t="s">
        <v>4193</v>
      </c>
      <c r="H656" t="s">
        <v>4193</v>
      </c>
      <c r="I656" t="s">
        <v>4194</v>
      </c>
      <c r="J656" t="s">
        <v>1065</v>
      </c>
      <c r="K656" t="s">
        <v>64</v>
      </c>
      <c r="L656" t="s">
        <v>4194</v>
      </c>
      <c r="M656" t="s">
        <v>80</v>
      </c>
    </row>
    <row r="657" spans="1:13" x14ac:dyDescent="0.15">
      <c r="A657" t="s">
        <v>4195</v>
      </c>
      <c r="B657" t="s">
        <v>14</v>
      </c>
      <c r="C657" t="s">
        <v>118</v>
      </c>
      <c r="D657" t="s">
        <v>4196</v>
      </c>
      <c r="E657" t="s">
        <v>4197</v>
      </c>
      <c r="F657" t="s">
        <v>4187</v>
      </c>
      <c r="G657" t="s">
        <v>4198</v>
      </c>
      <c r="H657" t="s">
        <v>4198</v>
      </c>
      <c r="I657" t="s">
        <v>4199</v>
      </c>
      <c r="J657" t="s">
        <v>1194</v>
      </c>
      <c r="K657" t="s">
        <v>2122</v>
      </c>
      <c r="L657" t="s">
        <v>4199</v>
      </c>
      <c r="M657" t="s">
        <v>80</v>
      </c>
    </row>
    <row r="658" spans="1:13" x14ac:dyDescent="0.15">
      <c r="A658" t="s">
        <v>4200</v>
      </c>
      <c r="B658" t="s">
        <v>14</v>
      </c>
      <c r="C658" t="s">
        <v>118</v>
      </c>
      <c r="D658" t="s">
        <v>4201</v>
      </c>
      <c r="E658" t="s">
        <v>4202</v>
      </c>
      <c r="F658" t="s">
        <v>4203</v>
      </c>
      <c r="G658" t="s">
        <v>4204</v>
      </c>
      <c r="H658" t="s">
        <v>4204</v>
      </c>
      <c r="I658" t="s">
        <v>4205</v>
      </c>
      <c r="J658" t="s">
        <v>352</v>
      </c>
      <c r="K658" t="s">
        <v>540</v>
      </c>
      <c r="L658" t="s">
        <v>4205</v>
      </c>
      <c r="M658" t="s">
        <v>1725</v>
      </c>
    </row>
    <row r="659" spans="1:13" x14ac:dyDescent="0.15">
      <c r="A659" t="s">
        <v>4206</v>
      </c>
      <c r="B659" t="s">
        <v>14</v>
      </c>
      <c r="C659" t="s">
        <v>194</v>
      </c>
      <c r="D659" t="s">
        <v>4207</v>
      </c>
      <c r="E659" t="s">
        <v>4208</v>
      </c>
      <c r="F659" t="s">
        <v>4209</v>
      </c>
      <c r="H659" t="s">
        <v>4210</v>
      </c>
      <c r="J659" t="s">
        <v>481</v>
      </c>
      <c r="M659" t="s">
        <v>139</v>
      </c>
    </row>
    <row r="660" spans="1:13" x14ac:dyDescent="0.15">
      <c r="A660" t="s">
        <v>4211</v>
      </c>
      <c r="B660" t="s">
        <v>14</v>
      </c>
      <c r="C660" t="s">
        <v>15</v>
      </c>
      <c r="D660" t="s">
        <v>4212</v>
      </c>
      <c r="E660" t="s">
        <v>4213</v>
      </c>
      <c r="F660" t="s">
        <v>4214</v>
      </c>
      <c r="G660" t="s">
        <v>4215</v>
      </c>
      <c r="H660" t="s">
        <v>4215</v>
      </c>
      <c r="J660" t="s">
        <v>344</v>
      </c>
      <c r="M660" t="s">
        <v>174</v>
      </c>
    </row>
    <row r="661" spans="1:13" x14ac:dyDescent="0.15">
      <c r="A661" t="s">
        <v>4216</v>
      </c>
      <c r="B661" t="s">
        <v>14</v>
      </c>
      <c r="C661" t="s">
        <v>118</v>
      </c>
      <c r="D661" t="s">
        <v>4217</v>
      </c>
      <c r="E661" t="s">
        <v>4218</v>
      </c>
      <c r="F661" t="s">
        <v>4219</v>
      </c>
      <c r="G661" t="s">
        <v>4220</v>
      </c>
      <c r="H661" t="s">
        <v>4220</v>
      </c>
      <c r="I661" t="s">
        <v>4221</v>
      </c>
      <c r="J661" t="s">
        <v>206</v>
      </c>
      <c r="K661" t="s">
        <v>305</v>
      </c>
      <c r="L661" t="s">
        <v>4221</v>
      </c>
      <c r="M661" t="s">
        <v>4035</v>
      </c>
    </row>
    <row r="662" spans="1:13" x14ac:dyDescent="0.15">
      <c r="A662" t="s">
        <v>4222</v>
      </c>
      <c r="B662" t="s">
        <v>14</v>
      </c>
      <c r="C662" t="s">
        <v>23</v>
      </c>
      <c r="D662" t="s">
        <v>4223</v>
      </c>
      <c r="E662" t="s">
        <v>4224</v>
      </c>
      <c r="F662" t="s">
        <v>4225</v>
      </c>
      <c r="G662" t="s">
        <v>4226</v>
      </c>
      <c r="H662" t="s">
        <v>4226</v>
      </c>
      <c r="I662" t="s">
        <v>3256</v>
      </c>
      <c r="J662" t="s">
        <v>352</v>
      </c>
      <c r="K662" t="s">
        <v>744</v>
      </c>
      <c r="L662" t="s">
        <v>4227</v>
      </c>
      <c r="M662" t="s">
        <v>80</v>
      </c>
    </row>
    <row r="663" spans="1:13" x14ac:dyDescent="0.15">
      <c r="A663" t="s">
        <v>4228</v>
      </c>
      <c r="B663" t="s">
        <v>14</v>
      </c>
      <c r="C663" t="s">
        <v>23</v>
      </c>
      <c r="D663" t="s">
        <v>4229</v>
      </c>
      <c r="E663" t="s">
        <v>4230</v>
      </c>
      <c r="F663" t="s">
        <v>4231</v>
      </c>
      <c r="G663" t="s">
        <v>4232</v>
      </c>
      <c r="H663" t="s">
        <v>4232</v>
      </c>
      <c r="I663" t="s">
        <v>4233</v>
      </c>
      <c r="J663" t="s">
        <v>352</v>
      </c>
      <c r="K663" t="s">
        <v>39</v>
      </c>
      <c r="L663" t="s">
        <v>4233</v>
      </c>
      <c r="M663" t="s">
        <v>104</v>
      </c>
    </row>
    <row r="664" spans="1:13" x14ac:dyDescent="0.15">
      <c r="A664" t="s">
        <v>4234</v>
      </c>
      <c r="B664" t="s">
        <v>14</v>
      </c>
      <c r="C664" t="s">
        <v>118</v>
      </c>
      <c r="D664" t="s">
        <v>4235</v>
      </c>
      <c r="E664" t="s">
        <v>4236</v>
      </c>
      <c r="F664" t="s">
        <v>4237</v>
      </c>
      <c r="G664" t="s">
        <v>4238</v>
      </c>
      <c r="H664" t="s">
        <v>4238</v>
      </c>
      <c r="I664" t="s">
        <v>295</v>
      </c>
      <c r="J664" t="s">
        <v>206</v>
      </c>
      <c r="K664" t="s">
        <v>1896</v>
      </c>
      <c r="L664" t="s">
        <v>295</v>
      </c>
      <c r="M664" t="s">
        <v>773</v>
      </c>
    </row>
    <row r="665" spans="1:13" x14ac:dyDescent="0.15">
      <c r="A665" t="s">
        <v>4239</v>
      </c>
      <c r="B665" t="s">
        <v>14</v>
      </c>
      <c r="C665" t="s">
        <v>118</v>
      </c>
      <c r="D665" t="s">
        <v>4240</v>
      </c>
      <c r="E665" t="s">
        <v>4241</v>
      </c>
      <c r="F665" t="s">
        <v>4242</v>
      </c>
      <c r="G665" t="s">
        <v>2820</v>
      </c>
      <c r="H665" t="s">
        <v>2820</v>
      </c>
      <c r="I665" t="s">
        <v>4243</v>
      </c>
      <c r="J665" t="s">
        <v>138</v>
      </c>
      <c r="K665" t="s">
        <v>360</v>
      </c>
      <c r="L665" t="s">
        <v>4243</v>
      </c>
      <c r="M665" t="s">
        <v>2579</v>
      </c>
    </row>
    <row r="666" spans="1:13" x14ac:dyDescent="0.15">
      <c r="A666" t="s">
        <v>4244</v>
      </c>
      <c r="B666" t="s">
        <v>14</v>
      </c>
      <c r="C666" t="s">
        <v>23</v>
      </c>
      <c r="D666" t="s">
        <v>4245</v>
      </c>
      <c r="E666" t="s">
        <v>4246</v>
      </c>
      <c r="F666" t="s">
        <v>4247</v>
      </c>
      <c r="G666" t="s">
        <v>4248</v>
      </c>
      <c r="H666" t="s">
        <v>4248</v>
      </c>
      <c r="I666" t="s">
        <v>4249</v>
      </c>
      <c r="J666" t="s">
        <v>95</v>
      </c>
      <c r="K666" t="s">
        <v>48</v>
      </c>
      <c r="L666" t="s">
        <v>4250</v>
      </c>
      <c r="M666" t="s">
        <v>80</v>
      </c>
    </row>
    <row r="667" spans="1:13" x14ac:dyDescent="0.15">
      <c r="A667" t="s">
        <v>4251</v>
      </c>
      <c r="B667" t="s">
        <v>14</v>
      </c>
      <c r="C667" t="s">
        <v>23</v>
      </c>
      <c r="D667" t="s">
        <v>4252</v>
      </c>
      <c r="E667" t="s">
        <v>4253</v>
      </c>
      <c r="F667" t="s">
        <v>4254</v>
      </c>
      <c r="G667" t="s">
        <v>4255</v>
      </c>
      <c r="H667" t="s">
        <v>4255</v>
      </c>
      <c r="I667" t="s">
        <v>4256</v>
      </c>
      <c r="J667" t="s">
        <v>230</v>
      </c>
      <c r="K667" t="s">
        <v>731</v>
      </c>
      <c r="L667" t="s">
        <v>4256</v>
      </c>
      <c r="M667" t="s">
        <v>104</v>
      </c>
    </row>
    <row r="668" spans="1:13" x14ac:dyDescent="0.15">
      <c r="A668" t="s">
        <v>4257</v>
      </c>
      <c r="B668" t="s">
        <v>14</v>
      </c>
      <c r="C668" t="s">
        <v>23</v>
      </c>
      <c r="D668" t="s">
        <v>4258</v>
      </c>
      <c r="E668" t="s">
        <v>4259</v>
      </c>
      <c r="F668" t="s">
        <v>4260</v>
      </c>
      <c r="G668" t="s">
        <v>2529</v>
      </c>
      <c r="H668" t="s">
        <v>2529</v>
      </c>
      <c r="I668" t="s">
        <v>4261</v>
      </c>
      <c r="J668" t="s">
        <v>400</v>
      </c>
      <c r="K668" t="s">
        <v>87</v>
      </c>
      <c r="L668" t="s">
        <v>73</v>
      </c>
      <c r="M668" t="s">
        <v>41</v>
      </c>
    </row>
    <row r="669" spans="1:13" x14ac:dyDescent="0.15">
      <c r="A669" t="s">
        <v>4262</v>
      </c>
      <c r="B669" t="s">
        <v>14</v>
      </c>
      <c r="C669" t="s">
        <v>23</v>
      </c>
      <c r="D669" t="s">
        <v>4263</v>
      </c>
      <c r="E669" t="s">
        <v>4264</v>
      </c>
      <c r="F669" t="s">
        <v>4265</v>
      </c>
      <c r="G669" t="s">
        <v>4266</v>
      </c>
      <c r="H669" t="s">
        <v>4266</v>
      </c>
      <c r="I669" t="s">
        <v>4267</v>
      </c>
      <c r="J669" t="s">
        <v>20</v>
      </c>
      <c r="K669" t="s">
        <v>474</v>
      </c>
      <c r="L669" t="s">
        <v>4267</v>
      </c>
      <c r="M669" t="s">
        <v>216</v>
      </c>
    </row>
    <row r="670" spans="1:13" x14ac:dyDescent="0.15">
      <c r="A670" t="s">
        <v>4268</v>
      </c>
      <c r="B670" t="s">
        <v>14</v>
      </c>
      <c r="C670" t="s">
        <v>23</v>
      </c>
      <c r="D670" t="s">
        <v>4269</v>
      </c>
      <c r="E670" t="s">
        <v>4270</v>
      </c>
      <c r="F670" t="s">
        <v>4271</v>
      </c>
      <c r="G670" t="s">
        <v>4272</v>
      </c>
      <c r="H670" t="s">
        <v>4272</v>
      </c>
      <c r="I670" t="s">
        <v>4273</v>
      </c>
      <c r="J670" t="s">
        <v>400</v>
      </c>
      <c r="K670" t="s">
        <v>48</v>
      </c>
      <c r="L670" t="s">
        <v>4274</v>
      </c>
      <c r="M670" t="s">
        <v>41</v>
      </c>
    </row>
    <row r="671" spans="1:13" x14ac:dyDescent="0.15">
      <c r="A671" t="s">
        <v>4275</v>
      </c>
      <c r="B671" t="s">
        <v>14</v>
      </c>
      <c r="C671" t="s">
        <v>118</v>
      </c>
      <c r="D671" t="s">
        <v>4276</v>
      </c>
      <c r="E671" t="s">
        <v>4277</v>
      </c>
      <c r="F671" t="s">
        <v>4278</v>
      </c>
      <c r="G671" t="s">
        <v>4279</v>
      </c>
      <c r="H671" t="s">
        <v>4279</v>
      </c>
      <c r="I671" t="s">
        <v>4280</v>
      </c>
      <c r="J671" t="s">
        <v>481</v>
      </c>
      <c r="K671" t="s">
        <v>1946</v>
      </c>
      <c r="L671" t="s">
        <v>4280</v>
      </c>
      <c r="M671" t="s">
        <v>3852</v>
      </c>
    </row>
    <row r="672" spans="1:13" x14ac:dyDescent="0.15">
      <c r="A672" t="s">
        <v>4281</v>
      </c>
      <c r="B672" t="s">
        <v>14</v>
      </c>
      <c r="C672" t="s">
        <v>118</v>
      </c>
      <c r="D672" t="s">
        <v>4282</v>
      </c>
      <c r="E672" t="s">
        <v>4283</v>
      </c>
      <c r="F672" t="s">
        <v>4284</v>
      </c>
      <c r="G672" t="s">
        <v>4285</v>
      </c>
      <c r="H672" t="s">
        <v>4285</v>
      </c>
      <c r="I672" t="s">
        <v>4286</v>
      </c>
      <c r="J672" t="s">
        <v>626</v>
      </c>
      <c r="K672" t="s">
        <v>554</v>
      </c>
      <c r="L672" t="s">
        <v>4286</v>
      </c>
      <c r="M672" t="s">
        <v>1015</v>
      </c>
    </row>
    <row r="673" spans="1:13" x14ac:dyDescent="0.15">
      <c r="A673" t="s">
        <v>4287</v>
      </c>
      <c r="B673" t="s">
        <v>14</v>
      </c>
      <c r="C673" t="s">
        <v>118</v>
      </c>
      <c r="D673" t="s">
        <v>4288</v>
      </c>
      <c r="E673" t="s">
        <v>4289</v>
      </c>
      <c r="F673" t="s">
        <v>4290</v>
      </c>
      <c r="G673" t="s">
        <v>4291</v>
      </c>
      <c r="H673" t="s">
        <v>4291</v>
      </c>
      <c r="I673" t="s">
        <v>4292</v>
      </c>
      <c r="J673" t="s">
        <v>481</v>
      </c>
      <c r="K673" t="s">
        <v>772</v>
      </c>
      <c r="L673" t="s">
        <v>4292</v>
      </c>
      <c r="M673" t="s">
        <v>4293</v>
      </c>
    </row>
    <row r="674" spans="1:13" x14ac:dyDescent="0.15">
      <c r="A674" t="s">
        <v>4294</v>
      </c>
      <c r="B674" t="s">
        <v>14</v>
      </c>
      <c r="C674" t="s">
        <v>194</v>
      </c>
      <c r="D674" t="s">
        <v>4295</v>
      </c>
      <c r="E674" t="s">
        <v>4296</v>
      </c>
      <c r="F674" t="s">
        <v>4297</v>
      </c>
      <c r="H674" t="s">
        <v>145</v>
      </c>
      <c r="J674" t="s">
        <v>4298</v>
      </c>
      <c r="M674" t="s">
        <v>139</v>
      </c>
    </row>
    <row r="675" spans="1:13" x14ac:dyDescent="0.15">
      <c r="A675" t="s">
        <v>4299</v>
      </c>
      <c r="B675" t="s">
        <v>14</v>
      </c>
      <c r="C675" t="s">
        <v>194</v>
      </c>
      <c r="D675" t="s">
        <v>4300</v>
      </c>
      <c r="E675" t="s">
        <v>4301</v>
      </c>
      <c r="F675" t="s">
        <v>4302</v>
      </c>
      <c r="H675" t="s">
        <v>4303</v>
      </c>
      <c r="J675" t="s">
        <v>1945</v>
      </c>
      <c r="M675" t="s">
        <v>139</v>
      </c>
    </row>
    <row r="676" spans="1:13" x14ac:dyDescent="0.15">
      <c r="A676" t="s">
        <v>4304</v>
      </c>
      <c r="B676" t="s">
        <v>14</v>
      </c>
      <c r="C676" t="s">
        <v>118</v>
      </c>
      <c r="D676" t="s">
        <v>4305</v>
      </c>
      <c r="E676" t="s">
        <v>4306</v>
      </c>
      <c r="F676" t="s">
        <v>4307</v>
      </c>
      <c r="G676" t="s">
        <v>4308</v>
      </c>
      <c r="H676" t="s">
        <v>4308</v>
      </c>
      <c r="I676" t="s">
        <v>4309</v>
      </c>
      <c r="J676" t="s">
        <v>124</v>
      </c>
      <c r="K676" t="s">
        <v>4310</v>
      </c>
      <c r="L676" t="s">
        <v>4309</v>
      </c>
      <c r="M676" t="s">
        <v>41</v>
      </c>
    </row>
    <row r="677" spans="1:13" x14ac:dyDescent="0.15">
      <c r="A677" t="s">
        <v>4311</v>
      </c>
      <c r="B677" t="s">
        <v>14</v>
      </c>
      <c r="C677" t="s">
        <v>118</v>
      </c>
      <c r="D677" t="s">
        <v>4312</v>
      </c>
      <c r="E677" t="s">
        <v>4313</v>
      </c>
      <c r="F677" t="s">
        <v>4314</v>
      </c>
      <c r="G677" t="s">
        <v>4315</v>
      </c>
      <c r="H677" t="s">
        <v>4315</v>
      </c>
      <c r="I677" t="s">
        <v>4316</v>
      </c>
      <c r="J677" t="s">
        <v>124</v>
      </c>
      <c r="K677" t="s">
        <v>4317</v>
      </c>
      <c r="L677" t="s">
        <v>4316</v>
      </c>
      <c r="M677" t="s">
        <v>2017</v>
      </c>
    </row>
    <row r="678" spans="1:13" x14ac:dyDescent="0.15">
      <c r="A678" t="s">
        <v>4318</v>
      </c>
      <c r="B678" t="s">
        <v>14</v>
      </c>
      <c r="C678" t="s">
        <v>118</v>
      </c>
      <c r="D678" t="s">
        <v>4319</v>
      </c>
      <c r="E678" t="s">
        <v>4320</v>
      </c>
      <c r="F678" t="s">
        <v>4321</v>
      </c>
      <c r="G678" t="s">
        <v>4322</v>
      </c>
      <c r="H678" t="s">
        <v>4322</v>
      </c>
      <c r="I678" t="s">
        <v>4323</v>
      </c>
      <c r="J678" t="s">
        <v>124</v>
      </c>
      <c r="K678" t="s">
        <v>903</v>
      </c>
      <c r="L678" t="s">
        <v>4323</v>
      </c>
      <c r="M678" t="s">
        <v>1385</v>
      </c>
    </row>
    <row r="679" spans="1:13" x14ac:dyDescent="0.15">
      <c r="A679" t="s">
        <v>4324</v>
      </c>
      <c r="B679" t="s">
        <v>14</v>
      </c>
      <c r="C679" t="s">
        <v>23</v>
      </c>
      <c r="D679" t="s">
        <v>4325</v>
      </c>
      <c r="E679" t="s">
        <v>4326</v>
      </c>
      <c r="F679" t="s">
        <v>4327</v>
      </c>
      <c r="G679" t="s">
        <v>3700</v>
      </c>
      <c r="H679" t="s">
        <v>3700</v>
      </c>
      <c r="I679" t="s">
        <v>4328</v>
      </c>
      <c r="J679" t="s">
        <v>38</v>
      </c>
      <c r="K679" t="s">
        <v>48</v>
      </c>
      <c r="L679" t="s">
        <v>4027</v>
      </c>
      <c r="M679" t="s">
        <v>104</v>
      </c>
    </row>
    <row r="680" spans="1:13" x14ac:dyDescent="0.15">
      <c r="A680" t="s">
        <v>4329</v>
      </c>
      <c r="B680" t="s">
        <v>14</v>
      </c>
      <c r="C680" t="s">
        <v>118</v>
      </c>
      <c r="D680" t="s">
        <v>4330</v>
      </c>
      <c r="E680" t="s">
        <v>4331</v>
      </c>
      <c r="F680" t="s">
        <v>4332</v>
      </c>
      <c r="G680" t="s">
        <v>3631</v>
      </c>
      <c r="H680" t="s">
        <v>3631</v>
      </c>
      <c r="I680" t="s">
        <v>692</v>
      </c>
      <c r="J680" t="s">
        <v>415</v>
      </c>
      <c r="K680" t="s">
        <v>173</v>
      </c>
      <c r="L680" t="s">
        <v>692</v>
      </c>
      <c r="M680" t="s">
        <v>279</v>
      </c>
    </row>
    <row r="681" spans="1:13" x14ac:dyDescent="0.15">
      <c r="A681" t="s">
        <v>4333</v>
      </c>
      <c r="B681" t="s">
        <v>14</v>
      </c>
      <c r="C681" t="s">
        <v>118</v>
      </c>
      <c r="D681" t="s">
        <v>4334</v>
      </c>
      <c r="E681" t="s">
        <v>4335</v>
      </c>
      <c r="F681" t="s">
        <v>4336</v>
      </c>
      <c r="G681" t="s">
        <v>1436</v>
      </c>
      <c r="H681" t="s">
        <v>1436</v>
      </c>
      <c r="I681" t="s">
        <v>3729</v>
      </c>
      <c r="J681" t="s">
        <v>415</v>
      </c>
      <c r="K681" t="s">
        <v>439</v>
      </c>
      <c r="L681" t="s">
        <v>3729</v>
      </c>
      <c r="M681" t="s">
        <v>880</v>
      </c>
    </row>
    <row r="682" spans="1:13" x14ac:dyDescent="0.15">
      <c r="A682" t="s">
        <v>4337</v>
      </c>
      <c r="B682" t="s">
        <v>14</v>
      </c>
      <c r="C682" t="s">
        <v>23</v>
      </c>
      <c r="D682" t="s">
        <v>4338</v>
      </c>
      <c r="E682" t="s">
        <v>4339</v>
      </c>
      <c r="F682" t="s">
        <v>4340</v>
      </c>
      <c r="G682" t="s">
        <v>4341</v>
      </c>
      <c r="H682" t="s">
        <v>4341</v>
      </c>
      <c r="I682" t="s">
        <v>4342</v>
      </c>
      <c r="J682" t="s">
        <v>514</v>
      </c>
      <c r="K682" t="s">
        <v>439</v>
      </c>
      <c r="L682" t="s">
        <v>4342</v>
      </c>
      <c r="M682" t="s">
        <v>41</v>
      </c>
    </row>
    <row r="683" spans="1:13" x14ac:dyDescent="0.15">
      <c r="A683" t="s">
        <v>4343</v>
      </c>
      <c r="B683" t="s">
        <v>14</v>
      </c>
      <c r="C683" t="s">
        <v>23</v>
      </c>
      <c r="D683" t="s">
        <v>4344</v>
      </c>
      <c r="E683" t="s">
        <v>4345</v>
      </c>
      <c r="F683" t="s">
        <v>4346</v>
      </c>
      <c r="G683" t="s">
        <v>4347</v>
      </c>
      <c r="H683" t="s">
        <v>4347</v>
      </c>
      <c r="I683" t="s">
        <v>4348</v>
      </c>
      <c r="J683" t="s">
        <v>29</v>
      </c>
      <c r="K683" t="s">
        <v>1170</v>
      </c>
      <c r="L683" t="s">
        <v>4348</v>
      </c>
      <c r="M683" t="s">
        <v>41</v>
      </c>
    </row>
    <row r="684" spans="1:13" x14ac:dyDescent="0.15">
      <c r="A684" t="s">
        <v>4349</v>
      </c>
      <c r="B684" t="s">
        <v>14</v>
      </c>
      <c r="C684" t="s">
        <v>118</v>
      </c>
      <c r="D684" t="s">
        <v>4350</v>
      </c>
      <c r="E684" t="s">
        <v>4351</v>
      </c>
      <c r="F684" t="s">
        <v>4352</v>
      </c>
      <c r="G684" t="s">
        <v>4353</v>
      </c>
      <c r="H684" t="s">
        <v>4353</v>
      </c>
      <c r="I684" t="s">
        <v>4354</v>
      </c>
      <c r="J684" t="s">
        <v>230</v>
      </c>
      <c r="K684" t="s">
        <v>263</v>
      </c>
      <c r="L684" t="s">
        <v>4354</v>
      </c>
      <c r="M684" t="s">
        <v>3396</v>
      </c>
    </row>
    <row r="685" spans="1:13" x14ac:dyDescent="0.15">
      <c r="A685" t="s">
        <v>4355</v>
      </c>
      <c r="B685" t="s">
        <v>14</v>
      </c>
      <c r="C685" t="s">
        <v>118</v>
      </c>
      <c r="D685" t="s">
        <v>4356</v>
      </c>
      <c r="E685" t="s">
        <v>4357</v>
      </c>
      <c r="F685" t="s">
        <v>4358</v>
      </c>
      <c r="G685" t="s">
        <v>4359</v>
      </c>
      <c r="H685" t="s">
        <v>4359</v>
      </c>
      <c r="I685" t="s">
        <v>4360</v>
      </c>
      <c r="J685" t="s">
        <v>473</v>
      </c>
      <c r="K685" t="s">
        <v>271</v>
      </c>
      <c r="L685" t="s">
        <v>4360</v>
      </c>
      <c r="M685" t="s">
        <v>80</v>
      </c>
    </row>
    <row r="686" spans="1:13" x14ac:dyDescent="0.15">
      <c r="A686" t="s">
        <v>4361</v>
      </c>
      <c r="B686" t="s">
        <v>14</v>
      </c>
      <c r="C686" t="s">
        <v>23</v>
      </c>
      <c r="D686" t="s">
        <v>4362</v>
      </c>
      <c r="E686" t="s">
        <v>4363</v>
      </c>
      <c r="F686" t="s">
        <v>4364</v>
      </c>
      <c r="G686" t="s">
        <v>4365</v>
      </c>
      <c r="H686" t="s">
        <v>4365</v>
      </c>
      <c r="I686" t="s">
        <v>4366</v>
      </c>
      <c r="J686" t="s">
        <v>230</v>
      </c>
      <c r="K686" t="s">
        <v>271</v>
      </c>
      <c r="L686" t="s">
        <v>4366</v>
      </c>
      <c r="M686" t="s">
        <v>41</v>
      </c>
    </row>
    <row r="687" spans="1:13" x14ac:dyDescent="0.15">
      <c r="A687" t="s">
        <v>4367</v>
      </c>
      <c r="B687" t="s">
        <v>14</v>
      </c>
      <c r="C687" t="s">
        <v>23</v>
      </c>
      <c r="D687" t="s">
        <v>4368</v>
      </c>
      <c r="E687" t="s">
        <v>4369</v>
      </c>
      <c r="F687" t="s">
        <v>4370</v>
      </c>
      <c r="G687" t="s">
        <v>4371</v>
      </c>
      <c r="H687" t="s">
        <v>4371</v>
      </c>
      <c r="I687" t="s">
        <v>4372</v>
      </c>
      <c r="J687" t="s">
        <v>297</v>
      </c>
      <c r="K687" t="s">
        <v>601</v>
      </c>
      <c r="L687" t="s">
        <v>4373</v>
      </c>
      <c r="M687" t="s">
        <v>41</v>
      </c>
    </row>
    <row r="688" spans="1:13" x14ac:dyDescent="0.15">
      <c r="A688" t="s">
        <v>4374</v>
      </c>
      <c r="B688" t="s">
        <v>14</v>
      </c>
      <c r="C688" t="s">
        <v>23</v>
      </c>
      <c r="D688" t="s">
        <v>4375</v>
      </c>
      <c r="E688" t="s">
        <v>4376</v>
      </c>
      <c r="F688" t="s">
        <v>4377</v>
      </c>
      <c r="G688" t="s">
        <v>4378</v>
      </c>
      <c r="H688" t="s">
        <v>4378</v>
      </c>
      <c r="I688" t="s">
        <v>4379</v>
      </c>
      <c r="J688" t="s">
        <v>297</v>
      </c>
      <c r="K688" t="s">
        <v>601</v>
      </c>
      <c r="L688" t="s">
        <v>4380</v>
      </c>
      <c r="M688" t="s">
        <v>41</v>
      </c>
    </row>
    <row r="689" spans="1:13" x14ac:dyDescent="0.15">
      <c r="A689" t="s">
        <v>4381</v>
      </c>
      <c r="B689" t="s">
        <v>14</v>
      </c>
      <c r="C689" t="s">
        <v>118</v>
      </c>
      <c r="D689" t="s">
        <v>4382</v>
      </c>
      <c r="E689" t="s">
        <v>4383</v>
      </c>
      <c r="F689" t="s">
        <v>4384</v>
      </c>
      <c r="G689" t="s">
        <v>4385</v>
      </c>
      <c r="H689" t="s">
        <v>4385</v>
      </c>
      <c r="I689" t="s">
        <v>4386</v>
      </c>
      <c r="J689" t="s">
        <v>20</v>
      </c>
      <c r="K689" t="s">
        <v>839</v>
      </c>
      <c r="L689" t="s">
        <v>4386</v>
      </c>
      <c r="M689" t="s">
        <v>21</v>
      </c>
    </row>
    <row r="690" spans="1:13" x14ac:dyDescent="0.15">
      <c r="A690" t="s">
        <v>4387</v>
      </c>
      <c r="B690" t="s">
        <v>14</v>
      </c>
      <c r="C690" t="s">
        <v>118</v>
      </c>
      <c r="D690" t="s">
        <v>4388</v>
      </c>
      <c r="E690" t="s">
        <v>4389</v>
      </c>
      <c r="F690" t="s">
        <v>4390</v>
      </c>
      <c r="G690" t="s">
        <v>4391</v>
      </c>
      <c r="H690" t="s">
        <v>4391</v>
      </c>
      <c r="I690" t="s">
        <v>4392</v>
      </c>
      <c r="J690" t="s">
        <v>4049</v>
      </c>
      <c r="K690" t="s">
        <v>4050</v>
      </c>
      <c r="L690" t="s">
        <v>4392</v>
      </c>
      <c r="M690" t="s">
        <v>192</v>
      </c>
    </row>
    <row r="691" spans="1:13" x14ac:dyDescent="0.15">
      <c r="A691" t="s">
        <v>4393</v>
      </c>
      <c r="B691" t="s">
        <v>14</v>
      </c>
      <c r="C691" t="s">
        <v>118</v>
      </c>
      <c r="D691" t="s">
        <v>4394</v>
      </c>
      <c r="E691" t="s">
        <v>4395</v>
      </c>
      <c r="F691" t="s">
        <v>4396</v>
      </c>
      <c r="G691" t="s">
        <v>145</v>
      </c>
      <c r="H691" t="s">
        <v>145</v>
      </c>
      <c r="I691" t="s">
        <v>145</v>
      </c>
      <c r="J691" t="s">
        <v>110</v>
      </c>
      <c r="M691" t="s">
        <v>139</v>
      </c>
    </row>
    <row r="692" spans="1:13" x14ac:dyDescent="0.15">
      <c r="A692" t="s">
        <v>4397</v>
      </c>
      <c r="B692" t="s">
        <v>14</v>
      </c>
      <c r="C692" t="s">
        <v>118</v>
      </c>
      <c r="D692" t="s">
        <v>4398</v>
      </c>
      <c r="E692" t="s">
        <v>4399</v>
      </c>
      <c r="F692" t="s">
        <v>4400</v>
      </c>
      <c r="G692" t="s">
        <v>4401</v>
      </c>
      <c r="H692" t="s">
        <v>4401</v>
      </c>
      <c r="I692" t="s">
        <v>4402</v>
      </c>
      <c r="J692" t="s">
        <v>2181</v>
      </c>
      <c r="K692" t="s">
        <v>2687</v>
      </c>
      <c r="L692" t="s">
        <v>4402</v>
      </c>
      <c r="M692" t="s">
        <v>21</v>
      </c>
    </row>
    <row r="693" spans="1:13" x14ac:dyDescent="0.15">
      <c r="A693" t="s">
        <v>4403</v>
      </c>
      <c r="B693" t="s">
        <v>14</v>
      </c>
      <c r="C693" t="s">
        <v>118</v>
      </c>
      <c r="D693" t="s">
        <v>4404</v>
      </c>
      <c r="E693" t="s">
        <v>4405</v>
      </c>
      <c r="F693" t="s">
        <v>4406</v>
      </c>
      <c r="G693" t="s">
        <v>4407</v>
      </c>
      <c r="H693" t="s">
        <v>4407</v>
      </c>
      <c r="I693" t="s">
        <v>4408</v>
      </c>
      <c r="J693" t="s">
        <v>2181</v>
      </c>
      <c r="K693" t="s">
        <v>540</v>
      </c>
      <c r="L693" t="s">
        <v>4408</v>
      </c>
      <c r="M693" t="s">
        <v>21</v>
      </c>
    </row>
    <row r="694" spans="1:13" x14ac:dyDescent="0.15">
      <c r="A694" t="s">
        <v>4409</v>
      </c>
      <c r="B694" t="s">
        <v>14</v>
      </c>
      <c r="C694" t="s">
        <v>118</v>
      </c>
      <c r="D694" t="s">
        <v>4410</v>
      </c>
      <c r="E694" t="s">
        <v>4411</v>
      </c>
      <c r="F694" t="s">
        <v>4412</v>
      </c>
      <c r="G694" t="s">
        <v>4413</v>
      </c>
      <c r="H694" t="s">
        <v>4413</v>
      </c>
      <c r="I694" t="s">
        <v>4414</v>
      </c>
      <c r="J694" t="s">
        <v>95</v>
      </c>
      <c r="K694" t="s">
        <v>4415</v>
      </c>
      <c r="L694" t="s">
        <v>4416</v>
      </c>
      <c r="M694" t="s">
        <v>165</v>
      </c>
    </row>
    <row r="695" spans="1:13" x14ac:dyDescent="0.15">
      <c r="A695" t="s">
        <v>4417</v>
      </c>
      <c r="B695" t="s">
        <v>14</v>
      </c>
      <c r="C695" t="s">
        <v>23</v>
      </c>
      <c r="D695" t="s">
        <v>4418</v>
      </c>
      <c r="E695" t="s">
        <v>4419</v>
      </c>
      <c r="F695" t="s">
        <v>4420</v>
      </c>
      <c r="G695" t="s">
        <v>70</v>
      </c>
      <c r="H695" t="s">
        <v>70</v>
      </c>
      <c r="I695" t="s">
        <v>4421</v>
      </c>
      <c r="J695" t="s">
        <v>124</v>
      </c>
      <c r="K695" t="s">
        <v>30</v>
      </c>
      <c r="L695" t="s">
        <v>4421</v>
      </c>
      <c r="M695" t="s">
        <v>41</v>
      </c>
    </row>
    <row r="696" spans="1:13" x14ac:dyDescent="0.15">
      <c r="A696" t="s">
        <v>4422</v>
      </c>
      <c r="B696" t="s">
        <v>14</v>
      </c>
      <c r="C696" t="s">
        <v>23</v>
      </c>
      <c r="D696" t="s">
        <v>4423</v>
      </c>
      <c r="E696" t="s">
        <v>4424</v>
      </c>
      <c r="F696" t="s">
        <v>4425</v>
      </c>
      <c r="G696" t="s">
        <v>4426</v>
      </c>
      <c r="H696" t="s">
        <v>4426</v>
      </c>
      <c r="I696" t="s">
        <v>4427</v>
      </c>
      <c r="J696" t="s">
        <v>124</v>
      </c>
      <c r="K696" t="s">
        <v>1281</v>
      </c>
      <c r="L696" t="s">
        <v>4428</v>
      </c>
      <c r="M696" t="s">
        <v>353</v>
      </c>
    </row>
    <row r="697" spans="1:13" x14ac:dyDescent="0.15">
      <c r="A697" t="s">
        <v>4429</v>
      </c>
      <c r="B697" t="s">
        <v>14</v>
      </c>
      <c r="C697" t="s">
        <v>23</v>
      </c>
      <c r="D697" t="s">
        <v>4430</v>
      </c>
      <c r="E697" t="s">
        <v>4431</v>
      </c>
      <c r="F697" t="s">
        <v>4432</v>
      </c>
      <c r="G697" t="s">
        <v>4433</v>
      </c>
      <c r="H697" t="s">
        <v>4433</v>
      </c>
      <c r="I697" t="s">
        <v>4434</v>
      </c>
      <c r="J697" t="s">
        <v>124</v>
      </c>
      <c r="K697" t="s">
        <v>1208</v>
      </c>
      <c r="L697" t="s">
        <v>4435</v>
      </c>
      <c r="M697" t="s">
        <v>353</v>
      </c>
    </row>
    <row r="698" spans="1:13" x14ac:dyDescent="0.15">
      <c r="A698" t="s">
        <v>4436</v>
      </c>
      <c r="B698" t="s">
        <v>14</v>
      </c>
      <c r="C698" t="s">
        <v>23</v>
      </c>
      <c r="D698" t="s">
        <v>4437</v>
      </c>
      <c r="E698" t="s">
        <v>4438</v>
      </c>
      <c r="F698" t="s">
        <v>4439</v>
      </c>
      <c r="G698" t="s">
        <v>3819</v>
      </c>
      <c r="H698" t="s">
        <v>3819</v>
      </c>
      <c r="I698" t="s">
        <v>3820</v>
      </c>
      <c r="J698" t="s">
        <v>124</v>
      </c>
      <c r="K698" t="s">
        <v>723</v>
      </c>
      <c r="L698" t="s">
        <v>4440</v>
      </c>
      <c r="M698" t="s">
        <v>353</v>
      </c>
    </row>
    <row r="699" spans="1:13" x14ac:dyDescent="0.15">
      <c r="A699" t="s">
        <v>4441</v>
      </c>
      <c r="B699" t="s">
        <v>14</v>
      </c>
      <c r="C699" t="s">
        <v>23</v>
      </c>
      <c r="D699" t="s">
        <v>4442</v>
      </c>
      <c r="E699" t="s">
        <v>4443</v>
      </c>
      <c r="F699" t="s">
        <v>4444</v>
      </c>
      <c r="G699" t="s">
        <v>3819</v>
      </c>
      <c r="H699" t="s">
        <v>3819</v>
      </c>
      <c r="I699" t="s">
        <v>3820</v>
      </c>
      <c r="J699" t="s">
        <v>124</v>
      </c>
      <c r="K699" t="s">
        <v>2043</v>
      </c>
      <c r="L699" t="s">
        <v>4445</v>
      </c>
      <c r="M699" t="s">
        <v>353</v>
      </c>
    </row>
    <row r="700" spans="1:13" x14ac:dyDescent="0.15">
      <c r="A700" t="s">
        <v>4446</v>
      </c>
      <c r="B700" t="s">
        <v>14</v>
      </c>
      <c r="C700" t="s">
        <v>23</v>
      </c>
      <c r="D700" t="s">
        <v>4447</v>
      </c>
      <c r="E700" t="s">
        <v>4448</v>
      </c>
      <c r="F700" t="s">
        <v>4449</v>
      </c>
      <c r="G700" t="s">
        <v>3819</v>
      </c>
      <c r="H700" t="s">
        <v>3819</v>
      </c>
      <c r="I700" t="s">
        <v>3820</v>
      </c>
      <c r="J700" t="s">
        <v>124</v>
      </c>
      <c r="K700" t="s">
        <v>4450</v>
      </c>
      <c r="L700" t="s">
        <v>4451</v>
      </c>
      <c r="M700" t="s">
        <v>353</v>
      </c>
    </row>
    <row r="701" spans="1:13" x14ac:dyDescent="0.15">
      <c r="A701" t="s">
        <v>4452</v>
      </c>
      <c r="B701" t="s">
        <v>14</v>
      </c>
      <c r="C701" t="s">
        <v>23</v>
      </c>
      <c r="D701" t="s">
        <v>4453</v>
      </c>
      <c r="E701" t="s">
        <v>4454</v>
      </c>
      <c r="F701" t="s">
        <v>4455</v>
      </c>
      <c r="G701" t="s">
        <v>3819</v>
      </c>
      <c r="H701" t="s">
        <v>3819</v>
      </c>
      <c r="I701" t="s">
        <v>3820</v>
      </c>
      <c r="J701" t="s">
        <v>124</v>
      </c>
      <c r="K701" t="s">
        <v>1882</v>
      </c>
      <c r="L701" t="s">
        <v>4456</v>
      </c>
      <c r="M701" t="s">
        <v>353</v>
      </c>
    </row>
    <row r="702" spans="1:13" x14ac:dyDescent="0.15">
      <c r="A702" t="s">
        <v>4457</v>
      </c>
      <c r="B702" t="s">
        <v>14</v>
      </c>
      <c r="C702" t="s">
        <v>23</v>
      </c>
      <c r="D702" t="s">
        <v>4458</v>
      </c>
      <c r="E702" t="s">
        <v>4459</v>
      </c>
      <c r="F702" t="s">
        <v>4460</v>
      </c>
      <c r="G702" t="s">
        <v>4461</v>
      </c>
      <c r="H702" t="s">
        <v>4461</v>
      </c>
      <c r="I702" t="s">
        <v>4462</v>
      </c>
      <c r="J702" t="s">
        <v>124</v>
      </c>
      <c r="K702" t="s">
        <v>1679</v>
      </c>
      <c r="L702" t="s">
        <v>4463</v>
      </c>
      <c r="M702" t="s">
        <v>104</v>
      </c>
    </row>
    <row r="703" spans="1:13" x14ac:dyDescent="0.15">
      <c r="A703" t="s">
        <v>4464</v>
      </c>
      <c r="B703" t="s">
        <v>14</v>
      </c>
      <c r="C703" t="s">
        <v>23</v>
      </c>
      <c r="D703" t="s">
        <v>4465</v>
      </c>
      <c r="E703" t="s">
        <v>4466</v>
      </c>
      <c r="F703" t="s">
        <v>4467</v>
      </c>
      <c r="G703" t="s">
        <v>4468</v>
      </c>
      <c r="H703" t="s">
        <v>4468</v>
      </c>
      <c r="I703" t="s">
        <v>4469</v>
      </c>
      <c r="J703" t="s">
        <v>124</v>
      </c>
      <c r="K703" t="s">
        <v>431</v>
      </c>
      <c r="L703" t="s">
        <v>4469</v>
      </c>
      <c r="M703" t="s">
        <v>41</v>
      </c>
    </row>
    <row r="704" spans="1:13" x14ac:dyDescent="0.15">
      <c r="A704" t="s">
        <v>4470</v>
      </c>
      <c r="B704" t="s">
        <v>14</v>
      </c>
      <c r="C704" t="s">
        <v>118</v>
      </c>
      <c r="D704" t="s">
        <v>119</v>
      </c>
      <c r="E704" t="s">
        <v>4471</v>
      </c>
      <c r="F704" t="s">
        <v>4472</v>
      </c>
      <c r="G704" t="s">
        <v>4473</v>
      </c>
      <c r="H704" t="s">
        <v>4473</v>
      </c>
      <c r="I704" t="s">
        <v>4474</v>
      </c>
      <c r="J704" t="s">
        <v>124</v>
      </c>
      <c r="K704" t="s">
        <v>125</v>
      </c>
      <c r="L704" t="s">
        <v>4474</v>
      </c>
      <c r="M704" t="s">
        <v>174</v>
      </c>
    </row>
    <row r="705" spans="1:13" x14ac:dyDescent="0.15">
      <c r="A705" t="s">
        <v>4475</v>
      </c>
      <c r="B705" t="s">
        <v>14</v>
      </c>
      <c r="C705" t="s">
        <v>23</v>
      </c>
      <c r="D705" t="s">
        <v>4476</v>
      </c>
      <c r="E705" t="s">
        <v>4477</v>
      </c>
      <c r="F705" t="s">
        <v>4478</v>
      </c>
      <c r="H705" t="s">
        <v>4479</v>
      </c>
      <c r="I705" t="s">
        <v>700</v>
      </c>
      <c r="J705" t="s">
        <v>1423</v>
      </c>
      <c r="K705" t="s">
        <v>64</v>
      </c>
      <c r="L705" t="s">
        <v>4480</v>
      </c>
      <c r="M705" t="s">
        <v>104</v>
      </c>
    </row>
    <row r="706" spans="1:13" x14ac:dyDescent="0.15">
      <c r="A706" t="s">
        <v>4481</v>
      </c>
      <c r="B706" t="s">
        <v>14</v>
      </c>
      <c r="C706" t="s">
        <v>118</v>
      </c>
      <c r="D706" t="s">
        <v>4482</v>
      </c>
      <c r="E706" t="s">
        <v>4483</v>
      </c>
      <c r="F706" t="s">
        <v>4484</v>
      </c>
      <c r="H706" t="s">
        <v>4485</v>
      </c>
      <c r="I706" t="s">
        <v>4486</v>
      </c>
      <c r="J706" t="s">
        <v>1423</v>
      </c>
      <c r="K706" t="s">
        <v>312</v>
      </c>
      <c r="L706" t="s">
        <v>4486</v>
      </c>
      <c r="M706" t="s">
        <v>216</v>
      </c>
    </row>
    <row r="707" spans="1:13" x14ac:dyDescent="0.15">
      <c r="A707" t="s">
        <v>4487</v>
      </c>
      <c r="B707" t="s">
        <v>14</v>
      </c>
      <c r="C707" t="s">
        <v>118</v>
      </c>
      <c r="D707" t="s">
        <v>4488</v>
      </c>
      <c r="E707" t="s">
        <v>4489</v>
      </c>
      <c r="F707" t="s">
        <v>4490</v>
      </c>
      <c r="G707" t="s">
        <v>4491</v>
      </c>
      <c r="H707" t="s">
        <v>4491</v>
      </c>
      <c r="I707" t="s">
        <v>798</v>
      </c>
      <c r="J707" t="s">
        <v>230</v>
      </c>
      <c r="K707" t="s">
        <v>1125</v>
      </c>
      <c r="L707" t="s">
        <v>798</v>
      </c>
      <c r="M707" t="s">
        <v>165</v>
      </c>
    </row>
    <row r="708" spans="1:13" x14ac:dyDescent="0.15">
      <c r="A708" t="s">
        <v>4492</v>
      </c>
      <c r="B708" t="s">
        <v>14</v>
      </c>
      <c r="C708" t="s">
        <v>118</v>
      </c>
      <c r="D708" t="s">
        <v>4493</v>
      </c>
      <c r="E708" t="s">
        <v>4494</v>
      </c>
      <c r="F708" t="s">
        <v>4495</v>
      </c>
      <c r="G708" t="s">
        <v>4496</v>
      </c>
      <c r="H708" t="s">
        <v>145</v>
      </c>
      <c r="I708" t="s">
        <v>4497</v>
      </c>
      <c r="J708" t="s">
        <v>4498</v>
      </c>
      <c r="K708" t="s">
        <v>4499</v>
      </c>
      <c r="L708" t="s">
        <v>2537</v>
      </c>
      <c r="M708" t="s">
        <v>1015</v>
      </c>
    </row>
    <row r="709" spans="1:13" x14ac:dyDescent="0.15">
      <c r="A709" t="s">
        <v>4500</v>
      </c>
      <c r="B709" t="s">
        <v>14</v>
      </c>
      <c r="C709" t="s">
        <v>118</v>
      </c>
      <c r="D709" t="s">
        <v>4501</v>
      </c>
      <c r="E709" t="s">
        <v>4502</v>
      </c>
      <c r="F709" t="s">
        <v>4503</v>
      </c>
      <c r="G709" t="s">
        <v>4504</v>
      </c>
      <c r="H709" t="s">
        <v>4504</v>
      </c>
      <c r="I709" t="s">
        <v>4505</v>
      </c>
      <c r="J709" t="s">
        <v>1724</v>
      </c>
      <c r="K709" t="s">
        <v>839</v>
      </c>
      <c r="L709" t="s">
        <v>4505</v>
      </c>
      <c r="M709" t="s">
        <v>80</v>
      </c>
    </row>
    <row r="710" spans="1:13" x14ac:dyDescent="0.15">
      <c r="A710" t="s">
        <v>4506</v>
      </c>
      <c r="B710" t="s">
        <v>14</v>
      </c>
      <c r="C710" t="s">
        <v>118</v>
      </c>
      <c r="D710" t="s">
        <v>4507</v>
      </c>
      <c r="E710" t="s">
        <v>4508</v>
      </c>
      <c r="F710" t="s">
        <v>4509</v>
      </c>
      <c r="H710" t="s">
        <v>145</v>
      </c>
      <c r="I710" t="s">
        <v>4510</v>
      </c>
      <c r="J710" t="s">
        <v>172</v>
      </c>
      <c r="K710" t="s">
        <v>4310</v>
      </c>
      <c r="L710" t="s">
        <v>4510</v>
      </c>
      <c r="M710" t="s">
        <v>361</v>
      </c>
    </row>
    <row r="711" spans="1:13" x14ac:dyDescent="0.15">
      <c r="A711" t="s">
        <v>4511</v>
      </c>
      <c r="B711" t="s">
        <v>14</v>
      </c>
      <c r="C711" t="s">
        <v>23</v>
      </c>
      <c r="D711" t="s">
        <v>4512</v>
      </c>
      <c r="E711" t="s">
        <v>4513</v>
      </c>
      <c r="F711" t="s">
        <v>4514</v>
      </c>
      <c r="G711" t="s">
        <v>4515</v>
      </c>
      <c r="H711" t="s">
        <v>4515</v>
      </c>
      <c r="I711" t="s">
        <v>3340</v>
      </c>
      <c r="J711" t="s">
        <v>514</v>
      </c>
      <c r="K711" t="s">
        <v>452</v>
      </c>
      <c r="L711" t="s">
        <v>3340</v>
      </c>
      <c r="M711" t="s">
        <v>104</v>
      </c>
    </row>
    <row r="712" spans="1:13" x14ac:dyDescent="0.15">
      <c r="A712" t="s">
        <v>4516</v>
      </c>
      <c r="B712" t="s">
        <v>14</v>
      </c>
      <c r="C712" t="s">
        <v>118</v>
      </c>
      <c r="D712" t="s">
        <v>4517</v>
      </c>
      <c r="E712" t="s">
        <v>4518</v>
      </c>
      <c r="F712" t="s">
        <v>4519</v>
      </c>
      <c r="G712" t="s">
        <v>4520</v>
      </c>
      <c r="H712" t="s">
        <v>4520</v>
      </c>
      <c r="I712" t="s">
        <v>4521</v>
      </c>
      <c r="J712" t="s">
        <v>1308</v>
      </c>
      <c r="K712" t="s">
        <v>2598</v>
      </c>
      <c r="L712" t="s">
        <v>4521</v>
      </c>
      <c r="M712" t="s">
        <v>432</v>
      </c>
    </row>
    <row r="713" spans="1:13" x14ac:dyDescent="0.15">
      <c r="A713" t="s">
        <v>4522</v>
      </c>
      <c r="B713" t="s">
        <v>14</v>
      </c>
      <c r="C713" t="s">
        <v>118</v>
      </c>
      <c r="D713" t="s">
        <v>4523</v>
      </c>
      <c r="E713" t="s">
        <v>4524</v>
      </c>
      <c r="F713" t="s">
        <v>4525</v>
      </c>
      <c r="G713" t="s">
        <v>4526</v>
      </c>
      <c r="H713" t="s">
        <v>4526</v>
      </c>
      <c r="I713" t="s">
        <v>4527</v>
      </c>
      <c r="J713" t="s">
        <v>246</v>
      </c>
      <c r="K713" t="s">
        <v>2037</v>
      </c>
      <c r="L713" t="s">
        <v>4527</v>
      </c>
      <c r="M713" t="s">
        <v>432</v>
      </c>
    </row>
    <row r="714" spans="1:13" x14ac:dyDescent="0.15">
      <c r="A714" t="s">
        <v>4528</v>
      </c>
      <c r="B714" t="s">
        <v>14</v>
      </c>
      <c r="C714" t="s">
        <v>118</v>
      </c>
      <c r="D714" t="s">
        <v>4529</v>
      </c>
      <c r="E714" t="s">
        <v>4530</v>
      </c>
      <c r="F714" t="s">
        <v>4531</v>
      </c>
      <c r="G714" t="s">
        <v>4532</v>
      </c>
      <c r="H714" t="s">
        <v>4532</v>
      </c>
      <c r="I714" t="s">
        <v>2064</v>
      </c>
      <c r="J714" t="s">
        <v>521</v>
      </c>
      <c r="K714" t="s">
        <v>298</v>
      </c>
      <c r="L714" t="s">
        <v>2064</v>
      </c>
      <c r="M714" t="s">
        <v>165</v>
      </c>
    </row>
    <row r="715" spans="1:13" x14ac:dyDescent="0.15">
      <c r="A715" t="s">
        <v>4533</v>
      </c>
      <c r="B715" t="s">
        <v>14</v>
      </c>
      <c r="C715" t="s">
        <v>118</v>
      </c>
      <c r="D715" t="s">
        <v>4534</v>
      </c>
      <c r="E715" t="s">
        <v>4535</v>
      </c>
      <c r="F715" t="s">
        <v>4536</v>
      </c>
      <c r="G715" t="s">
        <v>4537</v>
      </c>
      <c r="H715" t="s">
        <v>4537</v>
      </c>
      <c r="I715" t="s">
        <v>4538</v>
      </c>
      <c r="J715" t="s">
        <v>230</v>
      </c>
      <c r="K715" t="s">
        <v>1078</v>
      </c>
      <c r="L715" t="s">
        <v>4538</v>
      </c>
      <c r="M715" t="s">
        <v>2760</v>
      </c>
    </row>
    <row r="716" spans="1:13" x14ac:dyDescent="0.15">
      <c r="A716" t="s">
        <v>4539</v>
      </c>
      <c r="B716" t="s">
        <v>14</v>
      </c>
      <c r="C716" t="s">
        <v>118</v>
      </c>
      <c r="D716" t="s">
        <v>4540</v>
      </c>
      <c r="E716" t="s">
        <v>4541</v>
      </c>
      <c r="F716" t="s">
        <v>4542</v>
      </c>
      <c r="G716" t="s">
        <v>4543</v>
      </c>
      <c r="H716" t="s">
        <v>4543</v>
      </c>
      <c r="I716" t="s">
        <v>4544</v>
      </c>
      <c r="J716" t="s">
        <v>230</v>
      </c>
      <c r="K716" t="s">
        <v>1485</v>
      </c>
      <c r="L716" t="s">
        <v>4544</v>
      </c>
      <c r="M716" t="s">
        <v>2760</v>
      </c>
    </row>
    <row r="717" spans="1:13" x14ac:dyDescent="0.15">
      <c r="A717" t="s">
        <v>4545</v>
      </c>
      <c r="B717" t="s">
        <v>14</v>
      </c>
      <c r="C717" t="s">
        <v>118</v>
      </c>
      <c r="D717" t="s">
        <v>4546</v>
      </c>
      <c r="E717" t="s">
        <v>4547</v>
      </c>
      <c r="F717" t="s">
        <v>4548</v>
      </c>
      <c r="G717" t="s">
        <v>4549</v>
      </c>
      <c r="H717" t="s">
        <v>4549</v>
      </c>
      <c r="I717" t="s">
        <v>4550</v>
      </c>
      <c r="J717" t="s">
        <v>230</v>
      </c>
      <c r="K717" t="s">
        <v>2956</v>
      </c>
      <c r="L717" t="s">
        <v>4550</v>
      </c>
      <c r="M717" t="s">
        <v>2760</v>
      </c>
    </row>
    <row r="718" spans="1:13" x14ac:dyDescent="0.15">
      <c r="A718" t="s">
        <v>4551</v>
      </c>
      <c r="B718" t="s">
        <v>14</v>
      </c>
      <c r="C718" t="s">
        <v>118</v>
      </c>
      <c r="D718" t="s">
        <v>4552</v>
      </c>
      <c r="E718" t="s">
        <v>4553</v>
      </c>
      <c r="F718" t="s">
        <v>4554</v>
      </c>
      <c r="G718" t="s">
        <v>4555</v>
      </c>
      <c r="H718" t="s">
        <v>4555</v>
      </c>
      <c r="I718" t="s">
        <v>4556</v>
      </c>
      <c r="J718" t="s">
        <v>230</v>
      </c>
      <c r="K718" t="s">
        <v>4557</v>
      </c>
      <c r="L718" t="s">
        <v>4556</v>
      </c>
      <c r="M718" t="s">
        <v>2760</v>
      </c>
    </row>
    <row r="719" spans="1:13" x14ac:dyDescent="0.15">
      <c r="A719" t="s">
        <v>4558</v>
      </c>
      <c r="B719" t="s">
        <v>14</v>
      </c>
      <c r="C719" t="s">
        <v>23</v>
      </c>
      <c r="D719" t="s">
        <v>4559</v>
      </c>
      <c r="E719" t="s">
        <v>4560</v>
      </c>
      <c r="F719" t="s">
        <v>4561</v>
      </c>
      <c r="G719" t="s">
        <v>2291</v>
      </c>
      <c r="H719" t="s">
        <v>2291</v>
      </c>
      <c r="I719" t="s">
        <v>2292</v>
      </c>
      <c r="J719" t="s">
        <v>20</v>
      </c>
      <c r="K719" t="s">
        <v>786</v>
      </c>
      <c r="L719" t="s">
        <v>2292</v>
      </c>
      <c r="M719" t="s">
        <v>41</v>
      </c>
    </row>
    <row r="720" spans="1:13" x14ac:dyDescent="0.15">
      <c r="A720" t="s">
        <v>4562</v>
      </c>
      <c r="B720" t="s">
        <v>14</v>
      </c>
      <c r="C720" t="s">
        <v>23</v>
      </c>
      <c r="D720" t="s">
        <v>4563</v>
      </c>
      <c r="E720" t="s">
        <v>4564</v>
      </c>
      <c r="F720" t="s">
        <v>4565</v>
      </c>
      <c r="G720" t="s">
        <v>4140</v>
      </c>
      <c r="H720" t="s">
        <v>4140</v>
      </c>
      <c r="I720" t="s">
        <v>4128</v>
      </c>
      <c r="J720" t="s">
        <v>95</v>
      </c>
      <c r="K720" t="s">
        <v>87</v>
      </c>
      <c r="L720" t="s">
        <v>103</v>
      </c>
      <c r="M720" t="s">
        <v>104</v>
      </c>
    </row>
    <row r="721" spans="1:13" x14ac:dyDescent="0.15">
      <c r="A721" t="s">
        <v>4566</v>
      </c>
      <c r="B721" t="s">
        <v>14</v>
      </c>
      <c r="C721" t="s">
        <v>23</v>
      </c>
      <c r="D721" t="s">
        <v>4567</v>
      </c>
      <c r="E721" t="s">
        <v>4568</v>
      </c>
      <c r="F721" t="s">
        <v>4569</v>
      </c>
      <c r="G721" t="s">
        <v>4570</v>
      </c>
      <c r="H721" t="s">
        <v>4570</v>
      </c>
      <c r="I721" t="s">
        <v>4571</v>
      </c>
      <c r="J721" t="s">
        <v>38</v>
      </c>
      <c r="K721" t="s">
        <v>72</v>
      </c>
      <c r="L721" t="s">
        <v>4572</v>
      </c>
      <c r="M721" t="s">
        <v>104</v>
      </c>
    </row>
    <row r="722" spans="1:13" x14ac:dyDescent="0.15">
      <c r="A722" t="s">
        <v>4573</v>
      </c>
      <c r="B722" t="s">
        <v>14</v>
      </c>
      <c r="C722" t="s">
        <v>118</v>
      </c>
      <c r="D722" t="s">
        <v>4574</v>
      </c>
      <c r="E722" t="s">
        <v>4575</v>
      </c>
      <c r="F722" t="s">
        <v>4576</v>
      </c>
      <c r="G722" t="s">
        <v>3741</v>
      </c>
      <c r="H722" t="s">
        <v>3741</v>
      </c>
      <c r="I722" t="s">
        <v>4577</v>
      </c>
      <c r="J722" t="s">
        <v>481</v>
      </c>
      <c r="K722" t="s">
        <v>173</v>
      </c>
      <c r="L722" t="s">
        <v>4577</v>
      </c>
      <c r="M722" t="s">
        <v>361</v>
      </c>
    </row>
    <row r="723" spans="1:13" x14ac:dyDescent="0.15">
      <c r="A723" t="s">
        <v>4578</v>
      </c>
      <c r="B723" t="s">
        <v>14</v>
      </c>
      <c r="C723" t="s">
        <v>118</v>
      </c>
      <c r="D723" t="s">
        <v>4579</v>
      </c>
      <c r="E723" t="s">
        <v>4580</v>
      </c>
      <c r="F723" t="s">
        <v>4581</v>
      </c>
      <c r="G723" t="s">
        <v>1367</v>
      </c>
      <c r="H723" t="s">
        <v>1367</v>
      </c>
      <c r="I723" t="s">
        <v>4582</v>
      </c>
      <c r="J723" t="s">
        <v>481</v>
      </c>
      <c r="K723" t="s">
        <v>256</v>
      </c>
      <c r="L723" t="s">
        <v>4582</v>
      </c>
      <c r="M723" t="s">
        <v>353</v>
      </c>
    </row>
    <row r="724" spans="1:13" x14ac:dyDescent="0.15">
      <c r="A724" t="s">
        <v>4583</v>
      </c>
      <c r="B724" t="s">
        <v>14</v>
      </c>
      <c r="C724" t="s">
        <v>118</v>
      </c>
      <c r="D724" t="s">
        <v>4584</v>
      </c>
      <c r="E724" t="s">
        <v>4585</v>
      </c>
      <c r="F724" t="s">
        <v>4586</v>
      </c>
      <c r="G724" t="s">
        <v>1367</v>
      </c>
      <c r="H724" t="s">
        <v>1367</v>
      </c>
      <c r="I724" t="s">
        <v>4582</v>
      </c>
      <c r="J724" t="s">
        <v>481</v>
      </c>
      <c r="K724" t="s">
        <v>540</v>
      </c>
      <c r="L724" t="s">
        <v>4582</v>
      </c>
      <c r="M724" t="s">
        <v>353</v>
      </c>
    </row>
    <row r="725" spans="1:13" x14ac:dyDescent="0.15">
      <c r="A725" t="s">
        <v>4587</v>
      </c>
      <c r="B725" t="s">
        <v>14</v>
      </c>
      <c r="C725" t="s">
        <v>23</v>
      </c>
      <c r="D725" t="s">
        <v>4588</v>
      </c>
      <c r="E725" t="s">
        <v>4589</v>
      </c>
      <c r="F725" t="s">
        <v>4590</v>
      </c>
      <c r="G725" t="s">
        <v>4591</v>
      </c>
      <c r="H725" t="s">
        <v>4591</v>
      </c>
      <c r="I725" t="s">
        <v>4592</v>
      </c>
      <c r="J725" t="s">
        <v>214</v>
      </c>
      <c r="K725" t="s">
        <v>239</v>
      </c>
      <c r="L725" t="s">
        <v>4592</v>
      </c>
      <c r="M725" t="s">
        <v>41</v>
      </c>
    </row>
    <row r="726" spans="1:13" x14ac:dyDescent="0.15">
      <c r="A726" t="s">
        <v>4593</v>
      </c>
      <c r="B726" t="s">
        <v>14</v>
      </c>
      <c r="C726" t="s">
        <v>118</v>
      </c>
      <c r="D726" t="s">
        <v>4594</v>
      </c>
      <c r="E726" t="s">
        <v>4595</v>
      </c>
      <c r="F726" t="s">
        <v>4596</v>
      </c>
      <c r="G726" t="s">
        <v>4597</v>
      </c>
      <c r="H726" t="s">
        <v>4597</v>
      </c>
      <c r="I726" t="s">
        <v>2199</v>
      </c>
      <c r="J726" t="s">
        <v>481</v>
      </c>
      <c r="K726" t="s">
        <v>271</v>
      </c>
      <c r="L726" t="s">
        <v>2199</v>
      </c>
      <c r="M726" t="s">
        <v>353</v>
      </c>
    </row>
    <row r="727" spans="1:13" x14ac:dyDescent="0.15">
      <c r="A727" t="s">
        <v>4598</v>
      </c>
      <c r="B727" t="s">
        <v>14</v>
      </c>
      <c r="C727" t="s">
        <v>23</v>
      </c>
      <c r="D727" t="s">
        <v>4599</v>
      </c>
      <c r="E727" t="s">
        <v>4600</v>
      </c>
      <c r="F727" t="s">
        <v>4601</v>
      </c>
      <c r="G727" t="s">
        <v>4602</v>
      </c>
      <c r="H727" t="s">
        <v>4602</v>
      </c>
      <c r="I727" t="s">
        <v>4603</v>
      </c>
      <c r="J727" t="s">
        <v>344</v>
      </c>
      <c r="K727" t="s">
        <v>1281</v>
      </c>
      <c r="L727" t="s">
        <v>4604</v>
      </c>
      <c r="M727" t="s">
        <v>80</v>
      </c>
    </row>
    <row r="728" spans="1:13" x14ac:dyDescent="0.15">
      <c r="A728" t="s">
        <v>4605</v>
      </c>
      <c r="B728" t="s">
        <v>14</v>
      </c>
      <c r="C728" t="s">
        <v>23</v>
      </c>
      <c r="D728" t="s">
        <v>4606</v>
      </c>
      <c r="E728" t="s">
        <v>4607</v>
      </c>
      <c r="F728" t="s">
        <v>4608</v>
      </c>
      <c r="H728" t="s">
        <v>4609</v>
      </c>
      <c r="I728" t="s">
        <v>4610</v>
      </c>
      <c r="J728" t="s">
        <v>344</v>
      </c>
      <c r="K728" t="s">
        <v>1022</v>
      </c>
      <c r="L728" t="s">
        <v>4611</v>
      </c>
      <c r="M728" t="s">
        <v>41</v>
      </c>
    </row>
    <row r="729" spans="1:13" x14ac:dyDescent="0.15">
      <c r="A729" t="s">
        <v>4612</v>
      </c>
      <c r="B729" t="s">
        <v>14</v>
      </c>
      <c r="C729" t="s">
        <v>23</v>
      </c>
      <c r="D729" t="s">
        <v>4613</v>
      </c>
      <c r="E729" t="s">
        <v>4614</v>
      </c>
      <c r="F729" t="s">
        <v>4615</v>
      </c>
      <c r="G729" t="s">
        <v>4616</v>
      </c>
      <c r="H729" t="s">
        <v>4616</v>
      </c>
      <c r="I729" t="s">
        <v>4617</v>
      </c>
      <c r="J729" t="s">
        <v>344</v>
      </c>
      <c r="K729" t="s">
        <v>1208</v>
      </c>
      <c r="L729" t="s">
        <v>46</v>
      </c>
      <c r="M729" t="s">
        <v>41</v>
      </c>
    </row>
    <row r="730" spans="1:13" x14ac:dyDescent="0.15">
      <c r="A730" t="s">
        <v>4618</v>
      </c>
      <c r="B730" t="s">
        <v>14</v>
      </c>
      <c r="C730" t="s">
        <v>23</v>
      </c>
      <c r="D730" t="s">
        <v>4619</v>
      </c>
      <c r="E730" t="s">
        <v>4620</v>
      </c>
      <c r="F730" t="s">
        <v>4621</v>
      </c>
      <c r="G730" t="s">
        <v>2065</v>
      </c>
      <c r="H730" t="s">
        <v>2065</v>
      </c>
      <c r="I730" t="s">
        <v>4622</v>
      </c>
      <c r="J730" t="s">
        <v>344</v>
      </c>
      <c r="K730" t="s">
        <v>3547</v>
      </c>
      <c r="L730" t="s">
        <v>4623</v>
      </c>
      <c r="M730" t="s">
        <v>41</v>
      </c>
    </row>
    <row r="731" spans="1:13" x14ac:dyDescent="0.15">
      <c r="A731" t="s">
        <v>4624</v>
      </c>
      <c r="B731" t="s">
        <v>14</v>
      </c>
      <c r="C731" t="s">
        <v>118</v>
      </c>
      <c r="D731" t="s">
        <v>4625</v>
      </c>
      <c r="E731" t="s">
        <v>4626</v>
      </c>
      <c r="F731" t="s">
        <v>4627</v>
      </c>
      <c r="G731" t="s">
        <v>4628</v>
      </c>
      <c r="H731" t="s">
        <v>4628</v>
      </c>
      <c r="I731" t="s">
        <v>4629</v>
      </c>
      <c r="J731" t="s">
        <v>199</v>
      </c>
      <c r="K731" t="s">
        <v>1030</v>
      </c>
      <c r="L731" t="s">
        <v>4629</v>
      </c>
      <c r="M731" t="s">
        <v>290</v>
      </c>
    </row>
    <row r="732" spans="1:13" x14ac:dyDescent="0.15">
      <c r="A732" t="s">
        <v>4630</v>
      </c>
      <c r="B732" t="s">
        <v>14</v>
      </c>
      <c r="C732" t="s">
        <v>118</v>
      </c>
      <c r="D732" t="s">
        <v>4631</v>
      </c>
      <c r="E732" t="s">
        <v>4632</v>
      </c>
      <c r="F732" t="s">
        <v>4633</v>
      </c>
      <c r="G732" t="s">
        <v>4634</v>
      </c>
      <c r="H732" t="s">
        <v>4634</v>
      </c>
      <c r="I732" t="s">
        <v>4635</v>
      </c>
      <c r="J732" t="s">
        <v>246</v>
      </c>
      <c r="K732" t="s">
        <v>4636</v>
      </c>
      <c r="L732" t="s">
        <v>4635</v>
      </c>
      <c r="M732" t="s">
        <v>1972</v>
      </c>
    </row>
    <row r="733" spans="1:13" x14ac:dyDescent="0.15">
      <c r="A733" t="s">
        <v>4637</v>
      </c>
      <c r="B733" t="s">
        <v>14</v>
      </c>
      <c r="C733" t="s">
        <v>118</v>
      </c>
      <c r="D733" t="s">
        <v>4638</v>
      </c>
      <c r="E733" t="s">
        <v>4639</v>
      </c>
      <c r="F733" t="s">
        <v>4640</v>
      </c>
      <c r="G733" t="s">
        <v>4641</v>
      </c>
      <c r="H733" t="s">
        <v>4641</v>
      </c>
      <c r="I733" t="s">
        <v>4642</v>
      </c>
      <c r="J733" t="s">
        <v>255</v>
      </c>
      <c r="K733" t="s">
        <v>231</v>
      </c>
      <c r="L733" t="s">
        <v>4642</v>
      </c>
      <c r="M733" t="s">
        <v>41</v>
      </c>
    </row>
    <row r="734" spans="1:13" x14ac:dyDescent="0.15">
      <c r="A734" t="s">
        <v>4643</v>
      </c>
      <c r="B734" t="s">
        <v>14</v>
      </c>
      <c r="C734" t="s">
        <v>118</v>
      </c>
      <c r="D734" t="s">
        <v>4644</v>
      </c>
      <c r="E734" t="s">
        <v>4645</v>
      </c>
      <c r="F734" t="s">
        <v>4646</v>
      </c>
      <c r="G734" t="s">
        <v>4647</v>
      </c>
      <c r="H734" t="s">
        <v>4647</v>
      </c>
      <c r="I734" t="s">
        <v>4648</v>
      </c>
      <c r="J734" t="s">
        <v>246</v>
      </c>
      <c r="K734" t="s">
        <v>2037</v>
      </c>
      <c r="L734" t="s">
        <v>4648</v>
      </c>
      <c r="M734" t="s">
        <v>272</v>
      </c>
    </row>
    <row r="735" spans="1:13" x14ac:dyDescent="0.15">
      <c r="A735" t="s">
        <v>4649</v>
      </c>
      <c r="B735" t="s">
        <v>14</v>
      </c>
      <c r="C735" t="s">
        <v>118</v>
      </c>
      <c r="D735" t="s">
        <v>4650</v>
      </c>
      <c r="E735" t="s">
        <v>4651</v>
      </c>
      <c r="F735" t="s">
        <v>4652</v>
      </c>
      <c r="G735" t="s">
        <v>4653</v>
      </c>
      <c r="H735" t="s">
        <v>4653</v>
      </c>
      <c r="I735" t="s">
        <v>4654</v>
      </c>
      <c r="J735" t="s">
        <v>246</v>
      </c>
      <c r="K735" t="s">
        <v>64</v>
      </c>
      <c r="L735" t="s">
        <v>4654</v>
      </c>
      <c r="M735" t="s">
        <v>279</v>
      </c>
    </row>
    <row r="736" spans="1:13" x14ac:dyDescent="0.15">
      <c r="A736" t="s">
        <v>4655</v>
      </c>
      <c r="B736" t="s">
        <v>14</v>
      </c>
      <c r="C736" t="s">
        <v>118</v>
      </c>
      <c r="D736" t="s">
        <v>4656</v>
      </c>
      <c r="E736" t="s">
        <v>4657</v>
      </c>
      <c r="F736" t="s">
        <v>4658</v>
      </c>
      <c r="G736" t="s">
        <v>4659</v>
      </c>
      <c r="H736" t="s">
        <v>4659</v>
      </c>
      <c r="I736" t="s">
        <v>2272</v>
      </c>
      <c r="J736" t="s">
        <v>246</v>
      </c>
      <c r="K736" t="s">
        <v>1104</v>
      </c>
      <c r="L736" t="s">
        <v>2272</v>
      </c>
      <c r="M736" t="s">
        <v>279</v>
      </c>
    </row>
    <row r="737" spans="1:13" x14ac:dyDescent="0.15">
      <c r="A737" t="s">
        <v>4660</v>
      </c>
      <c r="B737" t="s">
        <v>14</v>
      </c>
      <c r="C737" t="s">
        <v>23</v>
      </c>
      <c r="D737" t="s">
        <v>4661</v>
      </c>
      <c r="E737" t="s">
        <v>4662</v>
      </c>
      <c r="F737" t="s">
        <v>4663</v>
      </c>
      <c r="G737" t="s">
        <v>4664</v>
      </c>
      <c r="H737" t="s">
        <v>4664</v>
      </c>
      <c r="I737" t="s">
        <v>4665</v>
      </c>
      <c r="J737" t="s">
        <v>124</v>
      </c>
      <c r="K737" t="s">
        <v>431</v>
      </c>
      <c r="L737" t="s">
        <v>4665</v>
      </c>
      <c r="M737" t="s">
        <v>41</v>
      </c>
    </row>
    <row r="738" spans="1:13" x14ac:dyDescent="0.15">
      <c r="A738" t="s">
        <v>4666</v>
      </c>
      <c r="B738" t="s">
        <v>14</v>
      </c>
      <c r="C738" t="s">
        <v>118</v>
      </c>
      <c r="D738" t="s">
        <v>4667</v>
      </c>
      <c r="E738" t="s">
        <v>4668</v>
      </c>
      <c r="F738" t="s">
        <v>4669</v>
      </c>
      <c r="G738" t="s">
        <v>4670</v>
      </c>
      <c r="H738" t="s">
        <v>4670</v>
      </c>
      <c r="I738" t="s">
        <v>4671</v>
      </c>
      <c r="J738" t="s">
        <v>246</v>
      </c>
      <c r="K738" t="s">
        <v>1541</v>
      </c>
      <c r="L738" t="s">
        <v>4671</v>
      </c>
      <c r="M738" t="s">
        <v>279</v>
      </c>
    </row>
    <row r="739" spans="1:13" x14ac:dyDescent="0.15">
      <c r="A739" t="s">
        <v>4672</v>
      </c>
      <c r="B739" t="s">
        <v>14</v>
      </c>
      <c r="C739" t="s">
        <v>23</v>
      </c>
      <c r="D739" t="s">
        <v>4673</v>
      </c>
      <c r="E739" t="s">
        <v>4674</v>
      </c>
      <c r="F739" t="s">
        <v>4675</v>
      </c>
      <c r="G739" t="s">
        <v>4676</v>
      </c>
      <c r="H739" t="s">
        <v>4676</v>
      </c>
      <c r="I739" t="s">
        <v>3167</v>
      </c>
      <c r="J739" t="s">
        <v>124</v>
      </c>
      <c r="K739" t="s">
        <v>2043</v>
      </c>
      <c r="L739" t="s">
        <v>4677</v>
      </c>
      <c r="M739" t="s">
        <v>104</v>
      </c>
    </row>
    <row r="740" spans="1:13" x14ac:dyDescent="0.15">
      <c r="A740" t="s">
        <v>4678</v>
      </c>
      <c r="B740" t="s">
        <v>14</v>
      </c>
      <c r="C740" t="s">
        <v>118</v>
      </c>
      <c r="D740" t="s">
        <v>4679</v>
      </c>
      <c r="E740" t="s">
        <v>4680</v>
      </c>
      <c r="F740" t="s">
        <v>4681</v>
      </c>
      <c r="G740" t="s">
        <v>4682</v>
      </c>
      <c r="H740" t="s">
        <v>4682</v>
      </c>
      <c r="I740" t="s">
        <v>2308</v>
      </c>
      <c r="J740" t="s">
        <v>246</v>
      </c>
      <c r="K740" t="s">
        <v>3321</v>
      </c>
      <c r="L740" t="s">
        <v>2308</v>
      </c>
      <c r="M740" t="s">
        <v>126</v>
      </c>
    </row>
    <row r="741" spans="1:13" x14ac:dyDescent="0.15">
      <c r="A741" t="s">
        <v>4683</v>
      </c>
      <c r="B741" t="s">
        <v>14</v>
      </c>
      <c r="C741" t="s">
        <v>118</v>
      </c>
      <c r="D741" t="s">
        <v>4684</v>
      </c>
      <c r="E741" t="s">
        <v>4685</v>
      </c>
      <c r="F741" t="s">
        <v>4686</v>
      </c>
      <c r="G741" t="s">
        <v>1539</v>
      </c>
      <c r="H741" t="s">
        <v>1539</v>
      </c>
      <c r="I741" t="s">
        <v>4687</v>
      </c>
      <c r="J741" t="s">
        <v>246</v>
      </c>
      <c r="K741" t="s">
        <v>3258</v>
      </c>
      <c r="L741" t="s">
        <v>4687</v>
      </c>
      <c r="M741" t="s">
        <v>41</v>
      </c>
    </row>
    <row r="742" spans="1:13" x14ac:dyDescent="0.15">
      <c r="A742" t="s">
        <v>4688</v>
      </c>
      <c r="B742" t="s">
        <v>14</v>
      </c>
      <c r="C742" t="s">
        <v>15</v>
      </c>
      <c r="D742" t="s">
        <v>4689</v>
      </c>
      <c r="E742" t="s">
        <v>4690</v>
      </c>
      <c r="F742" t="s">
        <v>4691</v>
      </c>
      <c r="G742" t="s">
        <v>4692</v>
      </c>
      <c r="H742" t="s">
        <v>145</v>
      </c>
      <c r="J742" t="s">
        <v>2205</v>
      </c>
      <c r="M742" t="s">
        <v>139</v>
      </c>
    </row>
    <row r="743" spans="1:13" x14ac:dyDescent="0.15">
      <c r="A743" t="s">
        <v>4693</v>
      </c>
      <c r="B743" t="s">
        <v>14</v>
      </c>
      <c r="C743" t="s">
        <v>118</v>
      </c>
      <c r="D743" t="s">
        <v>4694</v>
      </c>
      <c r="E743" t="s">
        <v>4695</v>
      </c>
      <c r="F743" t="s">
        <v>4696</v>
      </c>
      <c r="G743" t="s">
        <v>4697</v>
      </c>
      <c r="H743" t="s">
        <v>4697</v>
      </c>
      <c r="I743" t="s">
        <v>4698</v>
      </c>
      <c r="J743" t="s">
        <v>246</v>
      </c>
      <c r="K743" t="s">
        <v>2122</v>
      </c>
      <c r="L743" t="s">
        <v>4698</v>
      </c>
      <c r="M743" t="s">
        <v>80</v>
      </c>
    </row>
    <row r="744" spans="1:13" x14ac:dyDescent="0.15">
      <c r="A744" t="s">
        <v>4699</v>
      </c>
      <c r="B744" t="s">
        <v>14</v>
      </c>
      <c r="C744" t="s">
        <v>118</v>
      </c>
      <c r="D744" t="s">
        <v>4700</v>
      </c>
      <c r="E744" t="s">
        <v>4701</v>
      </c>
      <c r="F744" t="s">
        <v>4702</v>
      </c>
      <c r="G744" t="s">
        <v>4703</v>
      </c>
      <c r="H744" t="s">
        <v>4703</v>
      </c>
      <c r="I744" t="s">
        <v>4704</v>
      </c>
      <c r="J744" t="s">
        <v>230</v>
      </c>
      <c r="K744" t="s">
        <v>312</v>
      </c>
      <c r="L744" t="s">
        <v>4704</v>
      </c>
      <c r="M744" t="s">
        <v>3944</v>
      </c>
    </row>
    <row r="745" spans="1:13" x14ac:dyDescent="0.15">
      <c r="A745" t="s">
        <v>4705</v>
      </c>
      <c r="B745" t="s">
        <v>14</v>
      </c>
      <c r="C745" t="s">
        <v>118</v>
      </c>
      <c r="D745" t="s">
        <v>4706</v>
      </c>
      <c r="E745" t="s">
        <v>4707</v>
      </c>
      <c r="F745" t="s">
        <v>4708</v>
      </c>
      <c r="G745" t="s">
        <v>4709</v>
      </c>
      <c r="H745" t="s">
        <v>4709</v>
      </c>
      <c r="I745" t="s">
        <v>3282</v>
      </c>
      <c r="J745" t="s">
        <v>230</v>
      </c>
      <c r="K745" t="s">
        <v>567</v>
      </c>
      <c r="L745" t="s">
        <v>3282</v>
      </c>
      <c r="M745" t="s">
        <v>2017</v>
      </c>
    </row>
    <row r="746" spans="1:13" x14ac:dyDescent="0.15">
      <c r="A746" t="s">
        <v>4710</v>
      </c>
      <c r="B746" t="s">
        <v>14</v>
      </c>
      <c r="C746" t="s">
        <v>118</v>
      </c>
      <c r="D746" t="s">
        <v>4711</v>
      </c>
      <c r="E746" t="s">
        <v>4712</v>
      </c>
      <c r="F746" t="s">
        <v>4713</v>
      </c>
      <c r="G746" t="s">
        <v>4714</v>
      </c>
      <c r="H746" t="s">
        <v>4714</v>
      </c>
      <c r="I746" t="s">
        <v>4715</v>
      </c>
      <c r="J746" t="s">
        <v>255</v>
      </c>
      <c r="K746" t="s">
        <v>256</v>
      </c>
      <c r="L746" t="s">
        <v>4715</v>
      </c>
      <c r="M746" t="s">
        <v>432</v>
      </c>
    </row>
    <row r="747" spans="1:13" x14ac:dyDescent="0.15">
      <c r="A747" t="s">
        <v>4716</v>
      </c>
      <c r="B747" t="s">
        <v>14</v>
      </c>
      <c r="C747" t="s">
        <v>118</v>
      </c>
      <c r="D747" t="s">
        <v>4717</v>
      </c>
      <c r="E747" t="s">
        <v>4718</v>
      </c>
      <c r="F747" t="s">
        <v>4719</v>
      </c>
      <c r="G747" t="s">
        <v>4720</v>
      </c>
      <c r="H747" t="s">
        <v>4720</v>
      </c>
      <c r="I747" t="s">
        <v>4721</v>
      </c>
      <c r="J747" t="s">
        <v>181</v>
      </c>
      <c r="K747" t="s">
        <v>30</v>
      </c>
      <c r="L747" t="s">
        <v>4721</v>
      </c>
      <c r="M747" t="s">
        <v>21</v>
      </c>
    </row>
    <row r="748" spans="1:13" x14ac:dyDescent="0.15">
      <c r="A748" t="s">
        <v>4722</v>
      </c>
      <c r="B748" t="s">
        <v>14</v>
      </c>
      <c r="C748" t="s">
        <v>118</v>
      </c>
      <c r="D748" t="s">
        <v>4723</v>
      </c>
      <c r="E748" t="s">
        <v>4724</v>
      </c>
      <c r="F748" t="s">
        <v>4725</v>
      </c>
      <c r="H748" t="s">
        <v>4726</v>
      </c>
      <c r="I748" t="s">
        <v>4727</v>
      </c>
      <c r="J748" t="s">
        <v>156</v>
      </c>
      <c r="K748" t="s">
        <v>1526</v>
      </c>
      <c r="L748" t="s">
        <v>4727</v>
      </c>
      <c r="M748" t="s">
        <v>216</v>
      </c>
    </row>
    <row r="749" spans="1:13" x14ac:dyDescent="0.15">
      <c r="A749" t="s">
        <v>4728</v>
      </c>
      <c r="B749" t="s">
        <v>14</v>
      </c>
      <c r="C749" t="s">
        <v>118</v>
      </c>
      <c r="D749" t="s">
        <v>4729</v>
      </c>
      <c r="E749" t="s">
        <v>4730</v>
      </c>
      <c r="F749" t="s">
        <v>4731</v>
      </c>
      <c r="G749" t="s">
        <v>4732</v>
      </c>
      <c r="H749" t="s">
        <v>4732</v>
      </c>
      <c r="I749" t="s">
        <v>4733</v>
      </c>
      <c r="J749" t="s">
        <v>481</v>
      </c>
      <c r="K749" t="s">
        <v>839</v>
      </c>
      <c r="L749" t="s">
        <v>4733</v>
      </c>
      <c r="M749" t="s">
        <v>192</v>
      </c>
    </row>
    <row r="750" spans="1:13" x14ac:dyDescent="0.15">
      <c r="A750" t="s">
        <v>4734</v>
      </c>
      <c r="B750" t="s">
        <v>14</v>
      </c>
      <c r="C750" t="s">
        <v>118</v>
      </c>
      <c r="D750" t="s">
        <v>4735</v>
      </c>
      <c r="E750" t="s">
        <v>4736</v>
      </c>
      <c r="F750" t="s">
        <v>4737</v>
      </c>
      <c r="G750" t="s">
        <v>4738</v>
      </c>
      <c r="H750" t="s">
        <v>4738</v>
      </c>
      <c r="I750" t="s">
        <v>4739</v>
      </c>
      <c r="J750" t="s">
        <v>206</v>
      </c>
      <c r="K750" t="s">
        <v>2598</v>
      </c>
      <c r="L750" t="s">
        <v>4739</v>
      </c>
      <c r="M750" t="s">
        <v>126</v>
      </c>
    </row>
    <row r="751" spans="1:13" x14ac:dyDescent="0.15">
      <c r="A751" t="s">
        <v>4740</v>
      </c>
      <c r="B751" t="s">
        <v>14</v>
      </c>
      <c r="C751" t="s">
        <v>118</v>
      </c>
      <c r="D751" t="s">
        <v>4741</v>
      </c>
      <c r="E751" t="s">
        <v>4742</v>
      </c>
      <c r="F751" t="s">
        <v>4743</v>
      </c>
      <c r="G751" t="s">
        <v>4744</v>
      </c>
      <c r="H751" t="s">
        <v>4744</v>
      </c>
      <c r="I751" t="s">
        <v>4745</v>
      </c>
      <c r="J751" t="s">
        <v>206</v>
      </c>
      <c r="K751" t="s">
        <v>938</v>
      </c>
      <c r="L751" t="s">
        <v>4745</v>
      </c>
      <c r="M751" t="s">
        <v>126</v>
      </c>
    </row>
    <row r="752" spans="1:13" x14ac:dyDescent="0.15">
      <c r="A752" t="s">
        <v>4746</v>
      </c>
      <c r="B752" t="s">
        <v>14</v>
      </c>
      <c r="C752" t="s">
        <v>118</v>
      </c>
      <c r="D752" t="s">
        <v>3273</v>
      </c>
      <c r="E752" t="s">
        <v>4747</v>
      </c>
      <c r="F752" t="s">
        <v>4748</v>
      </c>
      <c r="G752" t="s">
        <v>4749</v>
      </c>
      <c r="H752" t="s">
        <v>4749</v>
      </c>
      <c r="I752" t="s">
        <v>4750</v>
      </c>
      <c r="J752" t="s">
        <v>20</v>
      </c>
      <c r="K752" t="s">
        <v>1104</v>
      </c>
      <c r="L752" t="s">
        <v>4750</v>
      </c>
      <c r="M752" t="s">
        <v>2760</v>
      </c>
    </row>
    <row r="753" spans="1:13" x14ac:dyDescent="0.15">
      <c r="A753" t="s">
        <v>4751</v>
      </c>
      <c r="B753" t="s">
        <v>14</v>
      </c>
      <c r="C753" t="s">
        <v>118</v>
      </c>
      <c r="D753" t="s">
        <v>2908</v>
      </c>
      <c r="E753" t="s">
        <v>4752</v>
      </c>
      <c r="F753" t="s">
        <v>4753</v>
      </c>
      <c r="G753" t="s">
        <v>4754</v>
      </c>
      <c r="H753" t="s">
        <v>4754</v>
      </c>
      <c r="I753" t="s">
        <v>4755</v>
      </c>
      <c r="J753" t="s">
        <v>20</v>
      </c>
      <c r="K753" t="s">
        <v>1158</v>
      </c>
      <c r="L753" t="s">
        <v>4755</v>
      </c>
      <c r="M753" t="s">
        <v>3389</v>
      </c>
    </row>
    <row r="754" spans="1:13" x14ac:dyDescent="0.15">
      <c r="A754" t="s">
        <v>4756</v>
      </c>
      <c r="B754" t="s">
        <v>14</v>
      </c>
      <c r="C754" t="s">
        <v>118</v>
      </c>
      <c r="D754" t="s">
        <v>2915</v>
      </c>
      <c r="E754" t="s">
        <v>4757</v>
      </c>
      <c r="F754" t="s">
        <v>4758</v>
      </c>
      <c r="G754" t="s">
        <v>4759</v>
      </c>
      <c r="H754" t="s">
        <v>4759</v>
      </c>
      <c r="I754" t="s">
        <v>4760</v>
      </c>
      <c r="J754" t="s">
        <v>20</v>
      </c>
      <c r="K754" t="s">
        <v>4761</v>
      </c>
      <c r="L754" t="s">
        <v>4760</v>
      </c>
      <c r="M754" t="s">
        <v>3389</v>
      </c>
    </row>
    <row r="755" spans="1:13" x14ac:dyDescent="0.15">
      <c r="A755" t="s">
        <v>4762</v>
      </c>
      <c r="B755" t="s">
        <v>14</v>
      </c>
      <c r="C755" t="s">
        <v>118</v>
      </c>
      <c r="D755" t="s">
        <v>2933</v>
      </c>
      <c r="E755" t="s">
        <v>4763</v>
      </c>
      <c r="F755" t="s">
        <v>4764</v>
      </c>
      <c r="G755" t="s">
        <v>4765</v>
      </c>
      <c r="H755" t="s">
        <v>4765</v>
      </c>
      <c r="I755" t="s">
        <v>4766</v>
      </c>
      <c r="J755" t="s">
        <v>20</v>
      </c>
      <c r="K755" t="s">
        <v>853</v>
      </c>
      <c r="L755" t="s">
        <v>4766</v>
      </c>
      <c r="M755" t="s">
        <v>2760</v>
      </c>
    </row>
    <row r="756" spans="1:13" x14ac:dyDescent="0.15">
      <c r="A756" t="s">
        <v>4767</v>
      </c>
      <c r="B756" t="s">
        <v>14</v>
      </c>
      <c r="C756" t="s">
        <v>118</v>
      </c>
      <c r="D756" t="s">
        <v>4768</v>
      </c>
      <c r="E756" t="s">
        <v>4769</v>
      </c>
      <c r="F756" t="s">
        <v>4770</v>
      </c>
      <c r="G756" t="s">
        <v>4771</v>
      </c>
      <c r="H756" t="s">
        <v>4771</v>
      </c>
      <c r="I756" t="s">
        <v>4772</v>
      </c>
      <c r="J756" t="s">
        <v>297</v>
      </c>
      <c r="K756" t="s">
        <v>452</v>
      </c>
      <c r="L756" t="s">
        <v>4772</v>
      </c>
      <c r="M756" t="s">
        <v>1385</v>
      </c>
    </row>
    <row r="757" spans="1:13" x14ac:dyDescent="0.15">
      <c r="A757" t="s">
        <v>4773</v>
      </c>
      <c r="B757" t="s">
        <v>14</v>
      </c>
      <c r="C757" t="s">
        <v>118</v>
      </c>
      <c r="D757" t="s">
        <v>4774</v>
      </c>
      <c r="E757" t="s">
        <v>4775</v>
      </c>
      <c r="F757" t="s">
        <v>4776</v>
      </c>
      <c r="G757" t="s">
        <v>4771</v>
      </c>
      <c r="H757" t="s">
        <v>4771</v>
      </c>
      <c r="I757" t="s">
        <v>4772</v>
      </c>
      <c r="J757" t="s">
        <v>297</v>
      </c>
      <c r="K757" t="s">
        <v>64</v>
      </c>
      <c r="L757" t="s">
        <v>4772</v>
      </c>
      <c r="M757" t="s">
        <v>1385</v>
      </c>
    </row>
    <row r="758" spans="1:13" x14ac:dyDescent="0.15">
      <c r="A758" t="s">
        <v>4777</v>
      </c>
      <c r="B758" t="s">
        <v>14</v>
      </c>
      <c r="C758" t="s">
        <v>118</v>
      </c>
      <c r="D758" t="s">
        <v>2952</v>
      </c>
      <c r="E758" t="s">
        <v>4778</v>
      </c>
      <c r="F758" t="s">
        <v>4779</v>
      </c>
      <c r="G758" t="s">
        <v>4780</v>
      </c>
      <c r="H758" t="s">
        <v>4780</v>
      </c>
      <c r="I758" t="s">
        <v>4781</v>
      </c>
      <c r="J758" t="s">
        <v>20</v>
      </c>
      <c r="K758" t="s">
        <v>4782</v>
      </c>
      <c r="L758" t="s">
        <v>4781</v>
      </c>
      <c r="M758" t="s">
        <v>3389</v>
      </c>
    </row>
    <row r="759" spans="1:13" x14ac:dyDescent="0.15">
      <c r="A759" t="s">
        <v>4783</v>
      </c>
      <c r="B759" t="s">
        <v>14</v>
      </c>
      <c r="C759" t="s">
        <v>118</v>
      </c>
      <c r="D759" t="s">
        <v>4784</v>
      </c>
      <c r="E759" t="s">
        <v>4785</v>
      </c>
      <c r="F759" t="s">
        <v>4786</v>
      </c>
      <c r="G759" t="s">
        <v>4787</v>
      </c>
      <c r="H759" t="s">
        <v>4787</v>
      </c>
      <c r="I759" t="s">
        <v>4788</v>
      </c>
      <c r="J759" t="s">
        <v>481</v>
      </c>
      <c r="K759" t="s">
        <v>231</v>
      </c>
      <c r="L759" t="s">
        <v>4788</v>
      </c>
      <c r="M759" t="s">
        <v>3238</v>
      </c>
    </row>
    <row r="760" spans="1:13" x14ac:dyDescent="0.15">
      <c r="A760" t="s">
        <v>4789</v>
      </c>
      <c r="B760" t="s">
        <v>14</v>
      </c>
      <c r="C760" t="s">
        <v>118</v>
      </c>
      <c r="D760" t="s">
        <v>4037</v>
      </c>
      <c r="E760" t="s">
        <v>4494</v>
      </c>
      <c r="F760" t="s">
        <v>4790</v>
      </c>
      <c r="H760" t="s">
        <v>145</v>
      </c>
      <c r="J760" t="s">
        <v>1717</v>
      </c>
      <c r="M760" t="s">
        <v>432</v>
      </c>
    </row>
    <row r="761" spans="1:13" x14ac:dyDescent="0.15">
      <c r="A761" t="s">
        <v>4791</v>
      </c>
      <c r="B761" t="s">
        <v>14</v>
      </c>
      <c r="C761" t="s">
        <v>23</v>
      </c>
      <c r="D761" t="s">
        <v>4792</v>
      </c>
      <c r="E761" t="s">
        <v>4793</v>
      </c>
      <c r="F761" t="s">
        <v>4794</v>
      </c>
      <c r="G761" t="s">
        <v>4795</v>
      </c>
      <c r="H761" t="s">
        <v>4795</v>
      </c>
      <c r="I761" t="s">
        <v>4796</v>
      </c>
      <c r="J761" t="s">
        <v>246</v>
      </c>
      <c r="K761" t="s">
        <v>4797</v>
      </c>
      <c r="L761" t="s">
        <v>3074</v>
      </c>
      <c r="M761" t="s">
        <v>104</v>
      </c>
    </row>
    <row r="762" spans="1:13" x14ac:dyDescent="0.15">
      <c r="A762" t="s">
        <v>4798</v>
      </c>
      <c r="B762" t="s">
        <v>14</v>
      </c>
      <c r="C762" t="s">
        <v>118</v>
      </c>
      <c r="D762" t="s">
        <v>4799</v>
      </c>
      <c r="E762" t="s">
        <v>4800</v>
      </c>
      <c r="F762" t="s">
        <v>4801</v>
      </c>
      <c r="G762" t="s">
        <v>4802</v>
      </c>
      <c r="H762" t="s">
        <v>4802</v>
      </c>
      <c r="I762" t="s">
        <v>4803</v>
      </c>
      <c r="J762" t="s">
        <v>246</v>
      </c>
      <c r="K762" t="s">
        <v>173</v>
      </c>
      <c r="L762" t="s">
        <v>4803</v>
      </c>
      <c r="M762" t="s">
        <v>279</v>
      </c>
    </row>
    <row r="763" spans="1:13" x14ac:dyDescent="0.15">
      <c r="A763" t="s">
        <v>4804</v>
      </c>
      <c r="B763" t="s">
        <v>14</v>
      </c>
      <c r="C763" t="s">
        <v>118</v>
      </c>
      <c r="D763" t="s">
        <v>4805</v>
      </c>
      <c r="E763" t="s">
        <v>4806</v>
      </c>
      <c r="F763" t="s">
        <v>4807</v>
      </c>
      <c r="H763" t="s">
        <v>4808</v>
      </c>
      <c r="I763" t="s">
        <v>145</v>
      </c>
      <c r="J763" t="s">
        <v>2181</v>
      </c>
      <c r="K763" t="s">
        <v>2037</v>
      </c>
      <c r="L763" t="s">
        <v>4809</v>
      </c>
      <c r="M763" t="s">
        <v>880</v>
      </c>
    </row>
    <row r="764" spans="1:13" x14ac:dyDescent="0.15">
      <c r="A764" t="s">
        <v>4810</v>
      </c>
      <c r="B764" t="s">
        <v>14</v>
      </c>
      <c r="C764" t="s">
        <v>118</v>
      </c>
      <c r="D764" t="s">
        <v>4811</v>
      </c>
      <c r="E764" t="s">
        <v>4812</v>
      </c>
      <c r="F764" t="s">
        <v>4813</v>
      </c>
      <c r="G764" t="s">
        <v>4814</v>
      </c>
      <c r="H764" t="s">
        <v>4814</v>
      </c>
      <c r="I764" t="s">
        <v>4815</v>
      </c>
      <c r="J764" t="s">
        <v>246</v>
      </c>
      <c r="K764" t="s">
        <v>4816</v>
      </c>
      <c r="L764" t="s">
        <v>4815</v>
      </c>
      <c r="M764" t="s">
        <v>279</v>
      </c>
    </row>
    <row r="765" spans="1:13" x14ac:dyDescent="0.15">
      <c r="A765" t="s">
        <v>4817</v>
      </c>
      <c r="B765" t="s">
        <v>14</v>
      </c>
      <c r="C765" t="s">
        <v>118</v>
      </c>
      <c r="D765" t="s">
        <v>4818</v>
      </c>
      <c r="E765" t="s">
        <v>4819</v>
      </c>
      <c r="F765" t="s">
        <v>4813</v>
      </c>
      <c r="H765" t="s">
        <v>4820</v>
      </c>
      <c r="I765" t="s">
        <v>145</v>
      </c>
      <c r="J765" t="s">
        <v>2181</v>
      </c>
      <c r="K765" t="s">
        <v>452</v>
      </c>
      <c r="L765" t="s">
        <v>4821</v>
      </c>
      <c r="M765" t="s">
        <v>313</v>
      </c>
    </row>
    <row r="766" spans="1:13" x14ac:dyDescent="0.15">
      <c r="A766" t="s">
        <v>4822</v>
      </c>
      <c r="B766" t="s">
        <v>14</v>
      </c>
      <c r="C766" t="s">
        <v>118</v>
      </c>
      <c r="D766" t="s">
        <v>4823</v>
      </c>
      <c r="E766" t="s">
        <v>4824</v>
      </c>
      <c r="F766" t="s">
        <v>4825</v>
      </c>
      <c r="G766" t="s">
        <v>4826</v>
      </c>
      <c r="H766" t="s">
        <v>4826</v>
      </c>
      <c r="I766" t="s">
        <v>145</v>
      </c>
      <c r="J766" t="s">
        <v>2181</v>
      </c>
      <c r="K766" t="s">
        <v>4827</v>
      </c>
      <c r="L766" t="s">
        <v>4828</v>
      </c>
      <c r="M766" t="s">
        <v>313</v>
      </c>
    </row>
    <row r="767" spans="1:13" x14ac:dyDescent="0.15">
      <c r="A767" t="s">
        <v>4829</v>
      </c>
      <c r="B767" t="s">
        <v>14</v>
      </c>
      <c r="C767" t="s">
        <v>118</v>
      </c>
      <c r="D767" t="s">
        <v>4830</v>
      </c>
      <c r="E767" t="s">
        <v>4831</v>
      </c>
      <c r="F767" t="s">
        <v>4832</v>
      </c>
      <c r="G767" t="s">
        <v>4634</v>
      </c>
      <c r="H767" t="s">
        <v>4634</v>
      </c>
      <c r="I767" t="s">
        <v>4635</v>
      </c>
      <c r="J767" t="s">
        <v>246</v>
      </c>
      <c r="K767" t="s">
        <v>271</v>
      </c>
      <c r="L767" t="s">
        <v>4635</v>
      </c>
      <c r="M767" t="s">
        <v>3944</v>
      </c>
    </row>
    <row r="768" spans="1:13" x14ac:dyDescent="0.15">
      <c r="A768" t="s">
        <v>4833</v>
      </c>
      <c r="B768" t="s">
        <v>14</v>
      </c>
      <c r="C768" t="s">
        <v>118</v>
      </c>
      <c r="D768" t="s">
        <v>4834</v>
      </c>
      <c r="E768" t="s">
        <v>4835</v>
      </c>
      <c r="F768" t="s">
        <v>4836</v>
      </c>
      <c r="G768" t="s">
        <v>4837</v>
      </c>
      <c r="H768" t="s">
        <v>4837</v>
      </c>
      <c r="I768" t="s">
        <v>4838</v>
      </c>
      <c r="J768" t="s">
        <v>246</v>
      </c>
      <c r="K768" t="s">
        <v>173</v>
      </c>
      <c r="L768" t="s">
        <v>4838</v>
      </c>
      <c r="M768" t="s">
        <v>812</v>
      </c>
    </row>
    <row r="769" spans="1:13" x14ac:dyDescent="0.15">
      <c r="A769" t="s">
        <v>4839</v>
      </c>
      <c r="B769" t="s">
        <v>14</v>
      </c>
      <c r="C769" t="s">
        <v>23</v>
      </c>
      <c r="D769" t="s">
        <v>4840</v>
      </c>
      <c r="E769" t="s">
        <v>4841</v>
      </c>
      <c r="F769" t="s">
        <v>4842</v>
      </c>
      <c r="G769" t="s">
        <v>4843</v>
      </c>
      <c r="H769" t="s">
        <v>4843</v>
      </c>
      <c r="I769" t="s">
        <v>4844</v>
      </c>
      <c r="J769" t="s">
        <v>124</v>
      </c>
      <c r="K769" t="s">
        <v>1223</v>
      </c>
      <c r="L769" t="s">
        <v>4845</v>
      </c>
      <c r="M769" t="s">
        <v>41</v>
      </c>
    </row>
    <row r="770" spans="1:13" x14ac:dyDescent="0.15">
      <c r="A770" t="s">
        <v>4846</v>
      </c>
      <c r="B770" t="s">
        <v>14</v>
      </c>
      <c r="C770" t="s">
        <v>118</v>
      </c>
      <c r="D770" t="s">
        <v>4847</v>
      </c>
      <c r="E770" t="s">
        <v>4848</v>
      </c>
      <c r="F770" t="s">
        <v>4849</v>
      </c>
      <c r="H770" t="s">
        <v>4850</v>
      </c>
      <c r="I770" t="s">
        <v>145</v>
      </c>
      <c r="J770" t="s">
        <v>2181</v>
      </c>
      <c r="K770" t="s">
        <v>263</v>
      </c>
      <c r="L770" t="s">
        <v>4851</v>
      </c>
      <c r="M770" t="s">
        <v>313</v>
      </c>
    </row>
    <row r="771" spans="1:13" x14ac:dyDescent="0.15">
      <c r="A771" t="s">
        <v>4852</v>
      </c>
      <c r="B771" t="s">
        <v>14</v>
      </c>
      <c r="C771" t="s">
        <v>118</v>
      </c>
      <c r="D771" t="s">
        <v>4853</v>
      </c>
      <c r="E771" t="s">
        <v>4854</v>
      </c>
      <c r="F771" t="s">
        <v>4855</v>
      </c>
      <c r="G771" t="s">
        <v>4856</v>
      </c>
      <c r="H771" t="s">
        <v>145</v>
      </c>
      <c r="I771" t="s">
        <v>4857</v>
      </c>
      <c r="J771" t="s">
        <v>147</v>
      </c>
      <c r="K771" t="s">
        <v>4858</v>
      </c>
      <c r="L771" t="s">
        <v>4859</v>
      </c>
      <c r="M771" t="s">
        <v>183</v>
      </c>
    </row>
    <row r="772" spans="1:13" x14ac:dyDescent="0.15">
      <c r="A772" t="s">
        <v>4860</v>
      </c>
      <c r="B772" t="s">
        <v>14</v>
      </c>
      <c r="C772" t="s">
        <v>118</v>
      </c>
      <c r="D772" t="s">
        <v>4861</v>
      </c>
      <c r="E772" t="s">
        <v>4862</v>
      </c>
      <c r="F772" t="s">
        <v>4863</v>
      </c>
      <c r="G772" t="s">
        <v>4864</v>
      </c>
      <c r="H772" t="s">
        <v>4864</v>
      </c>
      <c r="I772" t="s">
        <v>4865</v>
      </c>
      <c r="J772" t="s">
        <v>415</v>
      </c>
      <c r="K772" t="s">
        <v>231</v>
      </c>
      <c r="L772" t="s">
        <v>4865</v>
      </c>
      <c r="M772" t="s">
        <v>216</v>
      </c>
    </row>
    <row r="773" spans="1:13" x14ac:dyDescent="0.15">
      <c r="A773" t="s">
        <v>4866</v>
      </c>
      <c r="B773" t="s">
        <v>14</v>
      </c>
      <c r="C773" t="s">
        <v>23</v>
      </c>
      <c r="D773" t="s">
        <v>4867</v>
      </c>
      <c r="E773" t="s">
        <v>4868</v>
      </c>
      <c r="F773" t="s">
        <v>4869</v>
      </c>
      <c r="G773" t="s">
        <v>4870</v>
      </c>
      <c r="H773" t="s">
        <v>145</v>
      </c>
      <c r="I773" t="s">
        <v>4871</v>
      </c>
      <c r="J773" t="s">
        <v>147</v>
      </c>
      <c r="K773" t="s">
        <v>4872</v>
      </c>
      <c r="L773" t="s">
        <v>4873</v>
      </c>
      <c r="M773" t="s">
        <v>21</v>
      </c>
    </row>
    <row r="774" spans="1:13" x14ac:dyDescent="0.15">
      <c r="A774" t="s">
        <v>4874</v>
      </c>
      <c r="B774" t="s">
        <v>14</v>
      </c>
      <c r="C774" t="s">
        <v>118</v>
      </c>
      <c r="D774" t="s">
        <v>4875</v>
      </c>
      <c r="E774" t="s">
        <v>4876</v>
      </c>
      <c r="F774" t="s">
        <v>4877</v>
      </c>
      <c r="G774" t="s">
        <v>4878</v>
      </c>
      <c r="H774" t="s">
        <v>145</v>
      </c>
      <c r="I774" t="s">
        <v>4879</v>
      </c>
      <c r="J774" t="s">
        <v>147</v>
      </c>
      <c r="K774" t="s">
        <v>148</v>
      </c>
      <c r="L774" t="s">
        <v>4880</v>
      </c>
      <c r="M774" t="s">
        <v>174</v>
      </c>
    </row>
    <row r="775" spans="1:13" x14ac:dyDescent="0.15">
      <c r="A775" t="s">
        <v>4881</v>
      </c>
      <c r="B775" t="s">
        <v>14</v>
      </c>
      <c r="C775" t="s">
        <v>118</v>
      </c>
      <c r="D775" t="s">
        <v>4882</v>
      </c>
      <c r="E775" t="s">
        <v>4883</v>
      </c>
      <c r="F775" t="s">
        <v>4884</v>
      </c>
      <c r="H775" t="s">
        <v>4885</v>
      </c>
      <c r="I775" t="s">
        <v>4886</v>
      </c>
      <c r="J775" t="s">
        <v>138</v>
      </c>
      <c r="K775" t="s">
        <v>239</v>
      </c>
      <c r="L775" t="s">
        <v>4886</v>
      </c>
      <c r="M775" t="s">
        <v>165</v>
      </c>
    </row>
    <row r="776" spans="1:13" x14ac:dyDescent="0.15">
      <c r="A776" t="s">
        <v>4887</v>
      </c>
      <c r="B776" t="s">
        <v>14</v>
      </c>
      <c r="C776" t="s">
        <v>23</v>
      </c>
      <c r="D776" t="s">
        <v>24</v>
      </c>
      <c r="E776" t="s">
        <v>4888</v>
      </c>
      <c r="F776" t="s">
        <v>4889</v>
      </c>
      <c r="G776" t="s">
        <v>4890</v>
      </c>
      <c r="H776" t="s">
        <v>4890</v>
      </c>
      <c r="I776" t="s">
        <v>4891</v>
      </c>
      <c r="J776" t="s">
        <v>29</v>
      </c>
      <c r="K776" t="s">
        <v>30</v>
      </c>
      <c r="L776" t="s">
        <v>4891</v>
      </c>
      <c r="M776" t="s">
        <v>104</v>
      </c>
    </row>
    <row r="777" spans="1:13" x14ac:dyDescent="0.15">
      <c r="A777" t="s">
        <v>4892</v>
      </c>
      <c r="B777" t="s">
        <v>14</v>
      </c>
      <c r="C777" t="s">
        <v>118</v>
      </c>
      <c r="D777" t="s">
        <v>4893</v>
      </c>
      <c r="E777" t="s">
        <v>4894</v>
      </c>
      <c r="F777" t="s">
        <v>4895</v>
      </c>
      <c r="G777" t="s">
        <v>4896</v>
      </c>
      <c r="H777" t="s">
        <v>4896</v>
      </c>
      <c r="I777" t="s">
        <v>4897</v>
      </c>
      <c r="J777" t="s">
        <v>473</v>
      </c>
      <c r="K777" t="s">
        <v>554</v>
      </c>
      <c r="L777" t="s">
        <v>4897</v>
      </c>
      <c r="M777" t="s">
        <v>80</v>
      </c>
    </row>
    <row r="778" spans="1:13" x14ac:dyDescent="0.15">
      <c r="A778" t="s">
        <v>4898</v>
      </c>
      <c r="B778" t="s">
        <v>14</v>
      </c>
      <c r="C778" t="s">
        <v>23</v>
      </c>
      <c r="D778" t="s">
        <v>4899</v>
      </c>
      <c r="E778" t="s">
        <v>4900</v>
      </c>
      <c r="F778" t="s">
        <v>4901</v>
      </c>
      <c r="G778" t="s">
        <v>4902</v>
      </c>
      <c r="H778" t="s">
        <v>4902</v>
      </c>
      <c r="I778" t="s">
        <v>4903</v>
      </c>
      <c r="J778" t="s">
        <v>481</v>
      </c>
      <c r="K778" t="s">
        <v>1651</v>
      </c>
      <c r="L778" t="s">
        <v>4903</v>
      </c>
      <c r="M778" t="s">
        <v>104</v>
      </c>
    </row>
    <row r="779" spans="1:13" x14ac:dyDescent="0.15">
      <c r="A779" t="s">
        <v>4904</v>
      </c>
      <c r="B779" t="s">
        <v>14</v>
      </c>
      <c r="C779" t="s">
        <v>194</v>
      </c>
      <c r="D779" t="s">
        <v>4905</v>
      </c>
      <c r="E779" t="s">
        <v>4906</v>
      </c>
      <c r="F779" t="s">
        <v>4907</v>
      </c>
      <c r="H779" t="s">
        <v>4908</v>
      </c>
      <c r="J779" t="s">
        <v>156</v>
      </c>
      <c r="M779" t="s">
        <v>139</v>
      </c>
    </row>
    <row r="780" spans="1:13" x14ac:dyDescent="0.15">
      <c r="A780" t="s">
        <v>4909</v>
      </c>
      <c r="B780" t="s">
        <v>14</v>
      </c>
      <c r="C780" t="s">
        <v>118</v>
      </c>
      <c r="D780" t="s">
        <v>4910</v>
      </c>
      <c r="E780" t="s">
        <v>4911</v>
      </c>
      <c r="F780" t="s">
        <v>4912</v>
      </c>
      <c r="H780" t="s">
        <v>145</v>
      </c>
      <c r="I780" t="s">
        <v>4913</v>
      </c>
      <c r="J780" t="s">
        <v>626</v>
      </c>
      <c r="K780" t="s">
        <v>608</v>
      </c>
      <c r="L780" t="s">
        <v>4914</v>
      </c>
      <c r="M780" t="s">
        <v>139</v>
      </c>
    </row>
    <row r="781" spans="1:13" x14ac:dyDescent="0.15">
      <c r="A781" t="s">
        <v>4915</v>
      </c>
      <c r="B781" t="s">
        <v>14</v>
      </c>
      <c r="C781" t="s">
        <v>118</v>
      </c>
      <c r="D781" t="s">
        <v>4916</v>
      </c>
      <c r="E781" t="s">
        <v>4917</v>
      </c>
      <c r="F781" t="s">
        <v>4918</v>
      </c>
      <c r="G781" t="s">
        <v>4919</v>
      </c>
      <c r="H781" t="s">
        <v>4919</v>
      </c>
      <c r="I781" t="s">
        <v>4920</v>
      </c>
      <c r="J781" t="s">
        <v>230</v>
      </c>
      <c r="K781" t="s">
        <v>1541</v>
      </c>
      <c r="L781" t="s">
        <v>4920</v>
      </c>
      <c r="M781" t="s">
        <v>272</v>
      </c>
    </row>
    <row r="782" spans="1:13" x14ac:dyDescent="0.15">
      <c r="A782" t="s">
        <v>4921</v>
      </c>
      <c r="B782" t="s">
        <v>14</v>
      </c>
      <c r="C782" t="s">
        <v>118</v>
      </c>
      <c r="D782" t="s">
        <v>4922</v>
      </c>
      <c r="E782" t="s">
        <v>4923</v>
      </c>
      <c r="F782" t="s">
        <v>4924</v>
      </c>
      <c r="H782" t="s">
        <v>4925</v>
      </c>
      <c r="I782" t="s">
        <v>4926</v>
      </c>
      <c r="J782" t="s">
        <v>230</v>
      </c>
      <c r="K782" t="s">
        <v>1541</v>
      </c>
      <c r="L782" t="s">
        <v>4926</v>
      </c>
      <c r="M782" t="s">
        <v>126</v>
      </c>
    </row>
    <row r="783" spans="1:13" x14ac:dyDescent="0.15">
      <c r="A783" t="s">
        <v>4927</v>
      </c>
      <c r="B783" t="s">
        <v>14</v>
      </c>
      <c r="C783" t="s">
        <v>118</v>
      </c>
      <c r="D783" t="s">
        <v>4928</v>
      </c>
      <c r="E783" t="s">
        <v>4929</v>
      </c>
      <c r="F783" t="s">
        <v>4930</v>
      </c>
      <c r="H783" t="s">
        <v>4931</v>
      </c>
      <c r="I783" t="s">
        <v>4932</v>
      </c>
      <c r="J783" t="s">
        <v>230</v>
      </c>
      <c r="K783" t="s">
        <v>567</v>
      </c>
      <c r="L783" t="s">
        <v>4932</v>
      </c>
      <c r="M783" t="s">
        <v>126</v>
      </c>
    </row>
    <row r="784" spans="1:13" x14ac:dyDescent="0.15">
      <c r="A784" t="s">
        <v>4933</v>
      </c>
      <c r="B784" t="s">
        <v>14</v>
      </c>
      <c r="C784" t="s">
        <v>118</v>
      </c>
      <c r="D784" t="s">
        <v>4934</v>
      </c>
      <c r="E784" t="s">
        <v>4935</v>
      </c>
      <c r="F784" t="s">
        <v>4936</v>
      </c>
      <c r="H784" t="s">
        <v>4937</v>
      </c>
      <c r="I784" t="s">
        <v>4938</v>
      </c>
      <c r="J784" t="s">
        <v>230</v>
      </c>
      <c r="K784" t="s">
        <v>298</v>
      </c>
      <c r="L784" t="s">
        <v>4938</v>
      </c>
      <c r="M784" t="s">
        <v>192</v>
      </c>
    </row>
    <row r="785" spans="1:13" x14ac:dyDescent="0.15">
      <c r="A785" t="s">
        <v>4939</v>
      </c>
      <c r="B785" t="s">
        <v>14</v>
      </c>
      <c r="C785" t="s">
        <v>23</v>
      </c>
      <c r="D785" t="s">
        <v>4940</v>
      </c>
      <c r="E785" t="s">
        <v>4941</v>
      </c>
      <c r="F785" t="s">
        <v>4942</v>
      </c>
      <c r="G785" t="s">
        <v>2128</v>
      </c>
      <c r="H785" t="s">
        <v>2128</v>
      </c>
      <c r="I785" t="s">
        <v>2266</v>
      </c>
      <c r="J785" t="s">
        <v>394</v>
      </c>
      <c r="K785" t="s">
        <v>48</v>
      </c>
      <c r="L785" t="s">
        <v>1534</v>
      </c>
      <c r="M785" t="s">
        <v>104</v>
      </c>
    </row>
    <row r="786" spans="1:13" x14ac:dyDescent="0.15">
      <c r="A786" t="s">
        <v>4943</v>
      </c>
      <c r="B786" t="s">
        <v>14</v>
      </c>
      <c r="C786" t="s">
        <v>118</v>
      </c>
      <c r="D786" t="s">
        <v>4944</v>
      </c>
      <c r="E786" t="s">
        <v>4945</v>
      </c>
      <c r="F786" t="s">
        <v>4946</v>
      </c>
      <c r="G786" t="s">
        <v>4947</v>
      </c>
      <c r="H786" t="s">
        <v>4947</v>
      </c>
      <c r="I786" t="s">
        <v>4948</v>
      </c>
      <c r="J786" t="s">
        <v>255</v>
      </c>
      <c r="K786" t="s">
        <v>540</v>
      </c>
      <c r="L786" t="s">
        <v>4948</v>
      </c>
      <c r="M786" t="s">
        <v>1015</v>
      </c>
    </row>
    <row r="787" spans="1:13" x14ac:dyDescent="0.15">
      <c r="A787" t="s">
        <v>4949</v>
      </c>
      <c r="B787" t="s">
        <v>14</v>
      </c>
      <c r="C787" t="s">
        <v>118</v>
      </c>
      <c r="D787" t="s">
        <v>4950</v>
      </c>
      <c r="E787" t="s">
        <v>4951</v>
      </c>
      <c r="F787" t="s">
        <v>4952</v>
      </c>
      <c r="G787" t="s">
        <v>4953</v>
      </c>
      <c r="H787" t="s">
        <v>4953</v>
      </c>
      <c r="I787" t="s">
        <v>4954</v>
      </c>
      <c r="J787" t="s">
        <v>181</v>
      </c>
      <c r="K787" t="s">
        <v>633</v>
      </c>
      <c r="L787" t="s">
        <v>4955</v>
      </c>
      <c r="M787" t="s">
        <v>432</v>
      </c>
    </row>
    <row r="788" spans="1:13" x14ac:dyDescent="0.15">
      <c r="A788" t="s">
        <v>4956</v>
      </c>
      <c r="B788" t="s">
        <v>14</v>
      </c>
      <c r="C788" t="s">
        <v>118</v>
      </c>
      <c r="D788" t="s">
        <v>4957</v>
      </c>
      <c r="E788" t="s">
        <v>4958</v>
      </c>
      <c r="F788" t="s">
        <v>4959</v>
      </c>
      <c r="G788" t="s">
        <v>4960</v>
      </c>
      <c r="H788" t="s">
        <v>145</v>
      </c>
      <c r="I788" t="s">
        <v>4961</v>
      </c>
      <c r="J788" t="s">
        <v>4962</v>
      </c>
      <c r="K788" t="s">
        <v>173</v>
      </c>
      <c r="L788" t="s">
        <v>4961</v>
      </c>
      <c r="M788" t="s">
        <v>432</v>
      </c>
    </row>
    <row r="789" spans="1:13" x14ac:dyDescent="0.15">
      <c r="A789" t="s">
        <v>4963</v>
      </c>
      <c r="B789" t="s">
        <v>14</v>
      </c>
      <c r="C789" t="s">
        <v>23</v>
      </c>
      <c r="D789" t="s">
        <v>4964</v>
      </c>
      <c r="E789" t="s">
        <v>4965</v>
      </c>
      <c r="F789" t="s">
        <v>4966</v>
      </c>
      <c r="G789" t="s">
        <v>4967</v>
      </c>
      <c r="H789" t="s">
        <v>4967</v>
      </c>
      <c r="I789" t="s">
        <v>4968</v>
      </c>
      <c r="J789" t="s">
        <v>38</v>
      </c>
      <c r="K789" t="s">
        <v>48</v>
      </c>
      <c r="L789" t="s">
        <v>4969</v>
      </c>
      <c r="M789" t="s">
        <v>41</v>
      </c>
    </row>
    <row r="790" spans="1:13" x14ac:dyDescent="0.15">
      <c r="A790" t="s">
        <v>4970</v>
      </c>
      <c r="B790" t="s">
        <v>14</v>
      </c>
      <c r="C790" t="s">
        <v>23</v>
      </c>
      <c r="D790" t="s">
        <v>4971</v>
      </c>
      <c r="E790" t="s">
        <v>4972</v>
      </c>
      <c r="F790" t="s">
        <v>4973</v>
      </c>
      <c r="G790" t="s">
        <v>4967</v>
      </c>
      <c r="H790" t="s">
        <v>4967</v>
      </c>
      <c r="I790" t="s">
        <v>4974</v>
      </c>
      <c r="J790" t="s">
        <v>38</v>
      </c>
      <c r="K790" t="s">
        <v>56</v>
      </c>
      <c r="L790" t="s">
        <v>1472</v>
      </c>
      <c r="M790" t="s">
        <v>41</v>
      </c>
    </row>
    <row r="791" spans="1:13" x14ac:dyDescent="0.15">
      <c r="A791" t="s">
        <v>4975</v>
      </c>
      <c r="B791" t="s">
        <v>14</v>
      </c>
      <c r="C791" t="s">
        <v>23</v>
      </c>
      <c r="D791" t="s">
        <v>4976</v>
      </c>
      <c r="E791" t="s">
        <v>4977</v>
      </c>
      <c r="F791" t="s">
        <v>4978</v>
      </c>
      <c r="G791" t="s">
        <v>4979</v>
      </c>
      <c r="H791" t="s">
        <v>4979</v>
      </c>
      <c r="I791" t="s">
        <v>4379</v>
      </c>
      <c r="J791" t="s">
        <v>38</v>
      </c>
      <c r="K791" t="s">
        <v>48</v>
      </c>
      <c r="L791" t="s">
        <v>4980</v>
      </c>
      <c r="M791" t="s">
        <v>104</v>
      </c>
    </row>
    <row r="792" spans="1:13" x14ac:dyDescent="0.15">
      <c r="A792" t="s">
        <v>4981</v>
      </c>
      <c r="B792" t="s">
        <v>14</v>
      </c>
      <c r="C792" t="s">
        <v>23</v>
      </c>
      <c r="D792" t="s">
        <v>4982</v>
      </c>
      <c r="E792" t="s">
        <v>4983</v>
      </c>
      <c r="F792" t="s">
        <v>4984</v>
      </c>
      <c r="G792" t="s">
        <v>4985</v>
      </c>
      <c r="H792" t="s">
        <v>4985</v>
      </c>
      <c r="I792" t="s">
        <v>4463</v>
      </c>
      <c r="J792" t="s">
        <v>138</v>
      </c>
      <c r="K792" t="s">
        <v>271</v>
      </c>
      <c r="L792" t="s">
        <v>4463</v>
      </c>
      <c r="M792" t="s">
        <v>216</v>
      </c>
    </row>
    <row r="793" spans="1:13" x14ac:dyDescent="0.15">
      <c r="A793" t="s">
        <v>4986</v>
      </c>
      <c r="B793" t="s">
        <v>14</v>
      </c>
      <c r="C793" t="s">
        <v>118</v>
      </c>
      <c r="D793" t="s">
        <v>4987</v>
      </c>
      <c r="E793" t="s">
        <v>4988</v>
      </c>
      <c r="F793" t="s">
        <v>4989</v>
      </c>
      <c r="G793" t="s">
        <v>4990</v>
      </c>
      <c r="H793" t="s">
        <v>4990</v>
      </c>
      <c r="I793" t="s">
        <v>4991</v>
      </c>
      <c r="J793" t="s">
        <v>138</v>
      </c>
      <c r="K793" t="s">
        <v>271</v>
      </c>
      <c r="L793" t="s">
        <v>4991</v>
      </c>
      <c r="M793" t="s">
        <v>3225</v>
      </c>
    </row>
    <row r="794" spans="1:13" x14ac:dyDescent="0.15">
      <c r="A794" t="s">
        <v>4992</v>
      </c>
      <c r="B794" t="s">
        <v>14</v>
      </c>
      <c r="C794" t="s">
        <v>118</v>
      </c>
      <c r="D794" t="s">
        <v>4993</v>
      </c>
      <c r="E794" t="s">
        <v>4994</v>
      </c>
      <c r="F794" t="s">
        <v>4995</v>
      </c>
      <c r="G794" t="s">
        <v>4996</v>
      </c>
      <c r="H794" t="s">
        <v>4996</v>
      </c>
      <c r="I794" t="s">
        <v>4997</v>
      </c>
      <c r="J794" t="s">
        <v>138</v>
      </c>
      <c r="K794" t="s">
        <v>215</v>
      </c>
      <c r="L794" t="s">
        <v>4997</v>
      </c>
      <c r="M794" t="s">
        <v>2760</v>
      </c>
    </row>
    <row r="795" spans="1:13" x14ac:dyDescent="0.15">
      <c r="A795" t="s">
        <v>4998</v>
      </c>
      <c r="B795" t="s">
        <v>14</v>
      </c>
      <c r="C795" t="s">
        <v>23</v>
      </c>
      <c r="D795" t="s">
        <v>4999</v>
      </c>
      <c r="E795" t="s">
        <v>5000</v>
      </c>
      <c r="F795" t="s">
        <v>5001</v>
      </c>
      <c r="G795" t="s">
        <v>5002</v>
      </c>
      <c r="H795" t="s">
        <v>5002</v>
      </c>
      <c r="I795" t="s">
        <v>3656</v>
      </c>
      <c r="J795" t="s">
        <v>138</v>
      </c>
      <c r="K795" t="s">
        <v>1930</v>
      </c>
      <c r="L795" t="s">
        <v>1678</v>
      </c>
      <c r="M795" t="s">
        <v>41</v>
      </c>
    </row>
    <row r="796" spans="1:13" x14ac:dyDescent="0.15">
      <c r="A796" t="s">
        <v>5003</v>
      </c>
      <c r="B796" t="s">
        <v>14</v>
      </c>
      <c r="C796" t="s">
        <v>23</v>
      </c>
      <c r="D796" t="s">
        <v>5004</v>
      </c>
      <c r="E796" t="s">
        <v>5005</v>
      </c>
      <c r="F796" t="s">
        <v>5006</v>
      </c>
      <c r="G796" t="s">
        <v>5007</v>
      </c>
      <c r="H796" t="s">
        <v>5007</v>
      </c>
      <c r="I796" t="s">
        <v>5008</v>
      </c>
      <c r="J796" t="s">
        <v>230</v>
      </c>
      <c r="K796" t="s">
        <v>271</v>
      </c>
      <c r="L796" t="s">
        <v>5008</v>
      </c>
      <c r="M796" t="s">
        <v>41</v>
      </c>
    </row>
    <row r="797" spans="1:13" x14ac:dyDescent="0.15">
      <c r="A797" t="s">
        <v>5009</v>
      </c>
      <c r="B797" t="s">
        <v>14</v>
      </c>
      <c r="C797" t="s">
        <v>118</v>
      </c>
      <c r="D797" t="s">
        <v>5010</v>
      </c>
      <c r="E797" t="s">
        <v>5011</v>
      </c>
      <c r="F797" t="s">
        <v>5012</v>
      </c>
      <c r="G797" t="s">
        <v>5013</v>
      </c>
      <c r="H797" t="s">
        <v>5013</v>
      </c>
      <c r="I797" t="s">
        <v>5014</v>
      </c>
      <c r="J797" t="s">
        <v>297</v>
      </c>
      <c r="K797" t="s">
        <v>256</v>
      </c>
      <c r="L797" t="s">
        <v>5014</v>
      </c>
      <c r="M797" t="s">
        <v>31</v>
      </c>
    </row>
    <row r="798" spans="1:13" x14ac:dyDescent="0.15">
      <c r="A798" t="s">
        <v>5015</v>
      </c>
      <c r="B798" t="s">
        <v>14</v>
      </c>
      <c r="C798" t="s">
        <v>23</v>
      </c>
      <c r="D798" t="s">
        <v>5016</v>
      </c>
      <c r="E798" t="s">
        <v>5017</v>
      </c>
      <c r="F798" t="s">
        <v>5018</v>
      </c>
      <c r="G798" t="s">
        <v>5019</v>
      </c>
      <c r="H798" t="s">
        <v>5019</v>
      </c>
      <c r="I798" t="s">
        <v>707</v>
      </c>
      <c r="J798" t="s">
        <v>297</v>
      </c>
      <c r="K798" t="s">
        <v>424</v>
      </c>
      <c r="L798" t="s">
        <v>707</v>
      </c>
      <c r="M798" t="s">
        <v>41</v>
      </c>
    </row>
    <row r="799" spans="1:13" x14ac:dyDescent="0.15">
      <c r="A799" t="s">
        <v>5020</v>
      </c>
      <c r="B799" t="s">
        <v>14</v>
      </c>
      <c r="C799" t="s">
        <v>23</v>
      </c>
      <c r="D799" t="s">
        <v>5021</v>
      </c>
      <c r="E799" t="s">
        <v>5022</v>
      </c>
      <c r="F799" t="s">
        <v>5023</v>
      </c>
      <c r="G799" t="s">
        <v>5024</v>
      </c>
      <c r="H799" t="s">
        <v>5024</v>
      </c>
      <c r="I799" t="s">
        <v>5025</v>
      </c>
      <c r="J799" t="s">
        <v>230</v>
      </c>
      <c r="K799" t="s">
        <v>1333</v>
      </c>
      <c r="L799" t="s">
        <v>2237</v>
      </c>
      <c r="M799" t="s">
        <v>41</v>
      </c>
    </row>
    <row r="800" spans="1:13" x14ac:dyDescent="0.15">
      <c r="A800" t="s">
        <v>5026</v>
      </c>
      <c r="B800" t="s">
        <v>14</v>
      </c>
      <c r="C800" t="s">
        <v>23</v>
      </c>
      <c r="D800" t="s">
        <v>5027</v>
      </c>
      <c r="E800" t="s">
        <v>5028</v>
      </c>
      <c r="F800" t="s">
        <v>5029</v>
      </c>
      <c r="G800" t="s">
        <v>5030</v>
      </c>
      <c r="H800" t="s">
        <v>5030</v>
      </c>
      <c r="I800" t="s">
        <v>5031</v>
      </c>
      <c r="J800" t="s">
        <v>297</v>
      </c>
      <c r="K800" t="s">
        <v>271</v>
      </c>
      <c r="L800" t="s">
        <v>5031</v>
      </c>
      <c r="M800" t="s">
        <v>41</v>
      </c>
    </row>
    <row r="801" spans="1:13" x14ac:dyDescent="0.15">
      <c r="A801" t="s">
        <v>5032</v>
      </c>
      <c r="B801" t="s">
        <v>14</v>
      </c>
      <c r="C801" t="s">
        <v>23</v>
      </c>
      <c r="D801" t="s">
        <v>5033</v>
      </c>
      <c r="E801" t="s">
        <v>5034</v>
      </c>
      <c r="F801" t="s">
        <v>5035</v>
      </c>
      <c r="G801" t="s">
        <v>5036</v>
      </c>
      <c r="H801" t="s">
        <v>5036</v>
      </c>
      <c r="I801" t="s">
        <v>5037</v>
      </c>
      <c r="J801" t="s">
        <v>110</v>
      </c>
      <c r="K801" t="s">
        <v>2043</v>
      </c>
      <c r="L801" t="s">
        <v>5038</v>
      </c>
      <c r="M801" t="s">
        <v>361</v>
      </c>
    </row>
    <row r="802" spans="1:13" x14ac:dyDescent="0.15">
      <c r="A802" t="s">
        <v>5039</v>
      </c>
      <c r="B802" t="s">
        <v>14</v>
      </c>
      <c r="C802" t="s">
        <v>23</v>
      </c>
      <c r="D802" t="s">
        <v>5040</v>
      </c>
      <c r="E802" t="s">
        <v>5041</v>
      </c>
      <c r="F802" t="s">
        <v>5042</v>
      </c>
      <c r="G802" t="s">
        <v>1353</v>
      </c>
      <c r="H802" t="s">
        <v>1353</v>
      </c>
      <c r="I802" t="s">
        <v>5043</v>
      </c>
      <c r="J802" t="s">
        <v>214</v>
      </c>
      <c r="K802" t="s">
        <v>256</v>
      </c>
      <c r="L802" t="s">
        <v>5043</v>
      </c>
      <c r="M802" t="s">
        <v>104</v>
      </c>
    </row>
    <row r="803" spans="1:13" x14ac:dyDescent="0.15">
      <c r="A803" t="s">
        <v>5044</v>
      </c>
      <c r="B803" t="s">
        <v>14</v>
      </c>
      <c r="C803" t="s">
        <v>118</v>
      </c>
      <c r="D803" t="s">
        <v>5045</v>
      </c>
      <c r="E803" t="s">
        <v>5046</v>
      </c>
      <c r="F803" t="s">
        <v>5047</v>
      </c>
      <c r="G803" t="s">
        <v>5048</v>
      </c>
      <c r="H803" t="s">
        <v>5048</v>
      </c>
      <c r="I803" t="s">
        <v>5049</v>
      </c>
      <c r="J803" t="s">
        <v>5050</v>
      </c>
      <c r="K803" t="s">
        <v>1541</v>
      </c>
      <c r="L803" t="s">
        <v>5049</v>
      </c>
      <c r="M803" t="s">
        <v>1015</v>
      </c>
    </row>
    <row r="804" spans="1:13" x14ac:dyDescent="0.15">
      <c r="A804" t="s">
        <v>5051</v>
      </c>
      <c r="B804" t="s">
        <v>14</v>
      </c>
      <c r="C804" t="s">
        <v>118</v>
      </c>
      <c r="D804" t="s">
        <v>5052</v>
      </c>
      <c r="E804" t="s">
        <v>5053</v>
      </c>
      <c r="F804" t="s">
        <v>5054</v>
      </c>
      <c r="G804" t="s">
        <v>5055</v>
      </c>
      <c r="H804" t="s">
        <v>5055</v>
      </c>
      <c r="I804" t="s">
        <v>5056</v>
      </c>
      <c r="J804" t="s">
        <v>473</v>
      </c>
      <c r="K804" t="s">
        <v>4106</v>
      </c>
      <c r="L804" t="s">
        <v>5056</v>
      </c>
      <c r="M804" t="s">
        <v>773</v>
      </c>
    </row>
    <row r="805" spans="1:13" x14ac:dyDescent="0.15">
      <c r="A805" t="s">
        <v>5057</v>
      </c>
      <c r="B805" t="s">
        <v>14</v>
      </c>
      <c r="C805" t="s">
        <v>118</v>
      </c>
      <c r="D805" t="s">
        <v>5058</v>
      </c>
      <c r="E805" t="s">
        <v>5059</v>
      </c>
      <c r="F805" t="s">
        <v>5060</v>
      </c>
      <c r="G805" t="s">
        <v>5061</v>
      </c>
      <c r="H805" t="s">
        <v>5061</v>
      </c>
      <c r="I805" t="s">
        <v>778</v>
      </c>
      <c r="J805" t="s">
        <v>270</v>
      </c>
      <c r="K805" t="s">
        <v>2667</v>
      </c>
      <c r="L805" t="s">
        <v>778</v>
      </c>
      <c r="M805" t="s">
        <v>812</v>
      </c>
    </row>
    <row r="806" spans="1:13" x14ac:dyDescent="0.15">
      <c r="A806" t="s">
        <v>5062</v>
      </c>
      <c r="B806" t="s">
        <v>14</v>
      </c>
      <c r="C806" t="s">
        <v>118</v>
      </c>
      <c r="D806" t="s">
        <v>5063</v>
      </c>
      <c r="E806" t="s">
        <v>5064</v>
      </c>
      <c r="F806" t="s">
        <v>5065</v>
      </c>
      <c r="G806" t="s">
        <v>5066</v>
      </c>
      <c r="H806" t="s">
        <v>5066</v>
      </c>
      <c r="I806" t="s">
        <v>5067</v>
      </c>
      <c r="J806" t="s">
        <v>270</v>
      </c>
      <c r="K806" t="s">
        <v>5068</v>
      </c>
      <c r="L806" t="s">
        <v>5067</v>
      </c>
      <c r="M806" t="s">
        <v>290</v>
      </c>
    </row>
    <row r="807" spans="1:13" x14ac:dyDescent="0.15">
      <c r="A807" t="s">
        <v>5069</v>
      </c>
      <c r="B807" t="s">
        <v>14</v>
      </c>
      <c r="C807" t="s">
        <v>15</v>
      </c>
      <c r="D807" t="s">
        <v>5070</v>
      </c>
      <c r="E807" t="s">
        <v>5071</v>
      </c>
      <c r="F807" t="s">
        <v>5072</v>
      </c>
      <c r="G807" t="s">
        <v>5073</v>
      </c>
      <c r="H807" t="s">
        <v>5073</v>
      </c>
      <c r="J807" t="s">
        <v>138</v>
      </c>
      <c r="M807" t="s">
        <v>139</v>
      </c>
    </row>
    <row r="808" spans="1:13" x14ac:dyDescent="0.15">
      <c r="A808" t="s">
        <v>5074</v>
      </c>
      <c r="B808" t="s">
        <v>14</v>
      </c>
      <c r="C808" t="s">
        <v>23</v>
      </c>
      <c r="D808" t="s">
        <v>5075</v>
      </c>
      <c r="E808" t="s">
        <v>5076</v>
      </c>
      <c r="F808" t="s">
        <v>5077</v>
      </c>
      <c r="G808" t="s">
        <v>5078</v>
      </c>
      <c r="H808" t="s">
        <v>5078</v>
      </c>
      <c r="I808" t="s">
        <v>5079</v>
      </c>
      <c r="J808" t="s">
        <v>206</v>
      </c>
      <c r="K808" t="s">
        <v>608</v>
      </c>
      <c r="L808" t="s">
        <v>5079</v>
      </c>
      <c r="M808" t="s">
        <v>104</v>
      </c>
    </row>
    <row r="809" spans="1:13" x14ac:dyDescent="0.15">
      <c r="A809" t="s">
        <v>5080</v>
      </c>
      <c r="B809" t="s">
        <v>14</v>
      </c>
      <c r="C809" t="s">
        <v>23</v>
      </c>
      <c r="D809" t="s">
        <v>5081</v>
      </c>
      <c r="E809" t="s">
        <v>5082</v>
      </c>
      <c r="F809" t="s">
        <v>5083</v>
      </c>
      <c r="G809" t="s">
        <v>5084</v>
      </c>
      <c r="H809" t="s">
        <v>5084</v>
      </c>
      <c r="I809" t="s">
        <v>5085</v>
      </c>
      <c r="J809" t="s">
        <v>206</v>
      </c>
      <c r="K809" t="s">
        <v>207</v>
      </c>
      <c r="L809" t="s">
        <v>5085</v>
      </c>
      <c r="M809" t="s">
        <v>104</v>
      </c>
    </row>
    <row r="810" spans="1:13" x14ac:dyDescent="0.15">
      <c r="A810" t="s">
        <v>5086</v>
      </c>
      <c r="B810" t="s">
        <v>14</v>
      </c>
      <c r="C810" t="s">
        <v>118</v>
      </c>
      <c r="D810" t="s">
        <v>5087</v>
      </c>
      <c r="E810" t="s">
        <v>5088</v>
      </c>
      <c r="F810" t="s">
        <v>5089</v>
      </c>
      <c r="G810" t="s">
        <v>5090</v>
      </c>
      <c r="H810" t="s">
        <v>5090</v>
      </c>
      <c r="I810" t="s">
        <v>5091</v>
      </c>
      <c r="J810" t="s">
        <v>138</v>
      </c>
      <c r="K810" t="s">
        <v>239</v>
      </c>
      <c r="L810" t="s">
        <v>5091</v>
      </c>
      <c r="M810" t="s">
        <v>2017</v>
      </c>
    </row>
    <row r="811" spans="1:13" x14ac:dyDescent="0.15">
      <c r="A811" t="s">
        <v>5092</v>
      </c>
      <c r="B811" t="s">
        <v>14</v>
      </c>
      <c r="C811" t="s">
        <v>23</v>
      </c>
      <c r="D811" t="s">
        <v>5093</v>
      </c>
      <c r="E811" t="s">
        <v>5094</v>
      </c>
      <c r="F811" t="s">
        <v>5095</v>
      </c>
      <c r="G811" t="s">
        <v>5096</v>
      </c>
      <c r="H811" t="s">
        <v>5096</v>
      </c>
      <c r="I811" t="s">
        <v>5097</v>
      </c>
      <c r="J811" t="s">
        <v>206</v>
      </c>
      <c r="K811" t="s">
        <v>687</v>
      </c>
      <c r="L811" t="s">
        <v>5098</v>
      </c>
      <c r="M811" t="s">
        <v>80</v>
      </c>
    </row>
    <row r="812" spans="1:13" x14ac:dyDescent="0.15">
      <c r="A812" t="s">
        <v>5099</v>
      </c>
      <c r="B812" t="s">
        <v>14</v>
      </c>
      <c r="C812" t="s">
        <v>118</v>
      </c>
      <c r="D812" t="s">
        <v>5100</v>
      </c>
      <c r="E812" t="s">
        <v>5101</v>
      </c>
      <c r="F812" t="s">
        <v>5102</v>
      </c>
      <c r="G812" t="s">
        <v>5103</v>
      </c>
      <c r="H812" t="s">
        <v>5103</v>
      </c>
      <c r="I812" t="s">
        <v>5104</v>
      </c>
      <c r="J812" t="s">
        <v>481</v>
      </c>
      <c r="K812" t="s">
        <v>2499</v>
      </c>
      <c r="L812" t="s">
        <v>5104</v>
      </c>
      <c r="M812" t="s">
        <v>353</v>
      </c>
    </row>
    <row r="813" spans="1:13" x14ac:dyDescent="0.15">
      <c r="A813" t="s">
        <v>5105</v>
      </c>
      <c r="B813" t="s">
        <v>14</v>
      </c>
      <c r="C813" t="s">
        <v>23</v>
      </c>
      <c r="D813" t="s">
        <v>5106</v>
      </c>
      <c r="E813" t="s">
        <v>5107</v>
      </c>
      <c r="F813" t="s">
        <v>5108</v>
      </c>
      <c r="G813" t="s">
        <v>5109</v>
      </c>
      <c r="H813" t="s">
        <v>5109</v>
      </c>
      <c r="I813" t="s">
        <v>5110</v>
      </c>
      <c r="J813" t="s">
        <v>214</v>
      </c>
      <c r="K813" t="s">
        <v>387</v>
      </c>
      <c r="L813" t="s">
        <v>5110</v>
      </c>
      <c r="M813" t="s">
        <v>104</v>
      </c>
    </row>
    <row r="814" spans="1:13" x14ac:dyDescent="0.15">
      <c r="A814" t="s">
        <v>5111</v>
      </c>
      <c r="B814" t="s">
        <v>14</v>
      </c>
      <c r="C814" t="s">
        <v>23</v>
      </c>
      <c r="D814" t="s">
        <v>5112</v>
      </c>
      <c r="E814" t="s">
        <v>5113</v>
      </c>
      <c r="F814" t="s">
        <v>5114</v>
      </c>
      <c r="G814" t="s">
        <v>5115</v>
      </c>
      <c r="H814" t="s">
        <v>5115</v>
      </c>
      <c r="I814" t="s">
        <v>5116</v>
      </c>
      <c r="J814" t="s">
        <v>521</v>
      </c>
      <c r="K814" t="s">
        <v>4310</v>
      </c>
      <c r="L814" t="s">
        <v>5116</v>
      </c>
      <c r="M814" t="s">
        <v>80</v>
      </c>
    </row>
    <row r="815" spans="1:13" x14ac:dyDescent="0.15">
      <c r="A815" t="s">
        <v>5117</v>
      </c>
      <c r="B815" t="s">
        <v>14</v>
      </c>
      <c r="C815" t="s">
        <v>118</v>
      </c>
      <c r="D815" t="s">
        <v>5118</v>
      </c>
      <c r="E815" t="s">
        <v>5119</v>
      </c>
      <c r="F815" t="s">
        <v>5120</v>
      </c>
      <c r="G815" t="s">
        <v>5121</v>
      </c>
      <c r="H815" t="s">
        <v>5121</v>
      </c>
      <c r="I815" t="s">
        <v>5122</v>
      </c>
      <c r="J815" t="s">
        <v>481</v>
      </c>
      <c r="K815" t="s">
        <v>1262</v>
      </c>
      <c r="L815" t="s">
        <v>5122</v>
      </c>
      <c r="M815" t="s">
        <v>248</v>
      </c>
    </row>
    <row r="816" spans="1:13" x14ac:dyDescent="0.15">
      <c r="A816" t="s">
        <v>5123</v>
      </c>
      <c r="B816" t="s">
        <v>14</v>
      </c>
      <c r="C816" t="s">
        <v>118</v>
      </c>
      <c r="D816" t="s">
        <v>5124</v>
      </c>
      <c r="E816" t="s">
        <v>5125</v>
      </c>
      <c r="F816" t="s">
        <v>5126</v>
      </c>
      <c r="G816" t="s">
        <v>5127</v>
      </c>
      <c r="H816" t="s">
        <v>5127</v>
      </c>
      <c r="I816" t="s">
        <v>5128</v>
      </c>
      <c r="J816" t="s">
        <v>5129</v>
      </c>
      <c r="K816" t="s">
        <v>1604</v>
      </c>
      <c r="L816" t="s">
        <v>5127</v>
      </c>
      <c r="M816" t="s">
        <v>139</v>
      </c>
    </row>
    <row r="817" spans="1:13" x14ac:dyDescent="0.15">
      <c r="A817" t="s">
        <v>5130</v>
      </c>
      <c r="B817" t="s">
        <v>14</v>
      </c>
      <c r="C817" t="s">
        <v>23</v>
      </c>
      <c r="D817" t="s">
        <v>5131</v>
      </c>
      <c r="E817" t="s">
        <v>5132</v>
      </c>
      <c r="F817" t="s">
        <v>5133</v>
      </c>
      <c r="G817" t="s">
        <v>5134</v>
      </c>
      <c r="H817" t="s">
        <v>5134</v>
      </c>
      <c r="I817" t="s">
        <v>2361</v>
      </c>
      <c r="J817" t="s">
        <v>20</v>
      </c>
      <c r="K817" t="s">
        <v>64</v>
      </c>
      <c r="L817" t="s">
        <v>2361</v>
      </c>
      <c r="M817" t="s">
        <v>41</v>
      </c>
    </row>
    <row r="818" spans="1:13" x14ac:dyDescent="0.15">
      <c r="A818" t="s">
        <v>5135</v>
      </c>
      <c r="B818" t="s">
        <v>14</v>
      </c>
      <c r="C818" t="s">
        <v>23</v>
      </c>
      <c r="D818" t="s">
        <v>5136</v>
      </c>
      <c r="E818" t="s">
        <v>5137</v>
      </c>
      <c r="F818" t="s">
        <v>5138</v>
      </c>
      <c r="G818" t="s">
        <v>5139</v>
      </c>
      <c r="H818" t="s">
        <v>5139</v>
      </c>
      <c r="I818" t="s">
        <v>5140</v>
      </c>
      <c r="J818" t="s">
        <v>394</v>
      </c>
      <c r="K818" t="s">
        <v>48</v>
      </c>
      <c r="L818" t="s">
        <v>4914</v>
      </c>
      <c r="M818" t="s">
        <v>41</v>
      </c>
    </row>
    <row r="819" spans="1:13" x14ac:dyDescent="0.15">
      <c r="A819" t="s">
        <v>5141</v>
      </c>
      <c r="B819" t="s">
        <v>14</v>
      </c>
      <c r="C819" t="s">
        <v>118</v>
      </c>
      <c r="D819" t="s">
        <v>5142</v>
      </c>
      <c r="E819" t="s">
        <v>5143</v>
      </c>
      <c r="F819" t="s">
        <v>5144</v>
      </c>
      <c r="G819" t="s">
        <v>5145</v>
      </c>
      <c r="H819" t="s">
        <v>5145</v>
      </c>
      <c r="I819" t="s">
        <v>5146</v>
      </c>
      <c r="J819" t="s">
        <v>255</v>
      </c>
      <c r="K819" t="s">
        <v>839</v>
      </c>
      <c r="L819" t="s">
        <v>5146</v>
      </c>
      <c r="M819" t="s">
        <v>41</v>
      </c>
    </row>
    <row r="820" spans="1:13" x14ac:dyDescent="0.15">
      <c r="A820" t="s">
        <v>5147</v>
      </c>
      <c r="B820" t="s">
        <v>14</v>
      </c>
      <c r="C820" t="s">
        <v>118</v>
      </c>
      <c r="D820" t="s">
        <v>5148</v>
      </c>
      <c r="E820" t="s">
        <v>5149</v>
      </c>
      <c r="F820" t="s">
        <v>5150</v>
      </c>
      <c r="G820" t="s">
        <v>5151</v>
      </c>
      <c r="H820" t="s">
        <v>5151</v>
      </c>
      <c r="I820" t="s">
        <v>5152</v>
      </c>
      <c r="J820" t="s">
        <v>255</v>
      </c>
      <c r="K820" t="s">
        <v>540</v>
      </c>
      <c r="L820" t="s">
        <v>5152</v>
      </c>
      <c r="M820" t="s">
        <v>482</v>
      </c>
    </row>
    <row r="821" spans="1:13" x14ac:dyDescent="0.15">
      <c r="A821" t="s">
        <v>5153</v>
      </c>
      <c r="B821" t="s">
        <v>14</v>
      </c>
      <c r="C821" t="s">
        <v>118</v>
      </c>
      <c r="D821" t="s">
        <v>5154</v>
      </c>
      <c r="E821" t="s">
        <v>5155</v>
      </c>
      <c r="F821" t="s">
        <v>5156</v>
      </c>
      <c r="G821" t="s">
        <v>5157</v>
      </c>
      <c r="H821" t="s">
        <v>5157</v>
      </c>
      <c r="I821" t="s">
        <v>5158</v>
      </c>
      <c r="J821" t="s">
        <v>255</v>
      </c>
      <c r="K821" t="s">
        <v>811</v>
      </c>
      <c r="L821" t="s">
        <v>5159</v>
      </c>
      <c r="M821" t="s">
        <v>313</v>
      </c>
    </row>
    <row r="822" spans="1:13" x14ac:dyDescent="0.15">
      <c r="A822" t="s">
        <v>5160</v>
      </c>
      <c r="B822" t="s">
        <v>14</v>
      </c>
      <c r="C822" t="s">
        <v>118</v>
      </c>
      <c r="D822" t="s">
        <v>5161</v>
      </c>
      <c r="E822" t="s">
        <v>5162</v>
      </c>
      <c r="F822" t="s">
        <v>5163</v>
      </c>
      <c r="G822" t="s">
        <v>5164</v>
      </c>
      <c r="H822" t="s">
        <v>5164</v>
      </c>
      <c r="I822" t="s">
        <v>5165</v>
      </c>
      <c r="J822" t="s">
        <v>514</v>
      </c>
      <c r="K822" t="s">
        <v>772</v>
      </c>
      <c r="L822" t="s">
        <v>5165</v>
      </c>
      <c r="M822" t="s">
        <v>3944</v>
      </c>
    </row>
    <row r="823" spans="1:13" x14ac:dyDescent="0.15">
      <c r="A823" t="s">
        <v>5166</v>
      </c>
      <c r="B823" t="s">
        <v>14</v>
      </c>
      <c r="C823" t="s">
        <v>118</v>
      </c>
      <c r="D823" t="s">
        <v>5167</v>
      </c>
      <c r="E823" t="s">
        <v>5168</v>
      </c>
      <c r="F823" t="s">
        <v>5169</v>
      </c>
      <c r="G823" t="s">
        <v>5170</v>
      </c>
      <c r="H823" t="s">
        <v>5170</v>
      </c>
      <c r="I823" t="s">
        <v>4075</v>
      </c>
      <c r="J823" t="s">
        <v>415</v>
      </c>
      <c r="K823" t="s">
        <v>5171</v>
      </c>
      <c r="L823" t="s">
        <v>4075</v>
      </c>
      <c r="M823" t="s">
        <v>192</v>
      </c>
    </row>
    <row r="824" spans="1:13" x14ac:dyDescent="0.15">
      <c r="A824" t="s">
        <v>5172</v>
      </c>
      <c r="B824" t="s">
        <v>14</v>
      </c>
      <c r="C824" t="s">
        <v>118</v>
      </c>
      <c r="D824" t="s">
        <v>5173</v>
      </c>
      <c r="E824" t="s">
        <v>5174</v>
      </c>
      <c r="F824" t="s">
        <v>5175</v>
      </c>
      <c r="G824" t="s">
        <v>5176</v>
      </c>
      <c r="H824" t="s">
        <v>5176</v>
      </c>
      <c r="I824" t="s">
        <v>5177</v>
      </c>
      <c r="J824" t="s">
        <v>415</v>
      </c>
      <c r="K824" t="s">
        <v>819</v>
      </c>
      <c r="L824" t="s">
        <v>5177</v>
      </c>
      <c r="M824" t="s">
        <v>1583</v>
      </c>
    </row>
    <row r="825" spans="1:13" x14ac:dyDescent="0.15">
      <c r="A825" t="s">
        <v>5178</v>
      </c>
      <c r="B825" t="s">
        <v>14</v>
      </c>
      <c r="C825" t="s">
        <v>118</v>
      </c>
      <c r="D825" t="s">
        <v>4625</v>
      </c>
      <c r="E825" t="s">
        <v>5179</v>
      </c>
      <c r="F825" t="s">
        <v>5180</v>
      </c>
      <c r="G825" t="s">
        <v>145</v>
      </c>
      <c r="H825" t="s">
        <v>145</v>
      </c>
      <c r="I825" t="s">
        <v>145</v>
      </c>
      <c r="J825" t="s">
        <v>199</v>
      </c>
      <c r="M825" t="s">
        <v>192</v>
      </c>
    </row>
    <row r="826" spans="1:13" x14ac:dyDescent="0.15">
      <c r="A826" t="s">
        <v>5181</v>
      </c>
      <c r="B826" t="s">
        <v>14</v>
      </c>
      <c r="C826" t="s">
        <v>23</v>
      </c>
      <c r="D826" t="s">
        <v>5182</v>
      </c>
      <c r="E826" t="s">
        <v>5183</v>
      </c>
      <c r="F826" t="s">
        <v>5184</v>
      </c>
      <c r="H826" t="s">
        <v>145</v>
      </c>
      <c r="I826" t="s">
        <v>5185</v>
      </c>
      <c r="J826" t="s">
        <v>626</v>
      </c>
      <c r="K826" t="s">
        <v>5186</v>
      </c>
      <c r="L826" t="s">
        <v>753</v>
      </c>
      <c r="M826" t="s">
        <v>104</v>
      </c>
    </row>
    <row r="827" spans="1:13" x14ac:dyDescent="0.15">
      <c r="A827" t="s">
        <v>5187</v>
      </c>
      <c r="B827" t="s">
        <v>14</v>
      </c>
      <c r="C827" t="s">
        <v>118</v>
      </c>
      <c r="D827" t="s">
        <v>5188</v>
      </c>
      <c r="E827" t="s">
        <v>5189</v>
      </c>
      <c r="F827" t="s">
        <v>5184</v>
      </c>
      <c r="G827" t="s">
        <v>5190</v>
      </c>
      <c r="H827" t="s">
        <v>5190</v>
      </c>
      <c r="I827" t="s">
        <v>5191</v>
      </c>
      <c r="J827" t="s">
        <v>29</v>
      </c>
      <c r="K827" t="s">
        <v>1321</v>
      </c>
      <c r="L827" t="s">
        <v>5191</v>
      </c>
      <c r="M827" t="s">
        <v>812</v>
      </c>
    </row>
    <row r="828" spans="1:13" x14ac:dyDescent="0.15">
      <c r="A828" t="s">
        <v>5192</v>
      </c>
      <c r="B828" t="s">
        <v>14</v>
      </c>
      <c r="C828" t="s">
        <v>23</v>
      </c>
      <c r="D828" t="s">
        <v>5193</v>
      </c>
      <c r="E828" t="s">
        <v>5194</v>
      </c>
      <c r="F828" t="s">
        <v>5195</v>
      </c>
      <c r="G828" t="s">
        <v>5196</v>
      </c>
      <c r="H828" t="s">
        <v>5196</v>
      </c>
      <c r="I828" t="s">
        <v>5197</v>
      </c>
      <c r="J828" t="s">
        <v>1423</v>
      </c>
      <c r="K828" t="s">
        <v>5198</v>
      </c>
      <c r="L828" t="s">
        <v>5197</v>
      </c>
      <c r="M828" t="s">
        <v>41</v>
      </c>
    </row>
    <row r="829" spans="1:13" x14ac:dyDescent="0.15">
      <c r="A829" t="s">
        <v>5199</v>
      </c>
      <c r="B829" t="s">
        <v>14</v>
      </c>
      <c r="C829" t="s">
        <v>118</v>
      </c>
      <c r="D829" t="s">
        <v>5200</v>
      </c>
      <c r="E829" t="s">
        <v>5201</v>
      </c>
      <c r="F829" t="s">
        <v>5202</v>
      </c>
      <c r="H829" t="s">
        <v>5203</v>
      </c>
      <c r="I829" t="s">
        <v>5204</v>
      </c>
      <c r="J829" t="s">
        <v>156</v>
      </c>
      <c r="K829" t="s">
        <v>5205</v>
      </c>
      <c r="L829" t="s">
        <v>5204</v>
      </c>
      <c r="M829" t="s">
        <v>21</v>
      </c>
    </row>
    <row r="830" spans="1:13" x14ac:dyDescent="0.15">
      <c r="A830" t="s">
        <v>5206</v>
      </c>
      <c r="B830" t="s">
        <v>14</v>
      </c>
      <c r="C830" t="s">
        <v>118</v>
      </c>
      <c r="D830" t="s">
        <v>159</v>
      </c>
      <c r="E830" t="s">
        <v>5207</v>
      </c>
      <c r="F830" t="s">
        <v>5208</v>
      </c>
      <c r="H830" t="s">
        <v>5209</v>
      </c>
      <c r="I830" t="s">
        <v>5210</v>
      </c>
      <c r="J830" t="s">
        <v>156</v>
      </c>
      <c r="K830" t="s">
        <v>1078</v>
      </c>
      <c r="L830" t="s">
        <v>5210</v>
      </c>
      <c r="M830" t="s">
        <v>1015</v>
      </c>
    </row>
    <row r="831" spans="1:13" x14ac:dyDescent="0.15">
      <c r="A831" t="s">
        <v>5211</v>
      </c>
      <c r="B831" t="s">
        <v>14</v>
      </c>
      <c r="C831" t="s">
        <v>118</v>
      </c>
      <c r="D831" t="s">
        <v>5212</v>
      </c>
      <c r="E831" t="s">
        <v>5213</v>
      </c>
      <c r="F831" t="s">
        <v>5214</v>
      </c>
      <c r="H831" t="s">
        <v>5215</v>
      </c>
      <c r="I831" t="s">
        <v>5216</v>
      </c>
      <c r="J831" t="s">
        <v>156</v>
      </c>
      <c r="K831" t="s">
        <v>1526</v>
      </c>
      <c r="L831" t="s">
        <v>5216</v>
      </c>
      <c r="M831" t="s">
        <v>31</v>
      </c>
    </row>
    <row r="832" spans="1:13" x14ac:dyDescent="0.15">
      <c r="A832" t="s">
        <v>5217</v>
      </c>
      <c r="B832" t="s">
        <v>14</v>
      </c>
      <c r="C832" t="s">
        <v>118</v>
      </c>
      <c r="D832" t="s">
        <v>5218</v>
      </c>
      <c r="E832" t="s">
        <v>5219</v>
      </c>
      <c r="F832" t="s">
        <v>5220</v>
      </c>
      <c r="H832" t="s">
        <v>5221</v>
      </c>
      <c r="I832" t="s">
        <v>5222</v>
      </c>
      <c r="J832" t="s">
        <v>156</v>
      </c>
      <c r="K832" t="s">
        <v>1008</v>
      </c>
      <c r="L832" t="s">
        <v>5222</v>
      </c>
      <c r="M832" t="s">
        <v>31</v>
      </c>
    </row>
    <row r="833" spans="1:13" x14ac:dyDescent="0.15">
      <c r="A833" t="s">
        <v>5223</v>
      </c>
      <c r="B833" t="s">
        <v>14</v>
      </c>
      <c r="C833" t="s">
        <v>118</v>
      </c>
      <c r="D833" t="s">
        <v>5224</v>
      </c>
      <c r="E833" t="s">
        <v>5225</v>
      </c>
      <c r="F833" t="s">
        <v>5226</v>
      </c>
      <c r="H833" t="s">
        <v>5227</v>
      </c>
      <c r="I833" t="s">
        <v>5228</v>
      </c>
      <c r="J833" t="s">
        <v>156</v>
      </c>
      <c r="K833" t="s">
        <v>3500</v>
      </c>
      <c r="L833" t="s">
        <v>5228</v>
      </c>
      <c r="M833" t="s">
        <v>31</v>
      </c>
    </row>
    <row r="834" spans="1:13" x14ac:dyDescent="0.15">
      <c r="A834" t="s">
        <v>5229</v>
      </c>
      <c r="B834" t="s">
        <v>14</v>
      </c>
      <c r="C834" t="s">
        <v>118</v>
      </c>
      <c r="D834" t="s">
        <v>5230</v>
      </c>
      <c r="E834" t="s">
        <v>4494</v>
      </c>
      <c r="F834" t="s">
        <v>5231</v>
      </c>
      <c r="G834" t="s">
        <v>145</v>
      </c>
      <c r="H834" t="s">
        <v>145</v>
      </c>
      <c r="I834" t="s">
        <v>145</v>
      </c>
      <c r="J834" t="s">
        <v>5232</v>
      </c>
      <c r="K834" t="s">
        <v>5233</v>
      </c>
      <c r="L834" t="s">
        <v>5234</v>
      </c>
      <c r="M834" t="s">
        <v>21</v>
      </c>
    </row>
    <row r="835" spans="1:13" x14ac:dyDescent="0.15">
      <c r="A835" t="s">
        <v>5235</v>
      </c>
      <c r="B835" t="s">
        <v>14</v>
      </c>
      <c r="C835" t="s">
        <v>118</v>
      </c>
      <c r="D835" t="s">
        <v>5236</v>
      </c>
      <c r="E835" t="s">
        <v>5237</v>
      </c>
      <c r="F835" t="s">
        <v>5238</v>
      </c>
      <c r="G835" t="s">
        <v>2349</v>
      </c>
      <c r="H835" t="s">
        <v>2349</v>
      </c>
      <c r="I835" t="s">
        <v>5239</v>
      </c>
      <c r="J835" t="s">
        <v>20</v>
      </c>
      <c r="K835" t="s">
        <v>1236</v>
      </c>
      <c r="L835" t="s">
        <v>5239</v>
      </c>
      <c r="M835" t="s">
        <v>165</v>
      </c>
    </row>
    <row r="836" spans="1:13" x14ac:dyDescent="0.15">
      <c r="A836" t="s">
        <v>5240</v>
      </c>
      <c r="B836" t="s">
        <v>14</v>
      </c>
      <c r="C836" t="s">
        <v>118</v>
      </c>
      <c r="D836" t="s">
        <v>5241</v>
      </c>
      <c r="E836" t="s">
        <v>5242</v>
      </c>
      <c r="F836" t="s">
        <v>5243</v>
      </c>
      <c r="G836" t="s">
        <v>5244</v>
      </c>
      <c r="H836" t="s">
        <v>5244</v>
      </c>
      <c r="I836" t="s">
        <v>5245</v>
      </c>
      <c r="J836" t="s">
        <v>20</v>
      </c>
      <c r="K836" t="s">
        <v>980</v>
      </c>
      <c r="L836" t="s">
        <v>5245</v>
      </c>
      <c r="M836" t="s">
        <v>353</v>
      </c>
    </row>
    <row r="837" spans="1:13" x14ac:dyDescent="0.15">
      <c r="A837" t="s">
        <v>5246</v>
      </c>
      <c r="B837" t="s">
        <v>14</v>
      </c>
      <c r="C837" t="s">
        <v>15</v>
      </c>
      <c r="D837" t="s">
        <v>5247</v>
      </c>
      <c r="E837" t="s">
        <v>5248</v>
      </c>
      <c r="F837" t="s">
        <v>5249</v>
      </c>
      <c r="G837" t="s">
        <v>5250</v>
      </c>
      <c r="H837" t="s">
        <v>5250</v>
      </c>
      <c r="J837" t="s">
        <v>352</v>
      </c>
      <c r="M837" t="s">
        <v>139</v>
      </c>
    </row>
    <row r="838" spans="1:13" x14ac:dyDescent="0.15">
      <c r="A838" t="s">
        <v>5251</v>
      </c>
      <c r="B838" t="s">
        <v>14</v>
      </c>
      <c r="C838" t="s">
        <v>118</v>
      </c>
      <c r="D838" t="s">
        <v>185</v>
      </c>
      <c r="E838" t="s">
        <v>5252</v>
      </c>
      <c r="F838" t="s">
        <v>5253</v>
      </c>
      <c r="G838" t="s">
        <v>5254</v>
      </c>
      <c r="H838" t="s">
        <v>5254</v>
      </c>
      <c r="I838" t="s">
        <v>5255</v>
      </c>
      <c r="J838" t="s">
        <v>20</v>
      </c>
      <c r="K838" t="s">
        <v>207</v>
      </c>
      <c r="L838" t="s">
        <v>5255</v>
      </c>
      <c r="M838" t="s">
        <v>165</v>
      </c>
    </row>
    <row r="839" spans="1:13" x14ac:dyDescent="0.15">
      <c r="A839" t="s">
        <v>5256</v>
      </c>
      <c r="B839" t="s">
        <v>14</v>
      </c>
      <c r="C839" t="s">
        <v>23</v>
      </c>
      <c r="D839" t="s">
        <v>5257</v>
      </c>
      <c r="E839" t="s">
        <v>5258</v>
      </c>
      <c r="F839" t="s">
        <v>5259</v>
      </c>
      <c r="G839" t="s">
        <v>5260</v>
      </c>
      <c r="H839" t="s">
        <v>5260</v>
      </c>
      <c r="I839" t="s">
        <v>5261</v>
      </c>
      <c r="J839" t="s">
        <v>473</v>
      </c>
      <c r="K839" t="s">
        <v>3258</v>
      </c>
      <c r="L839" t="s">
        <v>5262</v>
      </c>
      <c r="M839" t="s">
        <v>80</v>
      </c>
    </row>
    <row r="840" spans="1:13" x14ac:dyDescent="0.15">
      <c r="A840" t="s">
        <v>5263</v>
      </c>
      <c r="B840" t="s">
        <v>14</v>
      </c>
      <c r="C840" t="s">
        <v>23</v>
      </c>
      <c r="D840" t="s">
        <v>5264</v>
      </c>
      <c r="E840" t="s">
        <v>5265</v>
      </c>
      <c r="F840" t="s">
        <v>5266</v>
      </c>
      <c r="G840" t="s">
        <v>5267</v>
      </c>
      <c r="H840" t="s">
        <v>5267</v>
      </c>
      <c r="I840" t="s">
        <v>1986</v>
      </c>
      <c r="J840" t="s">
        <v>138</v>
      </c>
      <c r="K840" t="s">
        <v>4026</v>
      </c>
      <c r="L840" t="s">
        <v>1986</v>
      </c>
      <c r="M840" t="s">
        <v>104</v>
      </c>
    </row>
    <row r="841" spans="1:13" x14ac:dyDescent="0.15">
      <c r="A841" t="s">
        <v>5268</v>
      </c>
      <c r="B841" t="s">
        <v>14</v>
      </c>
      <c r="C841" t="s">
        <v>23</v>
      </c>
      <c r="D841" t="s">
        <v>5269</v>
      </c>
      <c r="E841" t="s">
        <v>5270</v>
      </c>
      <c r="F841" t="s">
        <v>5271</v>
      </c>
      <c r="J841" t="s">
        <v>206</v>
      </c>
    </row>
    <row r="842" spans="1:13" x14ac:dyDescent="0.15">
      <c r="A842" t="s">
        <v>5272</v>
      </c>
      <c r="B842" t="s">
        <v>14</v>
      </c>
      <c r="C842" t="s">
        <v>118</v>
      </c>
      <c r="D842" t="s">
        <v>5273</v>
      </c>
      <c r="E842" t="s">
        <v>5274</v>
      </c>
      <c r="F842" t="s">
        <v>5275</v>
      </c>
      <c r="G842" t="s">
        <v>5276</v>
      </c>
      <c r="H842" t="s">
        <v>5276</v>
      </c>
      <c r="I842" t="s">
        <v>5277</v>
      </c>
      <c r="J842" t="s">
        <v>124</v>
      </c>
      <c r="K842" t="s">
        <v>1846</v>
      </c>
      <c r="L842" t="s">
        <v>5277</v>
      </c>
      <c r="M842" t="s">
        <v>174</v>
      </c>
    </row>
    <row r="843" spans="1:13" x14ac:dyDescent="0.15">
      <c r="A843" t="s">
        <v>5278</v>
      </c>
      <c r="B843" t="s">
        <v>14</v>
      </c>
      <c r="C843" t="s">
        <v>118</v>
      </c>
      <c r="D843" t="s">
        <v>5279</v>
      </c>
      <c r="E843" t="s">
        <v>5280</v>
      </c>
      <c r="F843" t="s">
        <v>5281</v>
      </c>
      <c r="G843" t="s">
        <v>5282</v>
      </c>
      <c r="H843" t="s">
        <v>5282</v>
      </c>
      <c r="I843" t="s">
        <v>5283</v>
      </c>
      <c r="J843" t="s">
        <v>124</v>
      </c>
      <c r="K843" t="s">
        <v>239</v>
      </c>
      <c r="L843" t="s">
        <v>5283</v>
      </c>
      <c r="M843" t="s">
        <v>174</v>
      </c>
    </row>
    <row r="844" spans="1:13" x14ac:dyDescent="0.15">
      <c r="A844" t="s">
        <v>5284</v>
      </c>
      <c r="B844" t="s">
        <v>14</v>
      </c>
      <c r="C844" t="s">
        <v>118</v>
      </c>
      <c r="D844" t="s">
        <v>5285</v>
      </c>
      <c r="E844" t="s">
        <v>5286</v>
      </c>
      <c r="F844" t="s">
        <v>5287</v>
      </c>
      <c r="G844" t="s">
        <v>5288</v>
      </c>
      <c r="H844" t="s">
        <v>5288</v>
      </c>
      <c r="I844" t="s">
        <v>145</v>
      </c>
      <c r="J844" t="s">
        <v>2181</v>
      </c>
      <c r="K844" t="s">
        <v>5068</v>
      </c>
      <c r="L844" t="s">
        <v>5289</v>
      </c>
      <c r="M844" t="s">
        <v>290</v>
      </c>
    </row>
    <row r="845" spans="1:13" x14ac:dyDescent="0.15">
      <c r="A845" t="s">
        <v>5290</v>
      </c>
      <c r="B845" t="s">
        <v>14</v>
      </c>
      <c r="C845" t="s">
        <v>118</v>
      </c>
      <c r="D845" t="s">
        <v>5291</v>
      </c>
      <c r="E845" t="s">
        <v>5292</v>
      </c>
      <c r="F845" t="s">
        <v>5293</v>
      </c>
      <c r="G845" t="s">
        <v>5294</v>
      </c>
      <c r="H845" t="s">
        <v>5294</v>
      </c>
      <c r="I845" t="s">
        <v>145</v>
      </c>
      <c r="J845" t="s">
        <v>2181</v>
      </c>
      <c r="K845" t="s">
        <v>173</v>
      </c>
      <c r="L845" t="s">
        <v>5295</v>
      </c>
      <c r="M845" t="s">
        <v>313</v>
      </c>
    </row>
    <row r="846" spans="1:13" x14ac:dyDescent="0.15">
      <c r="A846" t="s">
        <v>5296</v>
      </c>
      <c r="B846" t="s">
        <v>14</v>
      </c>
      <c r="C846" t="s">
        <v>118</v>
      </c>
      <c r="D846" t="s">
        <v>5297</v>
      </c>
      <c r="E846" t="s">
        <v>5298</v>
      </c>
      <c r="F846" t="s">
        <v>5299</v>
      </c>
      <c r="G846" t="s">
        <v>5300</v>
      </c>
      <c r="H846" t="s">
        <v>5300</v>
      </c>
      <c r="I846" t="s">
        <v>145</v>
      </c>
      <c r="J846" t="s">
        <v>2181</v>
      </c>
      <c r="K846" t="s">
        <v>1450</v>
      </c>
      <c r="L846" t="s">
        <v>5301</v>
      </c>
      <c r="M846" t="s">
        <v>272</v>
      </c>
    </row>
    <row r="847" spans="1:13" x14ac:dyDescent="0.15">
      <c r="A847" t="s">
        <v>5302</v>
      </c>
      <c r="B847" t="s">
        <v>14</v>
      </c>
      <c r="C847" t="s">
        <v>118</v>
      </c>
      <c r="D847" t="s">
        <v>5303</v>
      </c>
      <c r="E847" t="s">
        <v>5304</v>
      </c>
      <c r="F847" t="s">
        <v>5305</v>
      </c>
      <c r="G847" t="s">
        <v>5306</v>
      </c>
      <c r="H847" t="s">
        <v>5306</v>
      </c>
      <c r="I847" t="s">
        <v>145</v>
      </c>
      <c r="J847" t="s">
        <v>2181</v>
      </c>
      <c r="K847" t="s">
        <v>64</v>
      </c>
      <c r="L847" t="s">
        <v>5307</v>
      </c>
      <c r="M847" t="s">
        <v>290</v>
      </c>
    </row>
    <row r="848" spans="1:13" x14ac:dyDescent="0.15">
      <c r="A848" t="s">
        <v>5308</v>
      </c>
      <c r="B848" t="s">
        <v>14</v>
      </c>
      <c r="C848" t="s">
        <v>118</v>
      </c>
      <c r="D848" t="s">
        <v>5309</v>
      </c>
      <c r="E848" t="s">
        <v>5310</v>
      </c>
      <c r="F848" t="s">
        <v>5311</v>
      </c>
      <c r="G848" t="s">
        <v>5312</v>
      </c>
      <c r="H848" t="s">
        <v>5312</v>
      </c>
      <c r="I848" t="s">
        <v>145</v>
      </c>
      <c r="J848" t="s">
        <v>2181</v>
      </c>
      <c r="K848" t="s">
        <v>2674</v>
      </c>
      <c r="L848" t="s">
        <v>5313</v>
      </c>
      <c r="M848" t="s">
        <v>272</v>
      </c>
    </row>
    <row r="849" spans="1:13" x14ac:dyDescent="0.15">
      <c r="A849" t="s">
        <v>5314</v>
      </c>
      <c r="B849" t="s">
        <v>14</v>
      </c>
      <c r="C849" t="s">
        <v>118</v>
      </c>
      <c r="D849" t="s">
        <v>5315</v>
      </c>
      <c r="E849" t="s">
        <v>5316</v>
      </c>
      <c r="F849" t="s">
        <v>5317</v>
      </c>
      <c r="G849" t="s">
        <v>5318</v>
      </c>
      <c r="H849" t="s">
        <v>5318</v>
      </c>
      <c r="I849" t="s">
        <v>5319</v>
      </c>
      <c r="J849" t="s">
        <v>214</v>
      </c>
      <c r="K849" t="s">
        <v>4310</v>
      </c>
      <c r="L849" t="s">
        <v>5319</v>
      </c>
      <c r="M849" t="s">
        <v>482</v>
      </c>
    </row>
    <row r="850" spans="1:13" x14ac:dyDescent="0.15">
      <c r="A850" t="s">
        <v>5320</v>
      </c>
      <c r="B850" t="s">
        <v>14</v>
      </c>
      <c r="C850" t="s">
        <v>118</v>
      </c>
      <c r="D850" t="s">
        <v>5321</v>
      </c>
      <c r="E850" t="s">
        <v>5322</v>
      </c>
      <c r="F850" t="s">
        <v>5323</v>
      </c>
      <c r="G850" t="s">
        <v>5324</v>
      </c>
      <c r="H850" t="s">
        <v>5324</v>
      </c>
      <c r="I850" t="s">
        <v>5325</v>
      </c>
      <c r="J850" t="s">
        <v>214</v>
      </c>
      <c r="K850" t="s">
        <v>1896</v>
      </c>
      <c r="L850" t="s">
        <v>5325</v>
      </c>
      <c r="M850" t="s">
        <v>353</v>
      </c>
    </row>
    <row r="851" spans="1:13" x14ac:dyDescent="0.15">
      <c r="A851" t="s">
        <v>5326</v>
      </c>
      <c r="B851" t="s">
        <v>14</v>
      </c>
      <c r="C851" t="s">
        <v>118</v>
      </c>
      <c r="D851" t="s">
        <v>5327</v>
      </c>
      <c r="E851" t="s">
        <v>5328</v>
      </c>
      <c r="F851" t="s">
        <v>5329</v>
      </c>
      <c r="G851" t="s">
        <v>5330</v>
      </c>
      <c r="H851" t="s">
        <v>5330</v>
      </c>
      <c r="I851" t="s">
        <v>5331</v>
      </c>
      <c r="J851" t="s">
        <v>214</v>
      </c>
      <c r="K851" t="s">
        <v>215</v>
      </c>
      <c r="L851" t="s">
        <v>5331</v>
      </c>
      <c r="M851" t="s">
        <v>353</v>
      </c>
    </row>
    <row r="852" spans="1:13" x14ac:dyDescent="0.15">
      <c r="A852" t="s">
        <v>5332</v>
      </c>
      <c r="B852" t="s">
        <v>14</v>
      </c>
      <c r="C852" t="s">
        <v>194</v>
      </c>
      <c r="D852" t="s">
        <v>5333</v>
      </c>
      <c r="E852" t="s">
        <v>5334</v>
      </c>
      <c r="F852" t="s">
        <v>5335</v>
      </c>
      <c r="H852" t="s">
        <v>5336</v>
      </c>
      <c r="J852" t="s">
        <v>1717</v>
      </c>
      <c r="M852" t="s">
        <v>139</v>
      </c>
    </row>
    <row r="853" spans="1:13" x14ac:dyDescent="0.15">
      <c r="A853" t="s">
        <v>5337</v>
      </c>
      <c r="B853" t="s">
        <v>14</v>
      </c>
      <c r="C853" t="s">
        <v>23</v>
      </c>
      <c r="D853" t="s">
        <v>5338</v>
      </c>
      <c r="E853" t="s">
        <v>5339</v>
      </c>
      <c r="F853" t="s">
        <v>5340</v>
      </c>
      <c r="G853" t="s">
        <v>5341</v>
      </c>
      <c r="H853" t="s">
        <v>5341</v>
      </c>
      <c r="I853" t="s">
        <v>5342</v>
      </c>
      <c r="J853" t="s">
        <v>415</v>
      </c>
      <c r="K853" t="s">
        <v>1352</v>
      </c>
      <c r="L853" t="s">
        <v>5343</v>
      </c>
      <c r="M853" t="s">
        <v>80</v>
      </c>
    </row>
    <row r="854" spans="1:13" x14ac:dyDescent="0.15">
      <c r="A854" t="s">
        <v>5344</v>
      </c>
      <c r="B854" t="s">
        <v>14</v>
      </c>
      <c r="C854" t="s">
        <v>118</v>
      </c>
      <c r="D854" t="s">
        <v>5345</v>
      </c>
      <c r="E854" t="s">
        <v>5346</v>
      </c>
      <c r="F854" t="s">
        <v>5347</v>
      </c>
      <c r="G854" t="s">
        <v>5348</v>
      </c>
      <c r="H854" t="s">
        <v>5348</v>
      </c>
      <c r="I854" t="s">
        <v>3605</v>
      </c>
      <c r="J854" t="s">
        <v>352</v>
      </c>
      <c r="K854" t="s">
        <v>1541</v>
      </c>
      <c r="L854" t="s">
        <v>3605</v>
      </c>
      <c r="M854" t="s">
        <v>1015</v>
      </c>
    </row>
    <row r="855" spans="1:13" x14ac:dyDescent="0.15">
      <c r="A855" t="s">
        <v>5349</v>
      </c>
      <c r="B855" t="s">
        <v>14</v>
      </c>
      <c r="C855" t="s">
        <v>118</v>
      </c>
      <c r="D855" t="s">
        <v>5350</v>
      </c>
      <c r="E855" t="s">
        <v>5351</v>
      </c>
      <c r="F855" t="s">
        <v>5352</v>
      </c>
      <c r="G855" t="s">
        <v>5353</v>
      </c>
      <c r="H855" t="s">
        <v>5353</v>
      </c>
      <c r="I855" t="s">
        <v>5354</v>
      </c>
      <c r="J855" t="s">
        <v>352</v>
      </c>
      <c r="K855" t="s">
        <v>271</v>
      </c>
      <c r="L855" t="s">
        <v>5354</v>
      </c>
      <c r="M855" t="s">
        <v>104</v>
      </c>
    </row>
    <row r="856" spans="1:13" x14ac:dyDescent="0.15">
      <c r="A856" t="s">
        <v>5355</v>
      </c>
      <c r="B856" t="s">
        <v>14</v>
      </c>
      <c r="C856" t="s">
        <v>23</v>
      </c>
      <c r="D856" t="s">
        <v>5356</v>
      </c>
      <c r="E856" t="s">
        <v>5357</v>
      </c>
      <c r="F856" t="s">
        <v>5358</v>
      </c>
      <c r="G856" t="s">
        <v>5359</v>
      </c>
      <c r="H856" t="s">
        <v>5359</v>
      </c>
      <c r="I856" t="s">
        <v>5360</v>
      </c>
      <c r="J856" t="s">
        <v>214</v>
      </c>
      <c r="K856" t="s">
        <v>2267</v>
      </c>
      <c r="L856" t="s">
        <v>5361</v>
      </c>
      <c r="M856" t="s">
        <v>41</v>
      </c>
    </row>
    <row r="857" spans="1:13" x14ac:dyDescent="0.15">
      <c r="A857" t="s">
        <v>5362</v>
      </c>
      <c r="B857" t="s">
        <v>14</v>
      </c>
      <c r="C857" t="s">
        <v>23</v>
      </c>
      <c r="D857" t="s">
        <v>5363</v>
      </c>
      <c r="E857" t="s">
        <v>5364</v>
      </c>
      <c r="F857" t="s">
        <v>5365</v>
      </c>
      <c r="G857" t="s">
        <v>3180</v>
      </c>
      <c r="H857" t="s">
        <v>3180</v>
      </c>
      <c r="I857" t="s">
        <v>5366</v>
      </c>
      <c r="J857" t="s">
        <v>2181</v>
      </c>
      <c r="K857" t="s">
        <v>2667</v>
      </c>
      <c r="L857" t="s">
        <v>5366</v>
      </c>
      <c r="M857" t="s">
        <v>104</v>
      </c>
    </row>
    <row r="858" spans="1:13" x14ac:dyDescent="0.15">
      <c r="A858" t="s">
        <v>5367</v>
      </c>
      <c r="B858" t="s">
        <v>14</v>
      </c>
      <c r="C858" t="s">
        <v>23</v>
      </c>
      <c r="D858" t="s">
        <v>5368</v>
      </c>
      <c r="E858" t="s">
        <v>5369</v>
      </c>
      <c r="F858" t="s">
        <v>5370</v>
      </c>
      <c r="G858" t="s">
        <v>5371</v>
      </c>
      <c r="H858" t="s">
        <v>145</v>
      </c>
      <c r="I858" t="s">
        <v>5372</v>
      </c>
      <c r="J858" t="s">
        <v>626</v>
      </c>
      <c r="K858" t="s">
        <v>5186</v>
      </c>
      <c r="L858" t="s">
        <v>5373</v>
      </c>
      <c r="M858" t="s">
        <v>41</v>
      </c>
    </row>
    <row r="859" spans="1:13" x14ac:dyDescent="0.15">
      <c r="A859" t="s">
        <v>5374</v>
      </c>
      <c r="B859" t="s">
        <v>14</v>
      </c>
      <c r="C859" t="s">
        <v>23</v>
      </c>
      <c r="D859" t="s">
        <v>5375</v>
      </c>
      <c r="E859" t="s">
        <v>5376</v>
      </c>
      <c r="F859" t="s">
        <v>5377</v>
      </c>
      <c r="G859" t="s">
        <v>5378</v>
      </c>
      <c r="H859" t="s">
        <v>145</v>
      </c>
      <c r="I859" t="s">
        <v>5379</v>
      </c>
      <c r="J859" t="s">
        <v>626</v>
      </c>
      <c r="K859" t="s">
        <v>608</v>
      </c>
      <c r="L859" t="s">
        <v>2637</v>
      </c>
      <c r="M859" t="s">
        <v>104</v>
      </c>
    </row>
    <row r="860" spans="1:13" x14ac:dyDescent="0.15">
      <c r="A860" t="s">
        <v>5380</v>
      </c>
      <c r="B860" t="s">
        <v>14</v>
      </c>
      <c r="C860" t="s">
        <v>118</v>
      </c>
      <c r="D860" t="s">
        <v>5381</v>
      </c>
      <c r="E860" t="s">
        <v>5382</v>
      </c>
      <c r="F860" t="s">
        <v>5383</v>
      </c>
      <c r="G860" t="s">
        <v>5384</v>
      </c>
      <c r="H860" t="s">
        <v>5384</v>
      </c>
      <c r="I860" t="s">
        <v>5385</v>
      </c>
      <c r="J860" t="s">
        <v>124</v>
      </c>
      <c r="K860" t="s">
        <v>173</v>
      </c>
      <c r="L860" t="s">
        <v>5385</v>
      </c>
      <c r="M860" t="s">
        <v>31</v>
      </c>
    </row>
    <row r="861" spans="1:13" x14ac:dyDescent="0.15">
      <c r="A861" t="s">
        <v>5386</v>
      </c>
      <c r="B861" t="s">
        <v>14</v>
      </c>
      <c r="C861" t="s">
        <v>23</v>
      </c>
      <c r="D861" t="s">
        <v>5387</v>
      </c>
      <c r="E861" t="s">
        <v>5388</v>
      </c>
      <c r="F861" t="s">
        <v>5389</v>
      </c>
      <c r="G861" t="s">
        <v>5390</v>
      </c>
      <c r="H861" t="s">
        <v>5390</v>
      </c>
      <c r="I861" t="s">
        <v>3037</v>
      </c>
      <c r="J861" t="s">
        <v>521</v>
      </c>
      <c r="K861" t="s">
        <v>239</v>
      </c>
      <c r="L861" t="s">
        <v>2449</v>
      </c>
      <c r="M861" t="s">
        <v>216</v>
      </c>
    </row>
    <row r="862" spans="1:13" x14ac:dyDescent="0.15">
      <c r="A862" t="s">
        <v>5391</v>
      </c>
      <c r="B862" t="s">
        <v>14</v>
      </c>
      <c r="C862" t="s">
        <v>118</v>
      </c>
      <c r="D862" t="s">
        <v>5392</v>
      </c>
      <c r="E862" t="s">
        <v>5393</v>
      </c>
      <c r="F862" t="s">
        <v>5394</v>
      </c>
      <c r="G862" t="s">
        <v>5395</v>
      </c>
      <c r="H862" t="s">
        <v>5395</v>
      </c>
      <c r="I862" t="s">
        <v>5396</v>
      </c>
      <c r="J862" t="s">
        <v>124</v>
      </c>
      <c r="K862" t="s">
        <v>239</v>
      </c>
      <c r="L862" t="s">
        <v>5396</v>
      </c>
      <c r="M862" t="s">
        <v>31</v>
      </c>
    </row>
    <row r="863" spans="1:13" x14ac:dyDescent="0.15">
      <c r="A863" t="s">
        <v>5397</v>
      </c>
      <c r="B863" t="s">
        <v>14</v>
      </c>
      <c r="C863" t="s">
        <v>118</v>
      </c>
      <c r="D863" t="s">
        <v>5398</v>
      </c>
      <c r="E863" t="s">
        <v>5399</v>
      </c>
      <c r="F863" t="s">
        <v>5400</v>
      </c>
      <c r="G863" t="s">
        <v>5401</v>
      </c>
      <c r="H863" t="s">
        <v>5401</v>
      </c>
      <c r="I863" t="s">
        <v>5402</v>
      </c>
      <c r="J863" t="s">
        <v>124</v>
      </c>
      <c r="K863" t="s">
        <v>1846</v>
      </c>
      <c r="L863" t="s">
        <v>5402</v>
      </c>
      <c r="M863" t="s">
        <v>31</v>
      </c>
    </row>
    <row r="864" spans="1:13" x14ac:dyDescent="0.15">
      <c r="A864" t="s">
        <v>5403</v>
      </c>
      <c r="B864" t="s">
        <v>14</v>
      </c>
      <c r="C864" t="s">
        <v>23</v>
      </c>
      <c r="D864" t="s">
        <v>5404</v>
      </c>
      <c r="E864" t="s">
        <v>5405</v>
      </c>
      <c r="F864" t="s">
        <v>5406</v>
      </c>
      <c r="G864" t="s">
        <v>5407</v>
      </c>
      <c r="H864" t="s">
        <v>5407</v>
      </c>
      <c r="I864" t="s">
        <v>5408</v>
      </c>
      <c r="J864" t="s">
        <v>473</v>
      </c>
      <c r="K864" t="s">
        <v>64</v>
      </c>
      <c r="L864" t="s">
        <v>5408</v>
      </c>
      <c r="M864" t="s">
        <v>104</v>
      </c>
    </row>
    <row r="865" spans="1:13" x14ac:dyDescent="0.15">
      <c r="A865" t="s">
        <v>5409</v>
      </c>
      <c r="B865" t="s">
        <v>14</v>
      </c>
      <c r="C865" t="s">
        <v>118</v>
      </c>
      <c r="D865" t="s">
        <v>5410</v>
      </c>
      <c r="E865" t="s">
        <v>5411</v>
      </c>
      <c r="F865" t="s">
        <v>5412</v>
      </c>
      <c r="G865" t="s">
        <v>5413</v>
      </c>
      <c r="H865" t="s">
        <v>5413</v>
      </c>
      <c r="I865" t="s">
        <v>5414</v>
      </c>
      <c r="J865" t="s">
        <v>270</v>
      </c>
      <c r="K865" t="s">
        <v>5415</v>
      </c>
      <c r="L865" t="s">
        <v>5414</v>
      </c>
      <c r="M865" t="s">
        <v>80</v>
      </c>
    </row>
    <row r="866" spans="1:13" x14ac:dyDescent="0.15">
      <c r="A866" t="s">
        <v>5416</v>
      </c>
      <c r="B866" t="s">
        <v>14</v>
      </c>
      <c r="C866" t="s">
        <v>118</v>
      </c>
      <c r="D866" t="s">
        <v>5417</v>
      </c>
      <c r="E866" t="s">
        <v>5418</v>
      </c>
      <c r="F866" t="s">
        <v>5419</v>
      </c>
      <c r="G866" t="s">
        <v>5420</v>
      </c>
      <c r="H866" t="s">
        <v>5420</v>
      </c>
      <c r="I866" t="s">
        <v>5421</v>
      </c>
      <c r="J866" t="s">
        <v>20</v>
      </c>
      <c r="K866" t="s">
        <v>5422</v>
      </c>
      <c r="L866" t="s">
        <v>5421</v>
      </c>
      <c r="M866" t="s">
        <v>812</v>
      </c>
    </row>
    <row r="867" spans="1:13" x14ac:dyDescent="0.15">
      <c r="A867" t="s">
        <v>5423</v>
      </c>
      <c r="B867" t="s">
        <v>14</v>
      </c>
      <c r="C867" t="s">
        <v>118</v>
      </c>
      <c r="D867" t="s">
        <v>5424</v>
      </c>
      <c r="E867" t="s">
        <v>5425</v>
      </c>
      <c r="F867" t="s">
        <v>5426</v>
      </c>
      <c r="G867" t="s">
        <v>5313</v>
      </c>
      <c r="H867" t="s">
        <v>5313</v>
      </c>
      <c r="I867" t="s">
        <v>5427</v>
      </c>
      <c r="J867" t="s">
        <v>29</v>
      </c>
      <c r="K867" t="s">
        <v>554</v>
      </c>
      <c r="L867" t="s">
        <v>5427</v>
      </c>
      <c r="M867" t="s">
        <v>165</v>
      </c>
    </row>
    <row r="868" spans="1:13" x14ac:dyDescent="0.15">
      <c r="A868" t="s">
        <v>5428</v>
      </c>
      <c r="B868" t="s">
        <v>14</v>
      </c>
      <c r="C868" t="s">
        <v>118</v>
      </c>
      <c r="D868" t="s">
        <v>5429</v>
      </c>
      <c r="E868" t="s">
        <v>5430</v>
      </c>
      <c r="F868" t="s">
        <v>5431</v>
      </c>
      <c r="G868" t="s">
        <v>5432</v>
      </c>
      <c r="H868" t="s">
        <v>5432</v>
      </c>
      <c r="I868" t="s">
        <v>2691</v>
      </c>
      <c r="J868" t="s">
        <v>214</v>
      </c>
      <c r="K868" t="s">
        <v>1216</v>
      </c>
      <c r="L868" t="s">
        <v>2691</v>
      </c>
      <c r="M868" t="s">
        <v>353</v>
      </c>
    </row>
    <row r="869" spans="1:13" x14ac:dyDescent="0.15">
      <c r="A869" t="s">
        <v>5433</v>
      </c>
      <c r="B869" t="s">
        <v>14</v>
      </c>
      <c r="C869" t="s">
        <v>118</v>
      </c>
      <c r="D869" t="s">
        <v>5434</v>
      </c>
      <c r="E869" t="s">
        <v>5435</v>
      </c>
      <c r="F869" t="s">
        <v>5436</v>
      </c>
      <c r="G869" t="s">
        <v>5437</v>
      </c>
      <c r="H869" t="s">
        <v>5437</v>
      </c>
      <c r="I869" t="s">
        <v>5438</v>
      </c>
      <c r="J869" t="s">
        <v>214</v>
      </c>
      <c r="K869" t="s">
        <v>3500</v>
      </c>
      <c r="L869" t="s">
        <v>5438</v>
      </c>
      <c r="M869" t="s">
        <v>482</v>
      </c>
    </row>
    <row r="870" spans="1:13" x14ac:dyDescent="0.15">
      <c r="A870" t="s">
        <v>5439</v>
      </c>
      <c r="B870" t="s">
        <v>14</v>
      </c>
      <c r="C870" t="s">
        <v>118</v>
      </c>
      <c r="D870" t="s">
        <v>5440</v>
      </c>
      <c r="E870" t="s">
        <v>5441</v>
      </c>
      <c r="F870" t="s">
        <v>5442</v>
      </c>
      <c r="G870" t="s">
        <v>5443</v>
      </c>
      <c r="H870" t="s">
        <v>5443</v>
      </c>
      <c r="I870" t="s">
        <v>5444</v>
      </c>
      <c r="J870" t="s">
        <v>214</v>
      </c>
      <c r="K870" t="s">
        <v>5205</v>
      </c>
      <c r="L870" t="s">
        <v>5444</v>
      </c>
      <c r="M870" t="s">
        <v>482</v>
      </c>
    </row>
    <row r="871" spans="1:13" x14ac:dyDescent="0.15">
      <c r="A871" t="s">
        <v>5445</v>
      </c>
      <c r="B871" t="s">
        <v>14</v>
      </c>
      <c r="C871" t="s">
        <v>118</v>
      </c>
      <c r="D871" t="s">
        <v>5446</v>
      </c>
      <c r="E871" t="s">
        <v>5447</v>
      </c>
      <c r="F871" t="s">
        <v>5448</v>
      </c>
      <c r="G871" t="s">
        <v>5449</v>
      </c>
      <c r="H871" t="s">
        <v>5449</v>
      </c>
      <c r="I871" t="s">
        <v>5450</v>
      </c>
      <c r="J871" t="s">
        <v>514</v>
      </c>
      <c r="K871" t="s">
        <v>2598</v>
      </c>
      <c r="L871" t="s">
        <v>5450</v>
      </c>
      <c r="M871" t="s">
        <v>880</v>
      </c>
    </row>
    <row r="872" spans="1:13" x14ac:dyDescent="0.15">
      <c r="A872" t="s">
        <v>5451</v>
      </c>
      <c r="B872" t="s">
        <v>14</v>
      </c>
      <c r="C872" t="s">
        <v>118</v>
      </c>
      <c r="D872" t="s">
        <v>5452</v>
      </c>
      <c r="E872" t="s">
        <v>5453</v>
      </c>
      <c r="F872" t="s">
        <v>5454</v>
      </c>
      <c r="G872" t="s">
        <v>5455</v>
      </c>
      <c r="H872" t="s">
        <v>5455</v>
      </c>
      <c r="I872" t="s">
        <v>5456</v>
      </c>
      <c r="J872" t="s">
        <v>297</v>
      </c>
      <c r="K872" t="s">
        <v>339</v>
      </c>
      <c r="L872" t="s">
        <v>5456</v>
      </c>
      <c r="M872" t="s">
        <v>432</v>
      </c>
    </row>
    <row r="873" spans="1:13" x14ac:dyDescent="0.15">
      <c r="A873" t="s">
        <v>5457</v>
      </c>
      <c r="B873" t="s">
        <v>14</v>
      </c>
      <c r="C873" t="s">
        <v>23</v>
      </c>
      <c r="D873" t="s">
        <v>5458</v>
      </c>
      <c r="E873" t="s">
        <v>5459</v>
      </c>
      <c r="F873" t="s">
        <v>5460</v>
      </c>
      <c r="G873" t="s">
        <v>5461</v>
      </c>
      <c r="H873" t="s">
        <v>5461</v>
      </c>
      <c r="I873" t="s">
        <v>5462</v>
      </c>
      <c r="J873" t="s">
        <v>20</v>
      </c>
      <c r="K873" t="s">
        <v>332</v>
      </c>
      <c r="L873" t="s">
        <v>5462</v>
      </c>
      <c r="M873" t="s">
        <v>104</v>
      </c>
    </row>
    <row r="874" spans="1:13" x14ac:dyDescent="0.15">
      <c r="A874" t="s">
        <v>5463</v>
      </c>
      <c r="B874" t="s">
        <v>14</v>
      </c>
      <c r="C874" t="s">
        <v>23</v>
      </c>
      <c r="D874" t="s">
        <v>5464</v>
      </c>
      <c r="E874" t="s">
        <v>5465</v>
      </c>
      <c r="F874" t="s">
        <v>5466</v>
      </c>
      <c r="G874" t="s">
        <v>5467</v>
      </c>
      <c r="H874" t="s">
        <v>5467</v>
      </c>
      <c r="I874" t="s">
        <v>5468</v>
      </c>
      <c r="J874" t="s">
        <v>20</v>
      </c>
      <c r="K874" t="s">
        <v>2499</v>
      </c>
      <c r="L874" t="s">
        <v>3706</v>
      </c>
      <c r="M874" t="s">
        <v>104</v>
      </c>
    </row>
    <row r="875" spans="1:13" x14ac:dyDescent="0.15">
      <c r="A875" t="s">
        <v>5469</v>
      </c>
      <c r="B875" t="s">
        <v>14</v>
      </c>
      <c r="C875" t="s">
        <v>118</v>
      </c>
      <c r="D875" t="s">
        <v>5470</v>
      </c>
      <c r="E875" t="s">
        <v>5471</v>
      </c>
      <c r="F875" t="s">
        <v>5472</v>
      </c>
      <c r="H875" t="s">
        <v>5473</v>
      </c>
      <c r="I875" t="s">
        <v>5474</v>
      </c>
      <c r="J875" t="s">
        <v>156</v>
      </c>
      <c r="K875" t="s">
        <v>903</v>
      </c>
      <c r="L875" t="s">
        <v>5474</v>
      </c>
      <c r="M875" t="s">
        <v>21</v>
      </c>
    </row>
    <row r="876" spans="1:13" x14ac:dyDescent="0.15">
      <c r="A876" t="s">
        <v>5475</v>
      </c>
      <c r="B876" t="s">
        <v>14</v>
      </c>
      <c r="C876" t="s">
        <v>118</v>
      </c>
      <c r="D876" t="s">
        <v>5476</v>
      </c>
      <c r="E876" t="s">
        <v>5477</v>
      </c>
      <c r="F876" t="s">
        <v>5478</v>
      </c>
      <c r="H876" t="s">
        <v>5479</v>
      </c>
      <c r="I876" t="s">
        <v>5480</v>
      </c>
      <c r="J876" t="s">
        <v>156</v>
      </c>
      <c r="K876" t="s">
        <v>574</v>
      </c>
      <c r="L876" t="s">
        <v>5480</v>
      </c>
      <c r="M876" t="s">
        <v>192</v>
      </c>
    </row>
    <row r="877" spans="1:13" x14ac:dyDescent="0.15">
      <c r="A877" t="s">
        <v>5481</v>
      </c>
      <c r="B877" t="s">
        <v>14</v>
      </c>
      <c r="C877" t="s">
        <v>118</v>
      </c>
      <c r="D877" t="s">
        <v>5482</v>
      </c>
      <c r="E877" t="s">
        <v>5483</v>
      </c>
      <c r="F877" t="s">
        <v>5484</v>
      </c>
      <c r="G877" t="s">
        <v>5485</v>
      </c>
      <c r="H877" t="s">
        <v>5485</v>
      </c>
      <c r="I877" t="s">
        <v>5486</v>
      </c>
      <c r="J877" t="s">
        <v>230</v>
      </c>
      <c r="K877" t="s">
        <v>772</v>
      </c>
      <c r="L877" t="s">
        <v>5486</v>
      </c>
      <c r="M877" t="s">
        <v>248</v>
      </c>
    </row>
    <row r="878" spans="1:13" x14ac:dyDescent="0.15">
      <c r="A878" t="s">
        <v>5487</v>
      </c>
      <c r="B878" t="s">
        <v>14</v>
      </c>
      <c r="C878" t="s">
        <v>118</v>
      </c>
      <c r="D878" t="s">
        <v>5488</v>
      </c>
      <c r="E878" t="s">
        <v>5489</v>
      </c>
      <c r="F878" t="s">
        <v>5490</v>
      </c>
      <c r="G878" t="s">
        <v>5491</v>
      </c>
      <c r="H878" t="s">
        <v>5491</v>
      </c>
      <c r="I878" t="s">
        <v>5492</v>
      </c>
      <c r="J878" t="s">
        <v>110</v>
      </c>
      <c r="K878" t="s">
        <v>1743</v>
      </c>
      <c r="L878" t="s">
        <v>5492</v>
      </c>
      <c r="M878" t="s">
        <v>183</v>
      </c>
    </row>
    <row r="879" spans="1:13" x14ac:dyDescent="0.15">
      <c r="A879" t="s">
        <v>5493</v>
      </c>
      <c r="B879" t="s">
        <v>14</v>
      </c>
      <c r="C879" t="s">
        <v>118</v>
      </c>
      <c r="D879" t="s">
        <v>5494</v>
      </c>
      <c r="E879" t="s">
        <v>5495</v>
      </c>
      <c r="F879" t="s">
        <v>5496</v>
      </c>
      <c r="G879" t="s">
        <v>5497</v>
      </c>
      <c r="H879" t="s">
        <v>5497</v>
      </c>
      <c r="I879" t="s">
        <v>5498</v>
      </c>
      <c r="J879" t="s">
        <v>1037</v>
      </c>
      <c r="K879" t="s">
        <v>173</v>
      </c>
      <c r="L879" t="s">
        <v>5498</v>
      </c>
      <c r="M879" t="s">
        <v>165</v>
      </c>
    </row>
    <row r="880" spans="1:13" x14ac:dyDescent="0.15">
      <c r="A880" t="s">
        <v>5499</v>
      </c>
      <c r="B880" t="s">
        <v>14</v>
      </c>
      <c r="C880" t="s">
        <v>23</v>
      </c>
      <c r="D880" t="s">
        <v>5500</v>
      </c>
      <c r="E880" t="s">
        <v>5501</v>
      </c>
      <c r="F880" t="s">
        <v>5502</v>
      </c>
      <c r="G880" t="s">
        <v>5503</v>
      </c>
      <c r="H880" t="s">
        <v>5503</v>
      </c>
      <c r="I880" t="s">
        <v>5504</v>
      </c>
      <c r="J880" t="s">
        <v>415</v>
      </c>
      <c r="K880" t="s">
        <v>231</v>
      </c>
      <c r="L880" t="s">
        <v>5504</v>
      </c>
      <c r="M880" t="s">
        <v>104</v>
      </c>
    </row>
    <row r="881" spans="1:13" x14ac:dyDescent="0.15">
      <c r="A881" t="s">
        <v>5505</v>
      </c>
      <c r="B881" t="s">
        <v>14</v>
      </c>
      <c r="C881" t="s">
        <v>118</v>
      </c>
      <c r="D881" t="s">
        <v>5506</v>
      </c>
      <c r="E881" t="s">
        <v>5507</v>
      </c>
      <c r="F881" t="s">
        <v>5508</v>
      </c>
      <c r="G881" t="s">
        <v>5509</v>
      </c>
      <c r="H881" t="s">
        <v>5509</v>
      </c>
      <c r="I881" t="s">
        <v>5510</v>
      </c>
      <c r="J881" t="s">
        <v>415</v>
      </c>
      <c r="K881" t="s">
        <v>1485</v>
      </c>
      <c r="L881" t="s">
        <v>5510</v>
      </c>
      <c r="M881" t="s">
        <v>1118</v>
      </c>
    </row>
    <row r="882" spans="1:13" x14ac:dyDescent="0.15">
      <c r="A882" t="s">
        <v>5511</v>
      </c>
      <c r="B882" t="s">
        <v>14</v>
      </c>
      <c r="C882" t="s">
        <v>23</v>
      </c>
      <c r="D882" t="s">
        <v>5512</v>
      </c>
      <c r="E882" t="s">
        <v>5513</v>
      </c>
      <c r="F882" t="s">
        <v>5514</v>
      </c>
      <c r="G882" t="s">
        <v>5515</v>
      </c>
      <c r="H882" t="s">
        <v>5515</v>
      </c>
      <c r="I882" t="s">
        <v>5516</v>
      </c>
      <c r="J882" t="s">
        <v>29</v>
      </c>
      <c r="K882" t="s">
        <v>1757</v>
      </c>
      <c r="L882" t="s">
        <v>2149</v>
      </c>
      <c r="M882" t="s">
        <v>104</v>
      </c>
    </row>
    <row r="883" spans="1:13" x14ac:dyDescent="0.15">
      <c r="A883" t="s">
        <v>5517</v>
      </c>
      <c r="B883" t="s">
        <v>14</v>
      </c>
      <c r="C883" t="s">
        <v>118</v>
      </c>
      <c r="D883" t="s">
        <v>5518</v>
      </c>
      <c r="E883" t="s">
        <v>5519</v>
      </c>
      <c r="F883" t="s">
        <v>5520</v>
      </c>
      <c r="G883" t="s">
        <v>5521</v>
      </c>
      <c r="H883" t="s">
        <v>5521</v>
      </c>
      <c r="I883" t="s">
        <v>4280</v>
      </c>
      <c r="J883" t="s">
        <v>29</v>
      </c>
      <c r="K883" t="s">
        <v>387</v>
      </c>
      <c r="L883" t="s">
        <v>4280</v>
      </c>
      <c r="M883" t="s">
        <v>174</v>
      </c>
    </row>
    <row r="884" spans="1:13" x14ac:dyDescent="0.15">
      <c r="A884" t="s">
        <v>5522</v>
      </c>
      <c r="B884" t="s">
        <v>14</v>
      </c>
      <c r="C884" t="s">
        <v>194</v>
      </c>
      <c r="D884" t="s">
        <v>5523</v>
      </c>
      <c r="E884" t="s">
        <v>5524</v>
      </c>
      <c r="F884" t="s">
        <v>5525</v>
      </c>
      <c r="H884" t="s">
        <v>5526</v>
      </c>
      <c r="J884" t="s">
        <v>481</v>
      </c>
      <c r="M884" t="s">
        <v>139</v>
      </c>
    </row>
    <row r="885" spans="1:13" x14ac:dyDescent="0.15">
      <c r="A885" t="s">
        <v>5527</v>
      </c>
      <c r="B885" t="s">
        <v>14</v>
      </c>
      <c r="C885" t="s">
        <v>118</v>
      </c>
      <c r="D885" t="s">
        <v>5528</v>
      </c>
      <c r="E885" t="s">
        <v>5529</v>
      </c>
      <c r="F885" t="s">
        <v>5530</v>
      </c>
      <c r="H885" t="s">
        <v>5531</v>
      </c>
      <c r="I885" t="s">
        <v>5532</v>
      </c>
      <c r="J885" t="s">
        <v>3118</v>
      </c>
      <c r="K885" t="s">
        <v>2687</v>
      </c>
      <c r="L885" t="s">
        <v>5532</v>
      </c>
      <c r="M885" t="s">
        <v>21</v>
      </c>
    </row>
    <row r="886" spans="1:13" x14ac:dyDescent="0.15">
      <c r="A886" t="s">
        <v>5533</v>
      </c>
      <c r="B886" t="s">
        <v>14</v>
      </c>
      <c r="C886" t="s">
        <v>23</v>
      </c>
      <c r="D886" t="s">
        <v>5534</v>
      </c>
      <c r="E886" t="s">
        <v>5535</v>
      </c>
      <c r="F886" t="s">
        <v>5536</v>
      </c>
      <c r="G886" t="s">
        <v>5537</v>
      </c>
      <c r="H886" t="s">
        <v>5537</v>
      </c>
      <c r="I886" t="s">
        <v>5538</v>
      </c>
      <c r="J886" t="s">
        <v>344</v>
      </c>
      <c r="K886" t="s">
        <v>1882</v>
      </c>
      <c r="L886" t="s">
        <v>5539</v>
      </c>
      <c r="M886" t="s">
        <v>353</v>
      </c>
    </row>
    <row r="887" spans="1:13" x14ac:dyDescent="0.15">
      <c r="A887" t="s">
        <v>5540</v>
      </c>
      <c r="B887" t="s">
        <v>14</v>
      </c>
      <c r="C887" t="s">
        <v>23</v>
      </c>
      <c r="D887" t="s">
        <v>5541</v>
      </c>
      <c r="E887" t="s">
        <v>5542</v>
      </c>
      <c r="F887" t="s">
        <v>5543</v>
      </c>
      <c r="G887" t="s">
        <v>5544</v>
      </c>
      <c r="H887" t="s">
        <v>5544</v>
      </c>
      <c r="I887" t="s">
        <v>5545</v>
      </c>
      <c r="J887" t="s">
        <v>344</v>
      </c>
      <c r="K887" t="s">
        <v>647</v>
      </c>
      <c r="L887" t="s">
        <v>5546</v>
      </c>
      <c r="M887" t="s">
        <v>353</v>
      </c>
    </row>
    <row r="888" spans="1:13" x14ac:dyDescent="0.15">
      <c r="A888" t="s">
        <v>5547</v>
      </c>
      <c r="B888" t="s">
        <v>14</v>
      </c>
      <c r="C888" t="s">
        <v>23</v>
      </c>
      <c r="D888" t="s">
        <v>375</v>
      </c>
      <c r="E888" t="s">
        <v>5548</v>
      </c>
      <c r="F888" t="s">
        <v>5549</v>
      </c>
      <c r="G888" t="s">
        <v>2631</v>
      </c>
      <c r="H888" t="s">
        <v>2631</v>
      </c>
      <c r="I888" t="s">
        <v>5550</v>
      </c>
      <c r="J888" t="s">
        <v>297</v>
      </c>
      <c r="K888" t="s">
        <v>574</v>
      </c>
      <c r="L888" t="s">
        <v>5551</v>
      </c>
      <c r="M888" t="s">
        <v>104</v>
      </c>
    </row>
    <row r="889" spans="1:13" x14ac:dyDescent="0.15">
      <c r="A889" t="s">
        <v>5552</v>
      </c>
      <c r="B889" t="s">
        <v>14</v>
      </c>
      <c r="C889" t="s">
        <v>118</v>
      </c>
      <c r="D889" t="s">
        <v>5553</v>
      </c>
      <c r="E889" t="s">
        <v>5554</v>
      </c>
      <c r="F889" t="s">
        <v>5555</v>
      </c>
      <c r="G889" t="s">
        <v>5556</v>
      </c>
      <c r="H889" t="s">
        <v>5556</v>
      </c>
      <c r="I889" t="s">
        <v>5557</v>
      </c>
      <c r="J889" t="s">
        <v>533</v>
      </c>
      <c r="K889" t="s">
        <v>554</v>
      </c>
      <c r="L889" t="s">
        <v>5558</v>
      </c>
      <c r="M889" t="s">
        <v>139</v>
      </c>
    </row>
    <row r="890" spans="1:13" x14ac:dyDescent="0.15">
      <c r="A890" t="s">
        <v>5559</v>
      </c>
      <c r="B890" t="s">
        <v>14</v>
      </c>
      <c r="C890" t="s">
        <v>23</v>
      </c>
      <c r="D890" t="s">
        <v>5560</v>
      </c>
      <c r="E890" t="s">
        <v>5561</v>
      </c>
      <c r="F890" t="s">
        <v>5562</v>
      </c>
      <c r="G890" t="s">
        <v>5563</v>
      </c>
      <c r="H890" t="s">
        <v>5563</v>
      </c>
      <c r="I890" t="s">
        <v>5564</v>
      </c>
      <c r="J890" t="s">
        <v>124</v>
      </c>
      <c r="K890" t="s">
        <v>1208</v>
      </c>
      <c r="L890" t="s">
        <v>5565</v>
      </c>
      <c r="M890" t="s">
        <v>41</v>
      </c>
    </row>
    <row r="891" spans="1:13" x14ac:dyDescent="0.15">
      <c r="A891" t="s">
        <v>5566</v>
      </c>
      <c r="B891" t="s">
        <v>14</v>
      </c>
      <c r="C891" t="s">
        <v>23</v>
      </c>
      <c r="D891" t="s">
        <v>5567</v>
      </c>
      <c r="E891" t="s">
        <v>5568</v>
      </c>
      <c r="F891" t="s">
        <v>5569</v>
      </c>
      <c r="G891" t="s">
        <v>5570</v>
      </c>
      <c r="H891" t="s">
        <v>5570</v>
      </c>
      <c r="I891" t="s">
        <v>5571</v>
      </c>
      <c r="J891" t="s">
        <v>124</v>
      </c>
      <c r="K891" t="s">
        <v>4310</v>
      </c>
      <c r="L891" t="s">
        <v>5571</v>
      </c>
      <c r="M891" t="s">
        <v>104</v>
      </c>
    </row>
    <row r="892" spans="1:13" x14ac:dyDescent="0.15">
      <c r="A892" t="s">
        <v>5572</v>
      </c>
      <c r="B892" t="s">
        <v>14</v>
      </c>
      <c r="C892" t="s">
        <v>118</v>
      </c>
      <c r="D892" t="s">
        <v>5573</v>
      </c>
      <c r="E892" t="s">
        <v>5574</v>
      </c>
      <c r="F892" t="s">
        <v>5575</v>
      </c>
      <c r="G892" t="s">
        <v>1491</v>
      </c>
      <c r="H892" t="s">
        <v>1491</v>
      </c>
      <c r="I892" t="s">
        <v>5576</v>
      </c>
      <c r="J892" t="s">
        <v>459</v>
      </c>
      <c r="K892" t="s">
        <v>231</v>
      </c>
      <c r="L892" t="s">
        <v>5576</v>
      </c>
      <c r="M892" t="s">
        <v>353</v>
      </c>
    </row>
    <row r="893" spans="1:13" x14ac:dyDescent="0.15">
      <c r="A893" t="s">
        <v>5577</v>
      </c>
      <c r="B893" t="s">
        <v>14</v>
      </c>
      <c r="C893" t="s">
        <v>23</v>
      </c>
      <c r="D893" t="s">
        <v>5578</v>
      </c>
      <c r="E893" t="s">
        <v>5579</v>
      </c>
      <c r="F893" t="s">
        <v>5580</v>
      </c>
      <c r="G893" t="s">
        <v>4025</v>
      </c>
      <c r="H893" t="s">
        <v>4025</v>
      </c>
      <c r="I893" t="s">
        <v>5581</v>
      </c>
      <c r="J893" t="s">
        <v>415</v>
      </c>
      <c r="K893" t="s">
        <v>256</v>
      </c>
      <c r="L893" t="s">
        <v>5581</v>
      </c>
      <c r="M893" t="s">
        <v>41</v>
      </c>
    </row>
    <row r="894" spans="1:13" x14ac:dyDescent="0.15">
      <c r="A894" t="s">
        <v>5582</v>
      </c>
      <c r="B894" t="s">
        <v>14</v>
      </c>
      <c r="C894" t="s">
        <v>118</v>
      </c>
      <c r="D894" t="s">
        <v>5583</v>
      </c>
      <c r="E894" t="s">
        <v>5584</v>
      </c>
      <c r="F894" t="s">
        <v>5585</v>
      </c>
      <c r="G894" t="s">
        <v>444</v>
      </c>
      <c r="H894" t="s">
        <v>444</v>
      </c>
      <c r="I894" t="s">
        <v>5586</v>
      </c>
      <c r="J894" t="s">
        <v>214</v>
      </c>
      <c r="K894" t="s">
        <v>1125</v>
      </c>
      <c r="L894" t="s">
        <v>5586</v>
      </c>
      <c r="M894" t="s">
        <v>1583</v>
      </c>
    </row>
    <row r="895" spans="1:13" x14ac:dyDescent="0.15">
      <c r="A895" t="s">
        <v>5587</v>
      </c>
      <c r="B895" t="s">
        <v>14</v>
      </c>
      <c r="C895" t="s">
        <v>118</v>
      </c>
      <c r="D895" t="s">
        <v>5588</v>
      </c>
      <c r="E895" t="s">
        <v>5589</v>
      </c>
      <c r="F895" t="s">
        <v>5590</v>
      </c>
      <c r="G895" t="s">
        <v>5591</v>
      </c>
      <c r="H895" t="s">
        <v>5591</v>
      </c>
      <c r="I895" t="s">
        <v>5592</v>
      </c>
      <c r="J895" t="s">
        <v>255</v>
      </c>
      <c r="K895" t="s">
        <v>540</v>
      </c>
      <c r="L895" t="s">
        <v>5592</v>
      </c>
      <c r="M895" t="s">
        <v>104</v>
      </c>
    </row>
    <row r="896" spans="1:13" x14ac:dyDescent="0.15">
      <c r="A896" t="s">
        <v>5593</v>
      </c>
      <c r="B896" t="s">
        <v>14</v>
      </c>
      <c r="C896" t="s">
        <v>23</v>
      </c>
      <c r="D896" t="s">
        <v>5594</v>
      </c>
      <c r="E896" t="s">
        <v>5595</v>
      </c>
      <c r="F896" t="s">
        <v>5596</v>
      </c>
      <c r="G896" t="s">
        <v>5597</v>
      </c>
      <c r="H896" t="s">
        <v>5597</v>
      </c>
      <c r="I896" t="s">
        <v>1557</v>
      </c>
      <c r="J896" t="s">
        <v>246</v>
      </c>
      <c r="K896" t="s">
        <v>3500</v>
      </c>
      <c r="L896" t="s">
        <v>1557</v>
      </c>
      <c r="M896" t="s">
        <v>41</v>
      </c>
    </row>
    <row r="897" spans="1:13" x14ac:dyDescent="0.15">
      <c r="A897" t="s">
        <v>5598</v>
      </c>
      <c r="B897" t="s">
        <v>14</v>
      </c>
      <c r="C897" t="s">
        <v>23</v>
      </c>
      <c r="D897" t="s">
        <v>5599</v>
      </c>
      <c r="E897" t="s">
        <v>5600</v>
      </c>
      <c r="F897" t="s">
        <v>5601</v>
      </c>
      <c r="G897" t="s">
        <v>2373</v>
      </c>
      <c r="H897" t="s">
        <v>2373</v>
      </c>
      <c r="I897" t="s">
        <v>5602</v>
      </c>
      <c r="J897" t="s">
        <v>352</v>
      </c>
      <c r="K897" t="s">
        <v>540</v>
      </c>
      <c r="L897" t="s">
        <v>5602</v>
      </c>
      <c r="M897" t="s">
        <v>216</v>
      </c>
    </row>
    <row r="898" spans="1:13" x14ac:dyDescent="0.15">
      <c r="A898" t="s">
        <v>5603</v>
      </c>
      <c r="B898" t="s">
        <v>14</v>
      </c>
      <c r="C898" t="s">
        <v>23</v>
      </c>
      <c r="D898" t="s">
        <v>862</v>
      </c>
      <c r="E898" t="s">
        <v>5604</v>
      </c>
      <c r="F898" t="s">
        <v>5605</v>
      </c>
      <c r="G898" t="s">
        <v>5606</v>
      </c>
      <c r="H898" t="s">
        <v>5606</v>
      </c>
      <c r="I898" t="s">
        <v>5607</v>
      </c>
      <c r="J898" t="s">
        <v>352</v>
      </c>
      <c r="K898" t="s">
        <v>474</v>
      </c>
      <c r="L898" t="s">
        <v>5607</v>
      </c>
      <c r="M898" t="s">
        <v>126</v>
      </c>
    </row>
    <row r="899" spans="1:13" x14ac:dyDescent="0.15">
      <c r="A899" t="s">
        <v>5608</v>
      </c>
      <c r="B899" t="s">
        <v>14</v>
      </c>
      <c r="C899" t="s">
        <v>118</v>
      </c>
      <c r="D899" t="s">
        <v>5609</v>
      </c>
      <c r="E899" t="s">
        <v>5610</v>
      </c>
      <c r="F899" t="s">
        <v>5611</v>
      </c>
      <c r="G899" t="s">
        <v>5612</v>
      </c>
      <c r="H899" t="s">
        <v>5612</v>
      </c>
      <c r="I899" t="s">
        <v>5613</v>
      </c>
      <c r="J899" t="s">
        <v>1194</v>
      </c>
      <c r="K899" t="s">
        <v>5614</v>
      </c>
      <c r="L899" t="s">
        <v>5613</v>
      </c>
      <c r="M899" t="s">
        <v>216</v>
      </c>
    </row>
    <row r="900" spans="1:13" x14ac:dyDescent="0.15">
      <c r="A900" t="s">
        <v>5615</v>
      </c>
      <c r="B900" t="s">
        <v>14</v>
      </c>
      <c r="C900" t="s">
        <v>118</v>
      </c>
      <c r="D900" t="s">
        <v>549</v>
      </c>
      <c r="E900" t="s">
        <v>5616</v>
      </c>
      <c r="F900" t="s">
        <v>5617</v>
      </c>
      <c r="G900" t="s">
        <v>4755</v>
      </c>
      <c r="H900" t="s">
        <v>4755</v>
      </c>
      <c r="I900" t="s">
        <v>5618</v>
      </c>
      <c r="J900" t="s">
        <v>20</v>
      </c>
      <c r="K900" t="s">
        <v>339</v>
      </c>
      <c r="L900" t="s">
        <v>5618</v>
      </c>
      <c r="M900" t="s">
        <v>432</v>
      </c>
    </row>
    <row r="901" spans="1:13" x14ac:dyDescent="0.15">
      <c r="A901" t="s">
        <v>5619</v>
      </c>
      <c r="B901" t="s">
        <v>14</v>
      </c>
      <c r="C901" t="s">
        <v>118</v>
      </c>
      <c r="D901" t="s">
        <v>5620</v>
      </c>
      <c r="E901" t="s">
        <v>5621</v>
      </c>
      <c r="F901" t="s">
        <v>5622</v>
      </c>
      <c r="G901" t="s">
        <v>5623</v>
      </c>
      <c r="H901" t="s">
        <v>5623</v>
      </c>
      <c r="I901" t="s">
        <v>5624</v>
      </c>
      <c r="J901" t="s">
        <v>481</v>
      </c>
      <c r="K901" t="s">
        <v>811</v>
      </c>
      <c r="L901" t="s">
        <v>5624</v>
      </c>
      <c r="M901" t="s">
        <v>290</v>
      </c>
    </row>
    <row r="902" spans="1:13" x14ac:dyDescent="0.15">
      <c r="A902" t="s">
        <v>5625</v>
      </c>
      <c r="B902" t="s">
        <v>14</v>
      </c>
      <c r="C902" t="s">
        <v>118</v>
      </c>
      <c r="D902" t="s">
        <v>5626</v>
      </c>
      <c r="E902" t="s">
        <v>5627</v>
      </c>
      <c r="F902" t="s">
        <v>5628</v>
      </c>
      <c r="G902" t="s">
        <v>5629</v>
      </c>
      <c r="H902" t="s">
        <v>5629</v>
      </c>
      <c r="I902" t="s">
        <v>5630</v>
      </c>
      <c r="J902" t="s">
        <v>352</v>
      </c>
      <c r="K902" t="s">
        <v>263</v>
      </c>
      <c r="L902" t="s">
        <v>5630</v>
      </c>
      <c r="M902" t="s">
        <v>216</v>
      </c>
    </row>
    <row r="903" spans="1:13" x14ac:dyDescent="0.15">
      <c r="A903" t="s">
        <v>5631</v>
      </c>
      <c r="B903" t="s">
        <v>14</v>
      </c>
      <c r="C903" t="s">
        <v>23</v>
      </c>
      <c r="D903" t="s">
        <v>5632</v>
      </c>
      <c r="E903" t="s">
        <v>5633</v>
      </c>
      <c r="F903" t="s">
        <v>5634</v>
      </c>
      <c r="G903" t="s">
        <v>5635</v>
      </c>
      <c r="H903" t="s">
        <v>5635</v>
      </c>
      <c r="I903" t="s">
        <v>607</v>
      </c>
      <c r="J903" t="s">
        <v>533</v>
      </c>
      <c r="K903" t="s">
        <v>5636</v>
      </c>
      <c r="L903" t="s">
        <v>607</v>
      </c>
      <c r="M903" t="s">
        <v>104</v>
      </c>
    </row>
    <row r="904" spans="1:13" x14ac:dyDescent="0.15">
      <c r="A904" t="s">
        <v>5637</v>
      </c>
      <c r="B904" t="s">
        <v>14</v>
      </c>
      <c r="C904" t="s">
        <v>15</v>
      </c>
      <c r="D904" t="s">
        <v>5638</v>
      </c>
      <c r="E904" t="s">
        <v>5639</v>
      </c>
      <c r="F904" t="s">
        <v>5640</v>
      </c>
      <c r="G904" t="s">
        <v>5641</v>
      </c>
      <c r="H904" t="s">
        <v>145</v>
      </c>
      <c r="J904" t="s">
        <v>2205</v>
      </c>
      <c r="M904" t="s">
        <v>139</v>
      </c>
    </row>
    <row r="905" spans="1:13" x14ac:dyDescent="0.15">
      <c r="A905" t="s">
        <v>5642</v>
      </c>
      <c r="B905" t="s">
        <v>14</v>
      </c>
      <c r="C905" t="s">
        <v>118</v>
      </c>
      <c r="D905" t="s">
        <v>5643</v>
      </c>
      <c r="E905" t="s">
        <v>5644</v>
      </c>
      <c r="F905" t="s">
        <v>5645</v>
      </c>
      <c r="G905" t="s">
        <v>5646</v>
      </c>
      <c r="H905" t="s">
        <v>5646</v>
      </c>
      <c r="I905" t="s">
        <v>5647</v>
      </c>
      <c r="J905" t="s">
        <v>521</v>
      </c>
      <c r="K905" t="s">
        <v>1030</v>
      </c>
      <c r="L905" t="s">
        <v>5647</v>
      </c>
      <c r="M905" t="s">
        <v>3238</v>
      </c>
    </row>
    <row r="906" spans="1:13" x14ac:dyDescent="0.15">
      <c r="A906" t="s">
        <v>5648</v>
      </c>
      <c r="B906" t="s">
        <v>14</v>
      </c>
      <c r="C906" t="s">
        <v>118</v>
      </c>
      <c r="D906" t="s">
        <v>5649</v>
      </c>
      <c r="E906" t="s">
        <v>5650</v>
      </c>
      <c r="F906" t="s">
        <v>5651</v>
      </c>
      <c r="G906" t="s">
        <v>5652</v>
      </c>
      <c r="H906" t="s">
        <v>5652</v>
      </c>
      <c r="I906" t="s">
        <v>5653</v>
      </c>
      <c r="J906" t="s">
        <v>230</v>
      </c>
      <c r="K906" t="s">
        <v>1139</v>
      </c>
      <c r="L906" t="s">
        <v>5653</v>
      </c>
      <c r="M906" t="s">
        <v>272</v>
      </c>
    </row>
    <row r="907" spans="1:13" x14ac:dyDescent="0.15">
      <c r="A907" t="s">
        <v>5654</v>
      </c>
      <c r="B907" t="s">
        <v>14</v>
      </c>
      <c r="C907" t="s">
        <v>118</v>
      </c>
      <c r="D907" t="s">
        <v>5655</v>
      </c>
      <c r="E907" t="s">
        <v>5656</v>
      </c>
      <c r="F907" t="s">
        <v>5657</v>
      </c>
      <c r="G907" t="s">
        <v>5658</v>
      </c>
      <c r="H907" t="s">
        <v>5658</v>
      </c>
      <c r="I907" t="s">
        <v>5659</v>
      </c>
      <c r="J907" t="s">
        <v>521</v>
      </c>
      <c r="K907" t="s">
        <v>1632</v>
      </c>
      <c r="L907" t="s">
        <v>5659</v>
      </c>
      <c r="M907" t="s">
        <v>232</v>
      </c>
    </row>
    <row r="908" spans="1:13" x14ac:dyDescent="0.15">
      <c r="A908" t="s">
        <v>5660</v>
      </c>
      <c r="B908" t="s">
        <v>14</v>
      </c>
      <c r="C908" t="s">
        <v>23</v>
      </c>
      <c r="D908" t="s">
        <v>5661</v>
      </c>
      <c r="E908" t="s">
        <v>5662</v>
      </c>
      <c r="F908" t="s">
        <v>5663</v>
      </c>
      <c r="G908" t="s">
        <v>5664</v>
      </c>
      <c r="H908" t="s">
        <v>5664</v>
      </c>
      <c r="I908" t="s">
        <v>5665</v>
      </c>
      <c r="J908" t="s">
        <v>1423</v>
      </c>
      <c r="K908" t="s">
        <v>239</v>
      </c>
      <c r="L908" t="s">
        <v>5665</v>
      </c>
      <c r="M908" t="s">
        <v>41</v>
      </c>
    </row>
    <row r="909" spans="1:13" x14ac:dyDescent="0.15">
      <c r="A909" t="s">
        <v>5666</v>
      </c>
      <c r="B909" t="s">
        <v>14</v>
      </c>
      <c r="C909" t="s">
        <v>118</v>
      </c>
      <c r="D909" t="s">
        <v>5667</v>
      </c>
      <c r="E909" t="s">
        <v>5668</v>
      </c>
      <c r="F909" t="s">
        <v>5669</v>
      </c>
      <c r="H909" t="s">
        <v>5670</v>
      </c>
      <c r="I909" t="s">
        <v>5671</v>
      </c>
      <c r="J909" t="s">
        <v>124</v>
      </c>
      <c r="K909" t="s">
        <v>231</v>
      </c>
      <c r="L909" t="s">
        <v>5671</v>
      </c>
      <c r="M909" t="s">
        <v>594</v>
      </c>
    </row>
    <row r="910" spans="1:13" x14ac:dyDescent="0.15">
      <c r="A910" t="s">
        <v>5672</v>
      </c>
      <c r="B910" t="s">
        <v>14</v>
      </c>
      <c r="C910" t="s">
        <v>118</v>
      </c>
      <c r="D910" t="s">
        <v>5673</v>
      </c>
      <c r="E910" t="s">
        <v>5674</v>
      </c>
      <c r="F910" t="s">
        <v>5675</v>
      </c>
      <c r="G910" t="s">
        <v>5676</v>
      </c>
      <c r="H910" t="s">
        <v>5676</v>
      </c>
      <c r="I910" t="s">
        <v>5677</v>
      </c>
      <c r="J910" t="s">
        <v>124</v>
      </c>
      <c r="K910" t="s">
        <v>1158</v>
      </c>
      <c r="L910" t="s">
        <v>5677</v>
      </c>
      <c r="M910" t="s">
        <v>1132</v>
      </c>
    </row>
    <row r="911" spans="1:13" x14ac:dyDescent="0.15">
      <c r="A911" t="s">
        <v>5678</v>
      </c>
      <c r="B911" t="s">
        <v>14</v>
      </c>
      <c r="C911" t="s">
        <v>118</v>
      </c>
      <c r="D911" t="s">
        <v>5429</v>
      </c>
      <c r="E911" t="s">
        <v>5679</v>
      </c>
      <c r="F911" t="s">
        <v>5680</v>
      </c>
      <c r="G911" t="s">
        <v>145</v>
      </c>
      <c r="J911" t="s">
        <v>214</v>
      </c>
      <c r="M911" t="s">
        <v>482</v>
      </c>
    </row>
    <row r="912" spans="1:13" x14ac:dyDescent="0.15">
      <c r="A912" t="s">
        <v>5681</v>
      </c>
      <c r="B912" t="s">
        <v>14</v>
      </c>
      <c r="C912" t="s">
        <v>118</v>
      </c>
      <c r="D912" t="s">
        <v>5434</v>
      </c>
      <c r="E912" t="s">
        <v>5682</v>
      </c>
      <c r="F912" t="s">
        <v>5683</v>
      </c>
      <c r="G912" t="s">
        <v>145</v>
      </c>
      <c r="J912" t="s">
        <v>214</v>
      </c>
      <c r="M912" t="s">
        <v>482</v>
      </c>
    </row>
    <row r="913" spans="1:13" x14ac:dyDescent="0.15">
      <c r="A913" t="s">
        <v>5684</v>
      </c>
      <c r="B913" t="s">
        <v>14</v>
      </c>
      <c r="C913" t="s">
        <v>118</v>
      </c>
      <c r="D913" t="s">
        <v>5440</v>
      </c>
      <c r="E913" t="s">
        <v>5685</v>
      </c>
      <c r="F913" t="s">
        <v>5686</v>
      </c>
      <c r="G913" t="s">
        <v>145</v>
      </c>
      <c r="J913" t="s">
        <v>214</v>
      </c>
      <c r="M913" t="s">
        <v>313</v>
      </c>
    </row>
    <row r="914" spans="1:13" x14ac:dyDescent="0.15">
      <c r="A914" t="s">
        <v>5687</v>
      </c>
      <c r="B914" t="s">
        <v>14</v>
      </c>
      <c r="C914" t="s">
        <v>118</v>
      </c>
      <c r="D914" t="s">
        <v>5688</v>
      </c>
      <c r="E914" t="s">
        <v>5689</v>
      </c>
      <c r="F914" t="s">
        <v>5690</v>
      </c>
      <c r="G914" t="s">
        <v>5691</v>
      </c>
      <c r="H914" t="s">
        <v>5691</v>
      </c>
      <c r="I914" t="s">
        <v>5692</v>
      </c>
      <c r="J914" t="s">
        <v>255</v>
      </c>
      <c r="K914" t="s">
        <v>5693</v>
      </c>
      <c r="L914" t="s">
        <v>5694</v>
      </c>
      <c r="M914" t="s">
        <v>41</v>
      </c>
    </row>
    <row r="915" spans="1:13" x14ac:dyDescent="0.15">
      <c r="A915" t="s">
        <v>5695</v>
      </c>
      <c r="B915" t="s">
        <v>14</v>
      </c>
      <c r="C915" t="s">
        <v>23</v>
      </c>
      <c r="D915" t="s">
        <v>5696</v>
      </c>
      <c r="E915" t="s">
        <v>5697</v>
      </c>
      <c r="F915" t="s">
        <v>5698</v>
      </c>
      <c r="G915" t="s">
        <v>5699</v>
      </c>
      <c r="H915" t="s">
        <v>5699</v>
      </c>
      <c r="I915" t="s">
        <v>5700</v>
      </c>
      <c r="J915" t="s">
        <v>246</v>
      </c>
      <c r="K915" t="s">
        <v>980</v>
      </c>
      <c r="L915" t="s">
        <v>5700</v>
      </c>
      <c r="M915" t="s">
        <v>216</v>
      </c>
    </row>
    <row r="916" spans="1:13" x14ac:dyDescent="0.15">
      <c r="A916" t="s">
        <v>5701</v>
      </c>
      <c r="B916" t="s">
        <v>14</v>
      </c>
      <c r="C916" t="s">
        <v>23</v>
      </c>
      <c r="D916" t="s">
        <v>1553</v>
      </c>
      <c r="E916" t="s">
        <v>5702</v>
      </c>
      <c r="F916" t="s">
        <v>5703</v>
      </c>
      <c r="G916" t="s">
        <v>5704</v>
      </c>
      <c r="H916" t="s">
        <v>5704</v>
      </c>
      <c r="I916" t="s">
        <v>5705</v>
      </c>
      <c r="J916" t="s">
        <v>246</v>
      </c>
      <c r="K916" t="s">
        <v>1558</v>
      </c>
      <c r="L916" t="s">
        <v>5705</v>
      </c>
      <c r="M916" t="s">
        <v>216</v>
      </c>
    </row>
    <row r="917" spans="1:13" x14ac:dyDescent="0.15">
      <c r="A917" t="s">
        <v>5706</v>
      </c>
      <c r="B917" t="s">
        <v>14</v>
      </c>
      <c r="C917" t="s">
        <v>23</v>
      </c>
      <c r="D917" t="s">
        <v>5707</v>
      </c>
      <c r="E917" t="s">
        <v>5708</v>
      </c>
      <c r="F917" t="s">
        <v>5709</v>
      </c>
      <c r="G917" t="s">
        <v>5710</v>
      </c>
      <c r="H917" t="s">
        <v>5710</v>
      </c>
      <c r="I917" t="s">
        <v>5711</v>
      </c>
      <c r="J917" t="s">
        <v>415</v>
      </c>
      <c r="K917" t="s">
        <v>416</v>
      </c>
      <c r="L917" t="s">
        <v>1986</v>
      </c>
      <c r="M917" t="s">
        <v>104</v>
      </c>
    </row>
    <row r="918" spans="1:13" x14ac:dyDescent="0.15">
      <c r="A918" t="s">
        <v>5712</v>
      </c>
      <c r="B918" t="s">
        <v>14</v>
      </c>
      <c r="C918" t="s">
        <v>194</v>
      </c>
      <c r="D918" t="s">
        <v>5713</v>
      </c>
      <c r="E918" t="s">
        <v>5714</v>
      </c>
      <c r="F918" t="s">
        <v>5715</v>
      </c>
      <c r="H918" t="s">
        <v>5716</v>
      </c>
      <c r="J918" t="s">
        <v>481</v>
      </c>
      <c r="M918" t="s">
        <v>139</v>
      </c>
    </row>
    <row r="919" spans="1:13" x14ac:dyDescent="0.15">
      <c r="A919" t="s">
        <v>5717</v>
      </c>
      <c r="B919" t="s">
        <v>14</v>
      </c>
      <c r="C919" t="s">
        <v>15</v>
      </c>
      <c r="D919" t="s">
        <v>5718</v>
      </c>
      <c r="E919" t="s">
        <v>5719</v>
      </c>
      <c r="F919" t="s">
        <v>5720</v>
      </c>
      <c r="G919" t="s">
        <v>5721</v>
      </c>
      <c r="H919" t="s">
        <v>5721</v>
      </c>
      <c r="J919" t="s">
        <v>394</v>
      </c>
      <c r="M919" t="s">
        <v>139</v>
      </c>
    </row>
    <row r="920" spans="1:13" x14ac:dyDescent="0.15">
      <c r="A920" t="s">
        <v>5722</v>
      </c>
      <c r="B920" t="s">
        <v>14</v>
      </c>
      <c r="C920" t="s">
        <v>23</v>
      </c>
      <c r="D920" t="s">
        <v>5723</v>
      </c>
      <c r="E920" t="s">
        <v>5724</v>
      </c>
      <c r="F920" t="s">
        <v>5725</v>
      </c>
      <c r="G920" t="s">
        <v>5726</v>
      </c>
      <c r="H920" t="s">
        <v>5726</v>
      </c>
      <c r="I920" t="s">
        <v>5727</v>
      </c>
      <c r="J920" t="s">
        <v>352</v>
      </c>
      <c r="K920" t="s">
        <v>231</v>
      </c>
      <c r="L920" t="s">
        <v>5727</v>
      </c>
      <c r="M920" t="s">
        <v>104</v>
      </c>
    </row>
    <row r="921" spans="1:13" x14ac:dyDescent="0.15">
      <c r="A921" t="s">
        <v>5728</v>
      </c>
      <c r="B921" t="s">
        <v>14</v>
      </c>
      <c r="C921" t="s">
        <v>23</v>
      </c>
      <c r="D921" t="s">
        <v>5729</v>
      </c>
      <c r="E921" t="s">
        <v>5730</v>
      </c>
      <c r="F921" t="s">
        <v>5731</v>
      </c>
      <c r="G921" t="s">
        <v>5732</v>
      </c>
      <c r="H921" t="s">
        <v>5732</v>
      </c>
      <c r="I921" t="s">
        <v>5733</v>
      </c>
      <c r="J921" t="s">
        <v>514</v>
      </c>
      <c r="K921" t="s">
        <v>380</v>
      </c>
      <c r="L921" t="s">
        <v>5733</v>
      </c>
      <c r="M921" t="s">
        <v>80</v>
      </c>
    </row>
    <row r="922" spans="1:13" x14ac:dyDescent="0.15">
      <c r="A922" t="s">
        <v>5734</v>
      </c>
      <c r="B922" t="s">
        <v>14</v>
      </c>
      <c r="C922" t="s">
        <v>23</v>
      </c>
      <c r="D922" t="s">
        <v>5735</v>
      </c>
      <c r="E922" t="s">
        <v>5736</v>
      </c>
      <c r="F922" t="s">
        <v>5737</v>
      </c>
      <c r="G922" t="s">
        <v>5704</v>
      </c>
      <c r="H922" t="s">
        <v>5704</v>
      </c>
      <c r="I922" t="s">
        <v>5738</v>
      </c>
      <c r="J922" t="s">
        <v>138</v>
      </c>
      <c r="K922" t="s">
        <v>387</v>
      </c>
      <c r="L922" t="s">
        <v>5738</v>
      </c>
      <c r="M922" t="s">
        <v>104</v>
      </c>
    </row>
    <row r="923" spans="1:13" x14ac:dyDescent="0.15">
      <c r="A923" t="s">
        <v>5739</v>
      </c>
      <c r="B923" t="s">
        <v>14</v>
      </c>
      <c r="C923" t="s">
        <v>118</v>
      </c>
      <c r="D923" t="s">
        <v>5740</v>
      </c>
      <c r="E923" t="s">
        <v>5741</v>
      </c>
      <c r="F923" t="s">
        <v>5742</v>
      </c>
      <c r="G923" t="s">
        <v>5743</v>
      </c>
      <c r="H923" t="s">
        <v>5743</v>
      </c>
      <c r="I923" t="s">
        <v>5744</v>
      </c>
      <c r="J923" t="s">
        <v>138</v>
      </c>
      <c r="K923" t="s">
        <v>256</v>
      </c>
      <c r="L923" t="s">
        <v>5744</v>
      </c>
      <c r="M923" t="s">
        <v>812</v>
      </c>
    </row>
    <row r="924" spans="1:13" x14ac:dyDescent="0.15">
      <c r="A924" t="s">
        <v>5745</v>
      </c>
      <c r="B924" t="s">
        <v>14</v>
      </c>
      <c r="C924" t="s">
        <v>23</v>
      </c>
      <c r="D924" t="s">
        <v>5746</v>
      </c>
      <c r="E924" t="s">
        <v>5747</v>
      </c>
      <c r="F924" t="s">
        <v>5748</v>
      </c>
      <c r="G924" t="s">
        <v>5749</v>
      </c>
      <c r="H924" t="s">
        <v>5749</v>
      </c>
      <c r="I924" t="s">
        <v>5750</v>
      </c>
      <c r="J924" t="s">
        <v>297</v>
      </c>
      <c r="K924" t="s">
        <v>5751</v>
      </c>
      <c r="L924" t="s">
        <v>1831</v>
      </c>
      <c r="M924" t="s">
        <v>41</v>
      </c>
    </row>
    <row r="925" spans="1:13" x14ac:dyDescent="0.15">
      <c r="A925" t="s">
        <v>5752</v>
      </c>
      <c r="B925" t="s">
        <v>14</v>
      </c>
      <c r="C925" t="s">
        <v>118</v>
      </c>
      <c r="D925" t="s">
        <v>5753</v>
      </c>
      <c r="E925" t="s">
        <v>5754</v>
      </c>
      <c r="F925" t="s">
        <v>5755</v>
      </c>
      <c r="G925" t="s">
        <v>5756</v>
      </c>
      <c r="H925" t="s">
        <v>5756</v>
      </c>
      <c r="I925" t="s">
        <v>5757</v>
      </c>
      <c r="J925" t="s">
        <v>124</v>
      </c>
      <c r="K925" t="s">
        <v>173</v>
      </c>
      <c r="L925" t="s">
        <v>5757</v>
      </c>
      <c r="M925" t="s">
        <v>104</v>
      </c>
    </row>
    <row r="926" spans="1:13" x14ac:dyDescent="0.15">
      <c r="A926" t="s">
        <v>5758</v>
      </c>
      <c r="B926" t="s">
        <v>14</v>
      </c>
      <c r="C926" t="s">
        <v>118</v>
      </c>
      <c r="D926" t="s">
        <v>5759</v>
      </c>
      <c r="E926" t="s">
        <v>5760</v>
      </c>
      <c r="F926" t="s">
        <v>5761</v>
      </c>
      <c r="G926" t="s">
        <v>5762</v>
      </c>
      <c r="H926" t="s">
        <v>5762</v>
      </c>
      <c r="I926" t="s">
        <v>5763</v>
      </c>
      <c r="J926" t="s">
        <v>255</v>
      </c>
      <c r="K926" t="s">
        <v>540</v>
      </c>
      <c r="L926" t="s">
        <v>5763</v>
      </c>
      <c r="M926" t="s">
        <v>41</v>
      </c>
    </row>
    <row r="927" spans="1:13" x14ac:dyDescent="0.15">
      <c r="A927" t="s">
        <v>5764</v>
      </c>
      <c r="B927" t="s">
        <v>14</v>
      </c>
      <c r="C927" t="s">
        <v>23</v>
      </c>
      <c r="D927" t="s">
        <v>5765</v>
      </c>
      <c r="E927" t="s">
        <v>5766</v>
      </c>
      <c r="F927" t="s">
        <v>5767</v>
      </c>
      <c r="H927" t="s">
        <v>145</v>
      </c>
      <c r="I927" t="s">
        <v>145</v>
      </c>
      <c r="J927" t="s">
        <v>5768</v>
      </c>
      <c r="K927" t="s">
        <v>64</v>
      </c>
      <c r="L927" t="s">
        <v>5139</v>
      </c>
      <c r="M927" t="s">
        <v>165</v>
      </c>
    </row>
    <row r="928" spans="1:13" x14ac:dyDescent="0.15">
      <c r="A928" t="s">
        <v>5769</v>
      </c>
      <c r="B928" t="s">
        <v>14</v>
      </c>
      <c r="C928" t="s">
        <v>23</v>
      </c>
      <c r="D928" t="s">
        <v>1560</v>
      </c>
      <c r="E928" t="s">
        <v>5770</v>
      </c>
      <c r="F928" t="s">
        <v>5771</v>
      </c>
      <c r="G928" t="s">
        <v>5772</v>
      </c>
      <c r="H928" t="s">
        <v>5772</v>
      </c>
      <c r="I928" t="s">
        <v>5773</v>
      </c>
      <c r="J928" t="s">
        <v>246</v>
      </c>
      <c r="K928" t="s">
        <v>1558</v>
      </c>
      <c r="L928" t="s">
        <v>5773</v>
      </c>
      <c r="M928" t="s">
        <v>41</v>
      </c>
    </row>
    <row r="929" spans="1:13" x14ac:dyDescent="0.15">
      <c r="A929" t="s">
        <v>5774</v>
      </c>
      <c r="B929" t="s">
        <v>14</v>
      </c>
      <c r="C929" t="s">
        <v>118</v>
      </c>
      <c r="D929" t="s">
        <v>5775</v>
      </c>
      <c r="E929" t="s">
        <v>5776</v>
      </c>
      <c r="F929" t="s">
        <v>5771</v>
      </c>
      <c r="G929" t="s">
        <v>5777</v>
      </c>
      <c r="H929" t="s">
        <v>5777</v>
      </c>
      <c r="I929" t="s">
        <v>5778</v>
      </c>
      <c r="J929" t="s">
        <v>547</v>
      </c>
      <c r="K929" t="s">
        <v>30</v>
      </c>
      <c r="L929" t="s">
        <v>5779</v>
      </c>
      <c r="M929" t="s">
        <v>80</v>
      </c>
    </row>
    <row r="930" spans="1:13" x14ac:dyDescent="0.15">
      <c r="A930" t="s">
        <v>5780</v>
      </c>
      <c r="B930" t="s">
        <v>14</v>
      </c>
      <c r="C930" t="s">
        <v>23</v>
      </c>
      <c r="D930" t="s">
        <v>5781</v>
      </c>
      <c r="E930" t="s">
        <v>5782</v>
      </c>
      <c r="F930" t="s">
        <v>5783</v>
      </c>
      <c r="G930" t="s">
        <v>5784</v>
      </c>
      <c r="H930" t="s">
        <v>5784</v>
      </c>
      <c r="I930" t="s">
        <v>5785</v>
      </c>
      <c r="J930" t="s">
        <v>246</v>
      </c>
      <c r="K930" t="s">
        <v>980</v>
      </c>
      <c r="L930" t="s">
        <v>5785</v>
      </c>
      <c r="M930" t="s">
        <v>41</v>
      </c>
    </row>
    <row r="931" spans="1:13" x14ac:dyDescent="0.15">
      <c r="A931" t="s">
        <v>5786</v>
      </c>
      <c r="B931" t="s">
        <v>14</v>
      </c>
      <c r="C931" t="s">
        <v>118</v>
      </c>
      <c r="D931" t="s">
        <v>5787</v>
      </c>
      <c r="E931" t="s">
        <v>5788</v>
      </c>
      <c r="F931" t="s">
        <v>5789</v>
      </c>
      <c r="H931" t="s">
        <v>5790</v>
      </c>
      <c r="I931" t="s">
        <v>915</v>
      </c>
      <c r="J931" t="s">
        <v>270</v>
      </c>
      <c r="K931" t="s">
        <v>2217</v>
      </c>
      <c r="L931" t="s">
        <v>915</v>
      </c>
      <c r="M931" t="s">
        <v>216</v>
      </c>
    </row>
    <row r="932" spans="1:13" x14ac:dyDescent="0.15">
      <c r="A932" t="s">
        <v>5791</v>
      </c>
      <c r="B932" t="s">
        <v>14</v>
      </c>
      <c r="C932" t="s">
        <v>118</v>
      </c>
      <c r="D932" t="s">
        <v>5792</v>
      </c>
      <c r="E932" t="s">
        <v>5793</v>
      </c>
      <c r="F932" t="s">
        <v>5794</v>
      </c>
      <c r="G932" t="s">
        <v>5795</v>
      </c>
      <c r="H932" t="s">
        <v>5795</v>
      </c>
      <c r="I932" t="s">
        <v>5796</v>
      </c>
      <c r="J932" t="s">
        <v>255</v>
      </c>
      <c r="K932" t="s">
        <v>298</v>
      </c>
      <c r="L932" t="s">
        <v>5796</v>
      </c>
      <c r="M932" t="s">
        <v>174</v>
      </c>
    </row>
    <row r="933" spans="1:13" x14ac:dyDescent="0.15">
      <c r="A933" t="s">
        <v>5797</v>
      </c>
      <c r="B933" t="s">
        <v>14</v>
      </c>
      <c r="C933" t="s">
        <v>118</v>
      </c>
      <c r="D933" t="s">
        <v>5798</v>
      </c>
      <c r="E933" t="s">
        <v>5799</v>
      </c>
      <c r="F933" t="s">
        <v>5800</v>
      </c>
      <c r="G933" t="s">
        <v>5801</v>
      </c>
      <c r="H933" t="s">
        <v>5801</v>
      </c>
      <c r="I933" t="s">
        <v>5802</v>
      </c>
      <c r="J933" t="s">
        <v>230</v>
      </c>
      <c r="K933" t="s">
        <v>1541</v>
      </c>
      <c r="L933" t="s">
        <v>5802</v>
      </c>
      <c r="M933" t="s">
        <v>192</v>
      </c>
    </row>
    <row r="934" spans="1:13" x14ac:dyDescent="0.15">
      <c r="A934" t="s">
        <v>5803</v>
      </c>
      <c r="B934" t="s">
        <v>14</v>
      </c>
      <c r="C934" t="s">
        <v>15</v>
      </c>
      <c r="D934" t="s">
        <v>5804</v>
      </c>
      <c r="E934" t="s">
        <v>5805</v>
      </c>
      <c r="F934" t="s">
        <v>5806</v>
      </c>
      <c r="G934" t="s">
        <v>5807</v>
      </c>
      <c r="H934" t="s">
        <v>5807</v>
      </c>
      <c r="J934" t="s">
        <v>400</v>
      </c>
      <c r="M934" t="s">
        <v>139</v>
      </c>
    </row>
    <row r="935" spans="1:13" x14ac:dyDescent="0.15">
      <c r="A935" t="s">
        <v>5808</v>
      </c>
      <c r="B935" t="s">
        <v>14</v>
      </c>
      <c r="C935" t="s">
        <v>23</v>
      </c>
      <c r="D935" t="s">
        <v>5809</v>
      </c>
      <c r="E935" t="s">
        <v>5810</v>
      </c>
      <c r="F935" t="s">
        <v>5811</v>
      </c>
      <c r="G935" t="s">
        <v>5812</v>
      </c>
      <c r="H935" t="s">
        <v>5812</v>
      </c>
      <c r="I935" t="s">
        <v>5813</v>
      </c>
      <c r="J935" t="s">
        <v>29</v>
      </c>
      <c r="K935" t="s">
        <v>1679</v>
      </c>
      <c r="L935" t="s">
        <v>2234</v>
      </c>
      <c r="M935" t="s">
        <v>126</v>
      </c>
    </row>
    <row r="936" spans="1:13" x14ac:dyDescent="0.15">
      <c r="A936" t="s">
        <v>5814</v>
      </c>
      <c r="B936" t="s">
        <v>14</v>
      </c>
      <c r="C936" t="s">
        <v>118</v>
      </c>
      <c r="D936" t="s">
        <v>5815</v>
      </c>
      <c r="E936" t="s">
        <v>5816</v>
      </c>
      <c r="F936" t="s">
        <v>5817</v>
      </c>
      <c r="G936" t="s">
        <v>5818</v>
      </c>
      <c r="H936" t="s">
        <v>5818</v>
      </c>
      <c r="I936" t="s">
        <v>5819</v>
      </c>
      <c r="J936" t="s">
        <v>29</v>
      </c>
      <c r="K936" t="s">
        <v>64</v>
      </c>
      <c r="L936" t="s">
        <v>5819</v>
      </c>
      <c r="M936" t="s">
        <v>361</v>
      </c>
    </row>
    <row r="937" spans="1:13" x14ac:dyDescent="0.15">
      <c r="A937" t="s">
        <v>5820</v>
      </c>
      <c r="B937" t="s">
        <v>14</v>
      </c>
      <c r="C937" t="s">
        <v>23</v>
      </c>
      <c r="D937" t="s">
        <v>5821</v>
      </c>
      <c r="E937" t="s">
        <v>5822</v>
      </c>
      <c r="F937" t="s">
        <v>5823</v>
      </c>
      <c r="G937" t="s">
        <v>5824</v>
      </c>
      <c r="H937" t="s">
        <v>5824</v>
      </c>
      <c r="I937" t="s">
        <v>5825</v>
      </c>
      <c r="J937" t="s">
        <v>459</v>
      </c>
      <c r="K937" t="s">
        <v>231</v>
      </c>
      <c r="L937" t="s">
        <v>5825</v>
      </c>
      <c r="M937" t="s">
        <v>104</v>
      </c>
    </row>
    <row r="938" spans="1:13" x14ac:dyDescent="0.15">
      <c r="A938" t="s">
        <v>5826</v>
      </c>
      <c r="B938" t="s">
        <v>14</v>
      </c>
      <c r="C938" t="s">
        <v>118</v>
      </c>
      <c r="D938" t="s">
        <v>5827</v>
      </c>
      <c r="E938" t="s">
        <v>5828</v>
      </c>
      <c r="F938" t="s">
        <v>5829</v>
      </c>
      <c r="H938" t="s">
        <v>5830</v>
      </c>
      <c r="I938" t="s">
        <v>3564</v>
      </c>
      <c r="J938" t="s">
        <v>230</v>
      </c>
      <c r="K938" t="s">
        <v>387</v>
      </c>
      <c r="L938" t="s">
        <v>3564</v>
      </c>
      <c r="M938" t="s">
        <v>1583</v>
      </c>
    </row>
    <row r="939" spans="1:13" x14ac:dyDescent="0.15">
      <c r="A939" t="s">
        <v>5831</v>
      </c>
      <c r="B939" t="s">
        <v>14</v>
      </c>
      <c r="C939" t="s">
        <v>23</v>
      </c>
      <c r="D939" t="s">
        <v>5832</v>
      </c>
      <c r="E939" t="s">
        <v>5833</v>
      </c>
      <c r="F939" t="s">
        <v>5834</v>
      </c>
      <c r="G939" t="s">
        <v>5835</v>
      </c>
      <c r="H939" t="s">
        <v>5835</v>
      </c>
      <c r="I939" t="s">
        <v>5836</v>
      </c>
      <c r="J939" t="s">
        <v>1037</v>
      </c>
      <c r="K939" t="s">
        <v>3547</v>
      </c>
      <c r="L939" t="s">
        <v>4611</v>
      </c>
      <c r="M939" t="s">
        <v>31</v>
      </c>
    </row>
    <row r="940" spans="1:13" x14ac:dyDescent="0.15">
      <c r="A940" t="s">
        <v>5837</v>
      </c>
      <c r="B940" t="s">
        <v>14</v>
      </c>
      <c r="C940" t="s">
        <v>15</v>
      </c>
      <c r="D940" t="s">
        <v>5838</v>
      </c>
      <c r="E940" t="s">
        <v>5839</v>
      </c>
      <c r="F940" t="s">
        <v>5840</v>
      </c>
      <c r="G940" t="s">
        <v>5841</v>
      </c>
      <c r="H940" t="s">
        <v>5841</v>
      </c>
      <c r="J940" t="s">
        <v>214</v>
      </c>
      <c r="M940" t="s">
        <v>21</v>
      </c>
    </row>
    <row r="941" spans="1:13" x14ac:dyDescent="0.15">
      <c r="A941" t="s">
        <v>5842</v>
      </c>
      <c r="B941" t="s">
        <v>14</v>
      </c>
      <c r="C941" t="s">
        <v>23</v>
      </c>
      <c r="D941" t="s">
        <v>375</v>
      </c>
      <c r="E941" t="s">
        <v>5843</v>
      </c>
      <c r="F941" t="s">
        <v>5844</v>
      </c>
      <c r="G941" t="s">
        <v>5845</v>
      </c>
      <c r="H941" t="s">
        <v>5845</v>
      </c>
      <c r="I941" t="s">
        <v>5846</v>
      </c>
      <c r="J941" t="s">
        <v>214</v>
      </c>
      <c r="K941" t="s">
        <v>694</v>
      </c>
      <c r="L941" t="s">
        <v>5846</v>
      </c>
      <c r="M941" t="s">
        <v>104</v>
      </c>
    </row>
    <row r="942" spans="1:13" x14ac:dyDescent="0.15">
      <c r="A942" t="s">
        <v>5847</v>
      </c>
      <c r="B942" t="s">
        <v>14</v>
      </c>
      <c r="C942" t="s">
        <v>118</v>
      </c>
      <c r="D942" t="s">
        <v>5848</v>
      </c>
      <c r="E942" t="s">
        <v>5849</v>
      </c>
      <c r="F942" t="s">
        <v>5850</v>
      </c>
      <c r="G942" t="s">
        <v>5851</v>
      </c>
      <c r="H942" t="s">
        <v>5851</v>
      </c>
      <c r="I942" t="s">
        <v>5852</v>
      </c>
      <c r="J942" t="s">
        <v>352</v>
      </c>
      <c r="K942" t="s">
        <v>1236</v>
      </c>
      <c r="L942" t="s">
        <v>5852</v>
      </c>
      <c r="M942" t="s">
        <v>1015</v>
      </c>
    </row>
    <row r="943" spans="1:13" x14ac:dyDescent="0.15">
      <c r="A943" t="s">
        <v>5853</v>
      </c>
      <c r="B943" t="s">
        <v>14</v>
      </c>
      <c r="C943" t="s">
        <v>23</v>
      </c>
      <c r="D943" t="s">
        <v>5854</v>
      </c>
      <c r="E943" t="s">
        <v>5855</v>
      </c>
      <c r="F943" t="s">
        <v>5856</v>
      </c>
      <c r="G943" t="s">
        <v>5857</v>
      </c>
      <c r="H943" t="s">
        <v>5857</v>
      </c>
      <c r="I943" t="s">
        <v>5858</v>
      </c>
      <c r="J943" t="s">
        <v>2236</v>
      </c>
      <c r="K943" t="s">
        <v>48</v>
      </c>
      <c r="L943" t="s">
        <v>3414</v>
      </c>
      <c r="M943" t="s">
        <v>80</v>
      </c>
    </row>
    <row r="944" spans="1:13" x14ac:dyDescent="0.15">
      <c r="A944" t="s">
        <v>5859</v>
      </c>
      <c r="B944" t="s">
        <v>14</v>
      </c>
      <c r="C944" t="s">
        <v>23</v>
      </c>
      <c r="D944" t="s">
        <v>5860</v>
      </c>
      <c r="E944" t="s">
        <v>5861</v>
      </c>
      <c r="F944" t="s">
        <v>5862</v>
      </c>
      <c r="H944" t="s">
        <v>145</v>
      </c>
      <c r="J944" t="s">
        <v>5768</v>
      </c>
      <c r="K944" t="s">
        <v>694</v>
      </c>
      <c r="L944" t="s">
        <v>5139</v>
      </c>
      <c r="M944" t="s">
        <v>192</v>
      </c>
    </row>
    <row r="945" spans="1:13" x14ac:dyDescent="0.15">
      <c r="A945" t="s">
        <v>5863</v>
      </c>
      <c r="B945" t="s">
        <v>14</v>
      </c>
      <c r="C945" t="s">
        <v>118</v>
      </c>
      <c r="D945" t="s">
        <v>5864</v>
      </c>
      <c r="E945" t="s">
        <v>5865</v>
      </c>
      <c r="F945" t="s">
        <v>5866</v>
      </c>
      <c r="G945" t="s">
        <v>5867</v>
      </c>
      <c r="H945" t="s">
        <v>5867</v>
      </c>
      <c r="I945" t="s">
        <v>4871</v>
      </c>
      <c r="J945" t="s">
        <v>297</v>
      </c>
      <c r="K945" t="s">
        <v>839</v>
      </c>
      <c r="L945" t="s">
        <v>4871</v>
      </c>
      <c r="M945" t="s">
        <v>1411</v>
      </c>
    </row>
    <row r="946" spans="1:13" x14ac:dyDescent="0.15">
      <c r="A946" t="s">
        <v>5868</v>
      </c>
      <c r="B946" t="s">
        <v>14</v>
      </c>
      <c r="C946" t="s">
        <v>23</v>
      </c>
      <c r="D946" t="s">
        <v>5869</v>
      </c>
      <c r="E946" t="s">
        <v>5870</v>
      </c>
      <c r="F946" t="s">
        <v>5871</v>
      </c>
      <c r="G946" t="s">
        <v>5872</v>
      </c>
      <c r="H946" t="s">
        <v>5872</v>
      </c>
      <c r="I946" t="s">
        <v>5873</v>
      </c>
      <c r="J946" t="s">
        <v>124</v>
      </c>
      <c r="K946" t="s">
        <v>2729</v>
      </c>
      <c r="L946" t="s">
        <v>5873</v>
      </c>
      <c r="M946" t="s">
        <v>104</v>
      </c>
    </row>
    <row r="947" spans="1:13" x14ac:dyDescent="0.15">
      <c r="A947" t="s">
        <v>5874</v>
      </c>
      <c r="B947" t="s">
        <v>14</v>
      </c>
      <c r="C947" t="s">
        <v>23</v>
      </c>
      <c r="D947" t="s">
        <v>5875</v>
      </c>
      <c r="E947" t="s">
        <v>5876</v>
      </c>
      <c r="F947" t="s">
        <v>5877</v>
      </c>
      <c r="G947" t="s">
        <v>5878</v>
      </c>
      <c r="H947" t="s">
        <v>5878</v>
      </c>
      <c r="I947" t="s">
        <v>5879</v>
      </c>
      <c r="J947" t="s">
        <v>110</v>
      </c>
      <c r="K947" t="s">
        <v>1743</v>
      </c>
      <c r="L947" t="s">
        <v>5880</v>
      </c>
      <c r="M947" t="s">
        <v>248</v>
      </c>
    </row>
    <row r="948" spans="1:13" x14ac:dyDescent="0.15">
      <c r="A948" t="s">
        <v>5881</v>
      </c>
      <c r="B948" t="s">
        <v>14</v>
      </c>
      <c r="C948" t="s">
        <v>23</v>
      </c>
      <c r="D948" t="s">
        <v>5882</v>
      </c>
      <c r="E948" t="s">
        <v>5883</v>
      </c>
      <c r="F948" t="s">
        <v>5884</v>
      </c>
      <c r="G948" t="s">
        <v>5885</v>
      </c>
      <c r="H948" t="s">
        <v>5885</v>
      </c>
      <c r="I948" t="s">
        <v>5886</v>
      </c>
      <c r="J948" t="s">
        <v>110</v>
      </c>
      <c r="K948" t="s">
        <v>1743</v>
      </c>
      <c r="L948" t="s">
        <v>5887</v>
      </c>
      <c r="M948" t="s">
        <v>104</v>
      </c>
    </row>
    <row r="949" spans="1:13" x14ac:dyDescent="0.15">
      <c r="A949" t="s">
        <v>5888</v>
      </c>
      <c r="B949" t="s">
        <v>14</v>
      </c>
      <c r="C949" t="s">
        <v>118</v>
      </c>
      <c r="D949" t="s">
        <v>5889</v>
      </c>
      <c r="E949" t="s">
        <v>5890</v>
      </c>
      <c r="F949" t="s">
        <v>5891</v>
      </c>
      <c r="G949" t="s">
        <v>5892</v>
      </c>
      <c r="H949" t="s">
        <v>5892</v>
      </c>
      <c r="I949" t="s">
        <v>5893</v>
      </c>
      <c r="J949" t="s">
        <v>481</v>
      </c>
      <c r="K949" t="s">
        <v>853</v>
      </c>
      <c r="L949" t="s">
        <v>5893</v>
      </c>
      <c r="M949" t="s">
        <v>272</v>
      </c>
    </row>
    <row r="950" spans="1:13" x14ac:dyDescent="0.15">
      <c r="A950" t="s">
        <v>5894</v>
      </c>
      <c r="B950" t="s">
        <v>14</v>
      </c>
      <c r="C950" t="s">
        <v>23</v>
      </c>
      <c r="D950" t="s">
        <v>5895</v>
      </c>
      <c r="E950" t="s">
        <v>5896</v>
      </c>
      <c r="F950" t="s">
        <v>5897</v>
      </c>
      <c r="H950" t="s">
        <v>5898</v>
      </c>
      <c r="I950" t="s">
        <v>5899</v>
      </c>
      <c r="J950" t="s">
        <v>1724</v>
      </c>
      <c r="K950" t="s">
        <v>1946</v>
      </c>
      <c r="L950" t="s">
        <v>5899</v>
      </c>
      <c r="M950" t="s">
        <v>104</v>
      </c>
    </row>
    <row r="951" spans="1:13" x14ac:dyDescent="0.15">
      <c r="A951" t="s">
        <v>5900</v>
      </c>
      <c r="B951" t="s">
        <v>14</v>
      </c>
      <c r="C951" t="s">
        <v>118</v>
      </c>
      <c r="D951" t="s">
        <v>5901</v>
      </c>
      <c r="E951" t="s">
        <v>5902</v>
      </c>
      <c r="F951" t="s">
        <v>5903</v>
      </c>
      <c r="G951" t="s">
        <v>5904</v>
      </c>
      <c r="H951" t="s">
        <v>5904</v>
      </c>
      <c r="I951" t="s">
        <v>103</v>
      </c>
      <c r="J951" t="s">
        <v>1065</v>
      </c>
      <c r="K951" t="s">
        <v>239</v>
      </c>
      <c r="L951" t="s">
        <v>103</v>
      </c>
      <c r="M951" t="s">
        <v>21</v>
      </c>
    </row>
    <row r="952" spans="1:13" x14ac:dyDescent="0.15">
      <c r="A952" t="s">
        <v>5905</v>
      </c>
      <c r="B952" t="s">
        <v>14</v>
      </c>
      <c r="C952" t="s">
        <v>23</v>
      </c>
      <c r="D952" t="s">
        <v>5906</v>
      </c>
      <c r="E952" t="s">
        <v>5907</v>
      </c>
      <c r="F952" t="s">
        <v>5908</v>
      </c>
      <c r="G952" t="s">
        <v>5909</v>
      </c>
      <c r="H952" t="s">
        <v>5909</v>
      </c>
      <c r="I952" t="s">
        <v>5910</v>
      </c>
      <c r="J952" t="s">
        <v>1194</v>
      </c>
      <c r="K952" t="s">
        <v>173</v>
      </c>
      <c r="L952" t="s">
        <v>5910</v>
      </c>
      <c r="M952" t="s">
        <v>41</v>
      </c>
    </row>
    <row r="953" spans="1:13" x14ac:dyDescent="0.15">
      <c r="A953" t="s">
        <v>5911</v>
      </c>
      <c r="B953" t="s">
        <v>14</v>
      </c>
      <c r="C953" t="s">
        <v>23</v>
      </c>
      <c r="D953" t="s">
        <v>5912</v>
      </c>
      <c r="E953" t="s">
        <v>5913</v>
      </c>
      <c r="F953" t="s">
        <v>5914</v>
      </c>
      <c r="G953" t="s">
        <v>5915</v>
      </c>
      <c r="H953" t="s">
        <v>5915</v>
      </c>
      <c r="I953" t="s">
        <v>5916</v>
      </c>
      <c r="J953" t="s">
        <v>138</v>
      </c>
      <c r="K953" t="s">
        <v>2267</v>
      </c>
      <c r="L953" t="s">
        <v>5917</v>
      </c>
      <c r="M953" t="s">
        <v>104</v>
      </c>
    </row>
    <row r="954" spans="1:13" x14ac:dyDescent="0.15">
      <c r="A954" t="s">
        <v>5918</v>
      </c>
      <c r="B954" t="s">
        <v>14</v>
      </c>
      <c r="C954" t="s">
        <v>23</v>
      </c>
      <c r="D954" t="s">
        <v>5919</v>
      </c>
      <c r="E954" t="s">
        <v>5920</v>
      </c>
      <c r="F954" t="s">
        <v>5921</v>
      </c>
      <c r="G954" t="s">
        <v>5922</v>
      </c>
      <c r="H954" t="s">
        <v>5922</v>
      </c>
      <c r="I954" t="s">
        <v>1057</v>
      </c>
      <c r="J954" t="s">
        <v>138</v>
      </c>
      <c r="K954" t="s">
        <v>380</v>
      </c>
      <c r="L954" t="s">
        <v>1057</v>
      </c>
      <c r="M954" t="s">
        <v>104</v>
      </c>
    </row>
    <row r="955" spans="1:13" x14ac:dyDescent="0.15">
      <c r="A955" t="s">
        <v>5923</v>
      </c>
      <c r="B955" t="s">
        <v>14</v>
      </c>
      <c r="C955" t="s">
        <v>118</v>
      </c>
      <c r="D955" t="s">
        <v>5924</v>
      </c>
      <c r="E955" t="s">
        <v>5925</v>
      </c>
      <c r="F955" t="s">
        <v>5926</v>
      </c>
      <c r="G955" t="s">
        <v>5927</v>
      </c>
      <c r="H955" t="s">
        <v>5927</v>
      </c>
      <c r="I955" t="s">
        <v>5928</v>
      </c>
      <c r="J955" t="s">
        <v>124</v>
      </c>
      <c r="K955" t="s">
        <v>239</v>
      </c>
      <c r="L955" t="s">
        <v>5928</v>
      </c>
      <c r="M955" t="s">
        <v>313</v>
      </c>
    </row>
    <row r="956" spans="1:13" x14ac:dyDescent="0.15">
      <c r="A956" t="s">
        <v>5929</v>
      </c>
      <c r="B956" t="s">
        <v>14</v>
      </c>
      <c r="C956" t="s">
        <v>118</v>
      </c>
      <c r="D956" t="s">
        <v>5930</v>
      </c>
      <c r="E956" t="s">
        <v>5931</v>
      </c>
      <c r="F956" t="s">
        <v>5932</v>
      </c>
      <c r="G956" t="s">
        <v>5933</v>
      </c>
      <c r="H956" t="s">
        <v>5933</v>
      </c>
      <c r="I956" t="s">
        <v>5934</v>
      </c>
      <c r="J956" t="s">
        <v>124</v>
      </c>
      <c r="K956" t="s">
        <v>431</v>
      </c>
      <c r="L956" t="s">
        <v>5934</v>
      </c>
      <c r="M956" t="s">
        <v>248</v>
      </c>
    </row>
    <row r="957" spans="1:13" x14ac:dyDescent="0.15">
      <c r="A957" t="s">
        <v>5935</v>
      </c>
      <c r="B957" t="s">
        <v>14</v>
      </c>
      <c r="C957" t="s">
        <v>23</v>
      </c>
      <c r="D957" t="s">
        <v>5936</v>
      </c>
      <c r="E957" t="s">
        <v>5937</v>
      </c>
      <c r="F957" t="s">
        <v>5938</v>
      </c>
      <c r="G957" t="s">
        <v>5939</v>
      </c>
      <c r="H957" t="s">
        <v>5939</v>
      </c>
      <c r="I957" t="s">
        <v>5940</v>
      </c>
      <c r="J957" t="s">
        <v>415</v>
      </c>
      <c r="K957" t="s">
        <v>2499</v>
      </c>
      <c r="L957" t="s">
        <v>5940</v>
      </c>
      <c r="M957" t="s">
        <v>104</v>
      </c>
    </row>
    <row r="958" spans="1:13" x14ac:dyDescent="0.15">
      <c r="A958" t="s">
        <v>5941</v>
      </c>
      <c r="B958" t="s">
        <v>14</v>
      </c>
      <c r="C958" t="s">
        <v>23</v>
      </c>
      <c r="D958" t="s">
        <v>5942</v>
      </c>
      <c r="E958" t="s">
        <v>5943</v>
      </c>
      <c r="F958" t="s">
        <v>5944</v>
      </c>
      <c r="G958" t="s">
        <v>5945</v>
      </c>
      <c r="H958" t="s">
        <v>5945</v>
      </c>
      <c r="I958" t="s">
        <v>5946</v>
      </c>
      <c r="J958" t="s">
        <v>415</v>
      </c>
      <c r="K958" t="s">
        <v>239</v>
      </c>
      <c r="L958" t="s">
        <v>5946</v>
      </c>
      <c r="M958" t="s">
        <v>41</v>
      </c>
    </row>
    <row r="959" spans="1:13" x14ac:dyDescent="0.15">
      <c r="A959" t="s">
        <v>5947</v>
      </c>
      <c r="B959" t="s">
        <v>14</v>
      </c>
      <c r="C959" t="s">
        <v>118</v>
      </c>
      <c r="D959" t="s">
        <v>5948</v>
      </c>
      <c r="E959" t="s">
        <v>5949</v>
      </c>
      <c r="F959" t="s">
        <v>5950</v>
      </c>
      <c r="G959" t="s">
        <v>852</v>
      </c>
      <c r="H959" t="s">
        <v>852</v>
      </c>
      <c r="I959" t="s">
        <v>5951</v>
      </c>
      <c r="J959" t="s">
        <v>481</v>
      </c>
      <c r="K959" t="s">
        <v>215</v>
      </c>
      <c r="L959" t="s">
        <v>5951</v>
      </c>
      <c r="M959" t="s">
        <v>216</v>
      </c>
    </row>
    <row r="960" spans="1:13" x14ac:dyDescent="0.15">
      <c r="A960" t="s">
        <v>5952</v>
      </c>
      <c r="B960" t="s">
        <v>14</v>
      </c>
      <c r="C960" t="s">
        <v>194</v>
      </c>
      <c r="D960" t="s">
        <v>5953</v>
      </c>
      <c r="E960" t="s">
        <v>5954</v>
      </c>
      <c r="F960" t="s">
        <v>5955</v>
      </c>
      <c r="H960" t="s">
        <v>5956</v>
      </c>
      <c r="J960" t="s">
        <v>481</v>
      </c>
      <c r="M960" t="s">
        <v>139</v>
      </c>
    </row>
    <row r="961" spans="1:13" x14ac:dyDescent="0.15">
      <c r="A961" t="s">
        <v>5957</v>
      </c>
      <c r="B961" t="s">
        <v>14</v>
      </c>
      <c r="C961" t="s">
        <v>23</v>
      </c>
      <c r="D961" t="s">
        <v>5958</v>
      </c>
      <c r="E961" t="s">
        <v>5959</v>
      </c>
      <c r="F961" t="s">
        <v>5960</v>
      </c>
      <c r="G961" t="s">
        <v>5916</v>
      </c>
      <c r="H961" t="s">
        <v>5916</v>
      </c>
      <c r="I961" t="s">
        <v>5961</v>
      </c>
      <c r="J961" t="s">
        <v>481</v>
      </c>
      <c r="K961" t="s">
        <v>431</v>
      </c>
      <c r="L961" t="s">
        <v>5961</v>
      </c>
      <c r="M961" t="s">
        <v>41</v>
      </c>
    </row>
    <row r="962" spans="1:13" x14ac:dyDescent="0.15">
      <c r="A962" t="s">
        <v>5962</v>
      </c>
      <c r="B962" t="s">
        <v>14</v>
      </c>
      <c r="C962" t="s">
        <v>118</v>
      </c>
      <c r="D962" t="s">
        <v>5963</v>
      </c>
      <c r="E962" t="s">
        <v>5964</v>
      </c>
      <c r="F962" t="s">
        <v>5965</v>
      </c>
      <c r="G962" t="s">
        <v>5966</v>
      </c>
      <c r="H962" t="s">
        <v>5966</v>
      </c>
      <c r="I962" t="s">
        <v>5967</v>
      </c>
      <c r="J962" t="s">
        <v>206</v>
      </c>
      <c r="K962" t="s">
        <v>1236</v>
      </c>
      <c r="L962" t="s">
        <v>5967</v>
      </c>
      <c r="M962" t="s">
        <v>1015</v>
      </c>
    </row>
    <row r="963" spans="1:13" x14ac:dyDescent="0.15">
      <c r="A963" t="s">
        <v>5968</v>
      </c>
      <c r="B963" t="s">
        <v>14</v>
      </c>
      <c r="C963" t="s">
        <v>118</v>
      </c>
      <c r="D963" t="s">
        <v>5969</v>
      </c>
      <c r="E963" t="s">
        <v>5970</v>
      </c>
      <c r="F963" t="s">
        <v>5971</v>
      </c>
      <c r="G963" t="s">
        <v>5972</v>
      </c>
      <c r="H963" t="s">
        <v>5972</v>
      </c>
      <c r="I963" t="s">
        <v>2943</v>
      </c>
      <c r="J963" t="s">
        <v>514</v>
      </c>
      <c r="K963" t="s">
        <v>4042</v>
      </c>
      <c r="L963" t="s">
        <v>2943</v>
      </c>
      <c r="M963" t="s">
        <v>2847</v>
      </c>
    </row>
    <row r="964" spans="1:13" x14ac:dyDescent="0.15">
      <c r="A964" t="s">
        <v>5973</v>
      </c>
      <c r="B964" t="s">
        <v>14</v>
      </c>
      <c r="C964" t="s">
        <v>118</v>
      </c>
      <c r="D964" t="s">
        <v>5974</v>
      </c>
      <c r="E964" t="s">
        <v>5975</v>
      </c>
      <c r="F964" t="s">
        <v>5976</v>
      </c>
      <c r="G964" t="s">
        <v>5486</v>
      </c>
      <c r="H964" t="s">
        <v>5486</v>
      </c>
      <c r="I964" t="s">
        <v>5977</v>
      </c>
      <c r="J964" t="s">
        <v>514</v>
      </c>
      <c r="K964" t="s">
        <v>1582</v>
      </c>
      <c r="L964" t="s">
        <v>5977</v>
      </c>
      <c r="M964" t="s">
        <v>80</v>
      </c>
    </row>
    <row r="965" spans="1:13" x14ac:dyDescent="0.15">
      <c r="A965" t="s">
        <v>5978</v>
      </c>
      <c r="B965" t="s">
        <v>14</v>
      </c>
      <c r="C965" t="s">
        <v>118</v>
      </c>
      <c r="D965" t="s">
        <v>5979</v>
      </c>
      <c r="E965" t="s">
        <v>5980</v>
      </c>
      <c r="F965" t="s">
        <v>5981</v>
      </c>
      <c r="G965" t="s">
        <v>5982</v>
      </c>
      <c r="H965" t="s">
        <v>5982</v>
      </c>
      <c r="I965" t="s">
        <v>5983</v>
      </c>
      <c r="J965" t="s">
        <v>20</v>
      </c>
      <c r="K965" t="s">
        <v>1170</v>
      </c>
      <c r="L965" t="s">
        <v>5983</v>
      </c>
      <c r="M965" t="s">
        <v>3396</v>
      </c>
    </row>
    <row r="966" spans="1:13" x14ac:dyDescent="0.15">
      <c r="A966" t="s">
        <v>5984</v>
      </c>
      <c r="B966" t="s">
        <v>14</v>
      </c>
      <c r="C966" t="s">
        <v>118</v>
      </c>
      <c r="D966" t="s">
        <v>5985</v>
      </c>
      <c r="E966" t="s">
        <v>5986</v>
      </c>
      <c r="F966" t="s">
        <v>5987</v>
      </c>
      <c r="G966" t="s">
        <v>5988</v>
      </c>
      <c r="H966" t="s">
        <v>5988</v>
      </c>
      <c r="I966" t="s">
        <v>5989</v>
      </c>
      <c r="J966" t="s">
        <v>20</v>
      </c>
      <c r="K966" t="s">
        <v>305</v>
      </c>
      <c r="L966" t="s">
        <v>5989</v>
      </c>
      <c r="M966" t="s">
        <v>5990</v>
      </c>
    </row>
    <row r="967" spans="1:13" x14ac:dyDescent="0.15">
      <c r="A967" t="s">
        <v>5991</v>
      </c>
      <c r="B967" t="s">
        <v>14</v>
      </c>
      <c r="C967" t="s">
        <v>118</v>
      </c>
      <c r="D967" t="s">
        <v>5992</v>
      </c>
      <c r="E967" t="s">
        <v>5993</v>
      </c>
      <c r="F967" t="s">
        <v>5994</v>
      </c>
      <c r="G967" t="s">
        <v>5995</v>
      </c>
      <c r="H967" t="s">
        <v>5995</v>
      </c>
      <c r="I967" t="s">
        <v>5996</v>
      </c>
      <c r="J967" t="s">
        <v>29</v>
      </c>
      <c r="K967" t="s">
        <v>231</v>
      </c>
      <c r="L967" t="s">
        <v>5996</v>
      </c>
      <c r="M967" t="s">
        <v>174</v>
      </c>
    </row>
    <row r="968" spans="1:13" x14ac:dyDescent="0.15">
      <c r="A968" t="s">
        <v>5997</v>
      </c>
      <c r="B968" t="s">
        <v>14</v>
      </c>
      <c r="C968" t="s">
        <v>23</v>
      </c>
      <c r="D968" t="s">
        <v>5998</v>
      </c>
      <c r="E968" t="s">
        <v>5999</v>
      </c>
      <c r="F968" t="s">
        <v>6000</v>
      </c>
      <c r="G968" t="s">
        <v>6001</v>
      </c>
      <c r="H968" t="s">
        <v>6001</v>
      </c>
      <c r="I968" t="s">
        <v>6002</v>
      </c>
      <c r="J968" t="s">
        <v>481</v>
      </c>
      <c r="K968" t="s">
        <v>263</v>
      </c>
      <c r="L968" t="s">
        <v>620</v>
      </c>
      <c r="M968" t="s">
        <v>104</v>
      </c>
    </row>
    <row r="969" spans="1:13" x14ac:dyDescent="0.15">
      <c r="A969" t="s">
        <v>6003</v>
      </c>
      <c r="B969" t="s">
        <v>14</v>
      </c>
      <c r="C969" t="s">
        <v>118</v>
      </c>
      <c r="D969" t="s">
        <v>6004</v>
      </c>
      <c r="E969" t="s">
        <v>6005</v>
      </c>
      <c r="F969" t="s">
        <v>6006</v>
      </c>
      <c r="G969" t="s">
        <v>6007</v>
      </c>
      <c r="H969" t="s">
        <v>6007</v>
      </c>
      <c r="I969" t="s">
        <v>6008</v>
      </c>
      <c r="J969" t="s">
        <v>138</v>
      </c>
      <c r="K969" t="s">
        <v>1485</v>
      </c>
      <c r="L969" t="s">
        <v>6008</v>
      </c>
      <c r="M969" t="s">
        <v>3238</v>
      </c>
    </row>
    <row r="970" spans="1:13" x14ac:dyDescent="0.15">
      <c r="A970" t="s">
        <v>6009</v>
      </c>
      <c r="B970" t="s">
        <v>14</v>
      </c>
      <c r="C970" t="s">
        <v>118</v>
      </c>
      <c r="D970" t="s">
        <v>6010</v>
      </c>
      <c r="E970" t="s">
        <v>6011</v>
      </c>
      <c r="F970" t="s">
        <v>6012</v>
      </c>
      <c r="G970" t="s">
        <v>6013</v>
      </c>
      <c r="H970" t="s">
        <v>6013</v>
      </c>
      <c r="I970" t="s">
        <v>6014</v>
      </c>
      <c r="J970" t="s">
        <v>29</v>
      </c>
      <c r="K970" t="s">
        <v>452</v>
      </c>
      <c r="L970" t="s">
        <v>6014</v>
      </c>
      <c r="M970" t="s">
        <v>3186</v>
      </c>
    </row>
    <row r="971" spans="1:13" x14ac:dyDescent="0.15">
      <c r="A971" t="s">
        <v>6015</v>
      </c>
      <c r="B971" t="s">
        <v>14</v>
      </c>
      <c r="C971" t="s">
        <v>23</v>
      </c>
      <c r="D971" t="s">
        <v>6016</v>
      </c>
      <c r="E971" t="s">
        <v>6017</v>
      </c>
      <c r="F971" t="s">
        <v>6018</v>
      </c>
      <c r="G971" t="s">
        <v>3784</v>
      </c>
      <c r="H971" t="s">
        <v>3784</v>
      </c>
      <c r="I971" t="s">
        <v>6019</v>
      </c>
      <c r="J971" t="s">
        <v>473</v>
      </c>
      <c r="K971" t="s">
        <v>48</v>
      </c>
      <c r="L971" t="s">
        <v>5539</v>
      </c>
      <c r="M971" t="s">
        <v>80</v>
      </c>
    </row>
    <row r="972" spans="1:13" x14ac:dyDescent="0.15">
      <c r="A972" t="s">
        <v>6020</v>
      </c>
      <c r="B972" t="s">
        <v>14</v>
      </c>
      <c r="C972" t="s">
        <v>23</v>
      </c>
      <c r="D972" t="s">
        <v>6021</v>
      </c>
      <c r="E972" t="s">
        <v>6022</v>
      </c>
      <c r="F972" t="s">
        <v>6023</v>
      </c>
      <c r="G972" t="s">
        <v>6024</v>
      </c>
      <c r="H972" t="s">
        <v>6024</v>
      </c>
      <c r="I972" t="s">
        <v>6025</v>
      </c>
      <c r="J972" t="s">
        <v>473</v>
      </c>
      <c r="K972" t="s">
        <v>694</v>
      </c>
      <c r="L972" t="s">
        <v>6025</v>
      </c>
      <c r="M972" t="s">
        <v>80</v>
      </c>
    </row>
    <row r="973" spans="1:13" x14ac:dyDescent="0.15">
      <c r="A973" t="s">
        <v>6026</v>
      </c>
      <c r="B973" t="s">
        <v>14</v>
      </c>
      <c r="C973" t="s">
        <v>118</v>
      </c>
      <c r="D973" t="s">
        <v>6027</v>
      </c>
      <c r="E973" t="s">
        <v>6028</v>
      </c>
      <c r="F973" t="s">
        <v>6029</v>
      </c>
      <c r="G973" t="s">
        <v>6030</v>
      </c>
      <c r="H973" t="s">
        <v>6030</v>
      </c>
      <c r="I973" t="s">
        <v>3123</v>
      </c>
      <c r="J973" t="s">
        <v>124</v>
      </c>
      <c r="K973" t="s">
        <v>839</v>
      </c>
      <c r="L973" t="s">
        <v>3123</v>
      </c>
      <c r="M973" t="s">
        <v>272</v>
      </c>
    </row>
    <row r="974" spans="1:13" x14ac:dyDescent="0.15">
      <c r="A974" t="s">
        <v>6031</v>
      </c>
      <c r="B974" t="s">
        <v>14</v>
      </c>
      <c r="C974" t="s">
        <v>118</v>
      </c>
      <c r="D974" t="s">
        <v>6032</v>
      </c>
      <c r="E974" t="s">
        <v>6033</v>
      </c>
      <c r="F974" t="s">
        <v>6034</v>
      </c>
      <c r="G974" t="s">
        <v>3809</v>
      </c>
      <c r="H974" t="s">
        <v>3809</v>
      </c>
      <c r="I974" t="s">
        <v>163</v>
      </c>
      <c r="J974" t="s">
        <v>270</v>
      </c>
      <c r="K974" t="s">
        <v>247</v>
      </c>
      <c r="L974" t="s">
        <v>163</v>
      </c>
      <c r="M974" t="s">
        <v>31</v>
      </c>
    </row>
    <row r="975" spans="1:13" x14ac:dyDescent="0.15">
      <c r="A975" t="s">
        <v>6035</v>
      </c>
      <c r="B975" t="s">
        <v>14</v>
      </c>
      <c r="C975" t="s">
        <v>118</v>
      </c>
      <c r="D975" t="s">
        <v>6036</v>
      </c>
      <c r="E975" t="s">
        <v>6037</v>
      </c>
      <c r="F975" t="s">
        <v>6038</v>
      </c>
      <c r="G975" t="s">
        <v>6039</v>
      </c>
      <c r="H975" t="s">
        <v>6039</v>
      </c>
      <c r="I975" t="s">
        <v>6040</v>
      </c>
      <c r="J975" t="s">
        <v>1194</v>
      </c>
      <c r="K975" t="s">
        <v>6041</v>
      </c>
      <c r="L975" t="s">
        <v>6040</v>
      </c>
      <c r="M975" t="s">
        <v>192</v>
      </c>
    </row>
    <row r="976" spans="1:13" x14ac:dyDescent="0.15">
      <c r="A976" t="s">
        <v>6042</v>
      </c>
      <c r="B976" t="s">
        <v>14</v>
      </c>
      <c r="C976" t="s">
        <v>118</v>
      </c>
      <c r="D976" t="s">
        <v>6043</v>
      </c>
      <c r="E976" t="s">
        <v>6044</v>
      </c>
      <c r="F976" t="s">
        <v>6045</v>
      </c>
      <c r="G976" t="s">
        <v>6046</v>
      </c>
      <c r="H976" t="s">
        <v>6046</v>
      </c>
      <c r="I976" t="s">
        <v>6047</v>
      </c>
      <c r="J976" t="s">
        <v>415</v>
      </c>
      <c r="K976" t="s">
        <v>424</v>
      </c>
      <c r="L976" t="s">
        <v>6047</v>
      </c>
      <c r="M976" t="s">
        <v>80</v>
      </c>
    </row>
    <row r="977" spans="1:13" x14ac:dyDescent="0.15">
      <c r="A977" t="s">
        <v>6048</v>
      </c>
      <c r="B977" t="s">
        <v>14</v>
      </c>
      <c r="C977" t="s">
        <v>118</v>
      </c>
      <c r="D977" t="s">
        <v>6049</v>
      </c>
      <c r="E977" t="s">
        <v>6050</v>
      </c>
      <c r="F977" t="s">
        <v>6051</v>
      </c>
      <c r="G977" t="s">
        <v>6052</v>
      </c>
      <c r="H977" t="s">
        <v>6052</v>
      </c>
      <c r="I977" t="s">
        <v>1965</v>
      </c>
      <c r="J977" t="s">
        <v>415</v>
      </c>
      <c r="K977" t="s">
        <v>431</v>
      </c>
      <c r="L977" t="s">
        <v>1965</v>
      </c>
      <c r="M977" t="s">
        <v>126</v>
      </c>
    </row>
    <row r="978" spans="1:13" x14ac:dyDescent="0.15">
      <c r="A978" t="s">
        <v>6053</v>
      </c>
      <c r="B978" t="s">
        <v>14</v>
      </c>
      <c r="C978" t="s">
        <v>118</v>
      </c>
      <c r="D978" t="s">
        <v>6054</v>
      </c>
      <c r="E978" t="s">
        <v>6055</v>
      </c>
      <c r="F978" t="s">
        <v>6056</v>
      </c>
      <c r="G978" t="s">
        <v>6057</v>
      </c>
      <c r="H978" t="s">
        <v>6057</v>
      </c>
      <c r="I978" t="s">
        <v>6058</v>
      </c>
      <c r="J978" t="s">
        <v>415</v>
      </c>
      <c r="K978" t="s">
        <v>5205</v>
      </c>
      <c r="L978" t="s">
        <v>6058</v>
      </c>
      <c r="M978" t="s">
        <v>80</v>
      </c>
    </row>
    <row r="979" spans="1:13" x14ac:dyDescent="0.15">
      <c r="A979" t="s">
        <v>6059</v>
      </c>
      <c r="B979" t="s">
        <v>14</v>
      </c>
      <c r="C979" t="s">
        <v>118</v>
      </c>
      <c r="D979" t="s">
        <v>6060</v>
      </c>
      <c r="E979" t="s">
        <v>6061</v>
      </c>
      <c r="F979" t="s">
        <v>6062</v>
      </c>
      <c r="G979" t="s">
        <v>6063</v>
      </c>
      <c r="H979" t="s">
        <v>6063</v>
      </c>
      <c r="I979" t="s">
        <v>6064</v>
      </c>
      <c r="J979" t="s">
        <v>246</v>
      </c>
      <c r="K979" t="s">
        <v>2332</v>
      </c>
      <c r="L979" t="s">
        <v>6064</v>
      </c>
      <c r="M979" t="s">
        <v>174</v>
      </c>
    </row>
    <row r="980" spans="1:13" x14ac:dyDescent="0.15">
      <c r="A980" t="s">
        <v>6065</v>
      </c>
      <c r="B980" t="s">
        <v>14</v>
      </c>
      <c r="C980" t="s">
        <v>118</v>
      </c>
      <c r="D980" t="s">
        <v>6066</v>
      </c>
      <c r="E980" t="s">
        <v>6067</v>
      </c>
      <c r="F980" t="s">
        <v>6068</v>
      </c>
      <c r="G980" t="s">
        <v>6069</v>
      </c>
      <c r="H980" t="s">
        <v>6069</v>
      </c>
      <c r="I980" t="s">
        <v>6070</v>
      </c>
      <c r="J980" t="s">
        <v>415</v>
      </c>
      <c r="K980" t="s">
        <v>439</v>
      </c>
      <c r="L980" t="s">
        <v>6070</v>
      </c>
      <c r="M980" t="s">
        <v>126</v>
      </c>
    </row>
    <row r="981" spans="1:13" x14ac:dyDescent="0.15">
      <c r="A981" t="s">
        <v>6071</v>
      </c>
      <c r="B981" t="s">
        <v>14</v>
      </c>
      <c r="C981" t="s">
        <v>118</v>
      </c>
      <c r="D981" t="s">
        <v>6072</v>
      </c>
      <c r="E981" t="s">
        <v>6073</v>
      </c>
      <c r="F981" t="s">
        <v>6074</v>
      </c>
      <c r="G981" t="s">
        <v>6075</v>
      </c>
      <c r="H981" t="s">
        <v>6075</v>
      </c>
      <c r="I981" t="s">
        <v>6076</v>
      </c>
      <c r="J981" t="s">
        <v>415</v>
      </c>
      <c r="K981" t="s">
        <v>452</v>
      </c>
      <c r="L981" t="s">
        <v>6076</v>
      </c>
      <c r="M981" t="s">
        <v>80</v>
      </c>
    </row>
    <row r="982" spans="1:13" x14ac:dyDescent="0.15">
      <c r="A982" t="s">
        <v>6077</v>
      </c>
      <c r="B982" t="s">
        <v>14</v>
      </c>
      <c r="C982" t="s">
        <v>118</v>
      </c>
      <c r="D982" t="s">
        <v>6078</v>
      </c>
      <c r="E982" t="s">
        <v>6079</v>
      </c>
      <c r="F982" t="s">
        <v>6080</v>
      </c>
      <c r="G982" t="s">
        <v>6081</v>
      </c>
      <c r="H982" t="s">
        <v>6081</v>
      </c>
      <c r="I982" t="s">
        <v>6082</v>
      </c>
      <c r="J982" t="s">
        <v>230</v>
      </c>
      <c r="K982" t="s">
        <v>506</v>
      </c>
      <c r="L982" t="s">
        <v>6082</v>
      </c>
      <c r="M982" t="s">
        <v>353</v>
      </c>
    </row>
    <row r="983" spans="1:13" x14ac:dyDescent="0.15">
      <c r="A983" t="s">
        <v>6083</v>
      </c>
      <c r="B983" t="s">
        <v>14</v>
      </c>
      <c r="C983" t="s">
        <v>118</v>
      </c>
      <c r="D983" t="s">
        <v>6084</v>
      </c>
      <c r="E983" t="s">
        <v>6085</v>
      </c>
      <c r="F983" t="s">
        <v>6086</v>
      </c>
      <c r="H983" t="s">
        <v>6087</v>
      </c>
      <c r="I983" t="s">
        <v>6088</v>
      </c>
      <c r="J983" t="s">
        <v>270</v>
      </c>
      <c r="K983" t="s">
        <v>1078</v>
      </c>
      <c r="L983" t="s">
        <v>6088</v>
      </c>
      <c r="M983" t="s">
        <v>139</v>
      </c>
    </row>
    <row r="984" spans="1:13" x14ac:dyDescent="0.15">
      <c r="A984" t="s">
        <v>6089</v>
      </c>
      <c r="B984" t="s">
        <v>14</v>
      </c>
      <c r="C984" t="s">
        <v>118</v>
      </c>
      <c r="D984" t="s">
        <v>6090</v>
      </c>
      <c r="E984" t="s">
        <v>6091</v>
      </c>
      <c r="F984" t="s">
        <v>6092</v>
      </c>
      <c r="G984" t="s">
        <v>6093</v>
      </c>
      <c r="H984" t="s">
        <v>6093</v>
      </c>
      <c r="I984" t="s">
        <v>6081</v>
      </c>
      <c r="J984" t="s">
        <v>459</v>
      </c>
      <c r="K984" t="s">
        <v>6094</v>
      </c>
      <c r="L984" t="s">
        <v>6081</v>
      </c>
      <c r="M984" t="s">
        <v>126</v>
      </c>
    </row>
    <row r="985" spans="1:13" x14ac:dyDescent="0.15">
      <c r="A985" t="s">
        <v>6095</v>
      </c>
      <c r="B985" t="s">
        <v>14</v>
      </c>
      <c r="C985" t="s">
        <v>23</v>
      </c>
      <c r="D985" t="s">
        <v>6096</v>
      </c>
      <c r="E985" t="s">
        <v>6097</v>
      </c>
      <c r="F985" t="s">
        <v>6098</v>
      </c>
      <c r="G985" t="s">
        <v>3528</v>
      </c>
      <c r="H985" t="s">
        <v>3528</v>
      </c>
      <c r="I985" t="s">
        <v>6099</v>
      </c>
      <c r="J985" t="s">
        <v>138</v>
      </c>
      <c r="K985" t="s">
        <v>601</v>
      </c>
      <c r="L985" t="s">
        <v>6099</v>
      </c>
      <c r="M985" t="s">
        <v>104</v>
      </c>
    </row>
    <row r="986" spans="1:13" x14ac:dyDescent="0.15">
      <c r="A986" t="s">
        <v>6100</v>
      </c>
      <c r="B986" t="s">
        <v>14</v>
      </c>
      <c r="C986" t="s">
        <v>118</v>
      </c>
      <c r="D986" t="s">
        <v>6101</v>
      </c>
      <c r="E986" t="s">
        <v>6102</v>
      </c>
      <c r="F986" t="s">
        <v>6103</v>
      </c>
      <c r="H986" t="s">
        <v>6104</v>
      </c>
      <c r="I986" t="s">
        <v>6105</v>
      </c>
      <c r="J986" t="s">
        <v>110</v>
      </c>
      <c r="M986" t="s">
        <v>139</v>
      </c>
    </row>
    <row r="987" spans="1:13" x14ac:dyDescent="0.15">
      <c r="A987" t="s">
        <v>6106</v>
      </c>
      <c r="B987" t="s">
        <v>14</v>
      </c>
      <c r="C987" t="s">
        <v>23</v>
      </c>
      <c r="D987" t="s">
        <v>6107</v>
      </c>
      <c r="E987" t="s">
        <v>6108</v>
      </c>
      <c r="F987" t="s">
        <v>6109</v>
      </c>
      <c r="G987" t="s">
        <v>6110</v>
      </c>
      <c r="H987" t="s">
        <v>6110</v>
      </c>
      <c r="I987" t="s">
        <v>6111</v>
      </c>
      <c r="J987" t="s">
        <v>20</v>
      </c>
      <c r="K987" t="s">
        <v>6112</v>
      </c>
      <c r="L987" t="s">
        <v>6111</v>
      </c>
      <c r="M987" t="s">
        <v>80</v>
      </c>
    </row>
    <row r="988" spans="1:13" x14ac:dyDescent="0.15">
      <c r="A988" t="s">
        <v>6113</v>
      </c>
      <c r="B988" t="s">
        <v>14</v>
      </c>
      <c r="C988" t="s">
        <v>118</v>
      </c>
      <c r="D988" t="s">
        <v>6114</v>
      </c>
      <c r="E988" t="s">
        <v>6115</v>
      </c>
      <c r="F988" t="s">
        <v>6116</v>
      </c>
      <c r="G988" t="s">
        <v>6117</v>
      </c>
      <c r="H988" t="s">
        <v>6117</v>
      </c>
      <c r="I988" t="s">
        <v>6118</v>
      </c>
      <c r="J988" t="s">
        <v>255</v>
      </c>
      <c r="K988" t="s">
        <v>256</v>
      </c>
      <c r="L988" t="s">
        <v>6118</v>
      </c>
      <c r="M988" t="s">
        <v>432</v>
      </c>
    </row>
    <row r="989" spans="1:13" x14ac:dyDescent="0.15">
      <c r="A989" t="s">
        <v>6119</v>
      </c>
      <c r="B989" t="s">
        <v>14</v>
      </c>
      <c r="C989" t="s">
        <v>23</v>
      </c>
      <c r="D989" t="s">
        <v>6120</v>
      </c>
      <c r="E989" t="s">
        <v>6121</v>
      </c>
      <c r="F989" t="s">
        <v>6122</v>
      </c>
      <c r="G989" t="s">
        <v>6123</v>
      </c>
      <c r="H989" t="s">
        <v>6123</v>
      </c>
      <c r="I989" t="s">
        <v>6124</v>
      </c>
      <c r="J989" t="s">
        <v>206</v>
      </c>
      <c r="K989" t="s">
        <v>64</v>
      </c>
      <c r="L989" t="s">
        <v>6124</v>
      </c>
      <c r="M989" t="s">
        <v>248</v>
      </c>
    </row>
    <row r="990" spans="1:13" x14ac:dyDescent="0.15">
      <c r="A990" t="s">
        <v>6125</v>
      </c>
      <c r="B990" t="s">
        <v>14</v>
      </c>
      <c r="C990" t="s">
        <v>23</v>
      </c>
      <c r="D990" t="s">
        <v>6126</v>
      </c>
      <c r="E990" t="s">
        <v>6127</v>
      </c>
      <c r="F990" t="s">
        <v>6128</v>
      </c>
      <c r="G990" t="s">
        <v>6129</v>
      </c>
      <c r="H990" t="s">
        <v>6129</v>
      </c>
      <c r="I990" t="s">
        <v>6130</v>
      </c>
      <c r="J990" t="s">
        <v>29</v>
      </c>
      <c r="K990" t="s">
        <v>723</v>
      </c>
      <c r="L990" t="s">
        <v>6131</v>
      </c>
      <c r="M990" t="s">
        <v>104</v>
      </c>
    </row>
    <row r="991" spans="1:13" x14ac:dyDescent="0.15">
      <c r="A991" t="s">
        <v>6132</v>
      </c>
      <c r="B991" t="s">
        <v>14</v>
      </c>
      <c r="C991" t="s">
        <v>23</v>
      </c>
      <c r="D991" t="s">
        <v>6133</v>
      </c>
      <c r="E991" t="s">
        <v>6134</v>
      </c>
      <c r="F991" t="s">
        <v>6128</v>
      </c>
      <c r="G991" t="s">
        <v>6135</v>
      </c>
      <c r="H991" t="s">
        <v>6135</v>
      </c>
      <c r="I991" t="s">
        <v>6136</v>
      </c>
      <c r="J991" t="s">
        <v>206</v>
      </c>
      <c r="K991" t="s">
        <v>1170</v>
      </c>
      <c r="L991" t="s">
        <v>6136</v>
      </c>
      <c r="M991" t="s">
        <v>248</v>
      </c>
    </row>
    <row r="992" spans="1:13" x14ac:dyDescent="0.15">
      <c r="A992" t="s">
        <v>6137</v>
      </c>
      <c r="B992" t="s">
        <v>14</v>
      </c>
      <c r="C992" t="s">
        <v>118</v>
      </c>
      <c r="D992" t="s">
        <v>6138</v>
      </c>
      <c r="E992" t="s">
        <v>6139</v>
      </c>
      <c r="F992" t="s">
        <v>6140</v>
      </c>
      <c r="G992" t="s">
        <v>6141</v>
      </c>
      <c r="H992" t="s">
        <v>6141</v>
      </c>
      <c r="I992" t="s">
        <v>6142</v>
      </c>
      <c r="J992" t="s">
        <v>29</v>
      </c>
      <c r="K992" t="s">
        <v>1757</v>
      </c>
      <c r="L992" t="s">
        <v>6142</v>
      </c>
      <c r="M992" t="s">
        <v>3944</v>
      </c>
    </row>
    <row r="993" spans="1:13" x14ac:dyDescent="0.15">
      <c r="A993" t="s">
        <v>6143</v>
      </c>
      <c r="B993" t="s">
        <v>14</v>
      </c>
      <c r="C993" t="s">
        <v>23</v>
      </c>
      <c r="D993" t="s">
        <v>6144</v>
      </c>
      <c r="E993" t="s">
        <v>6145</v>
      </c>
      <c r="F993" t="s">
        <v>6146</v>
      </c>
      <c r="G993" t="s">
        <v>6147</v>
      </c>
      <c r="H993" t="s">
        <v>6147</v>
      </c>
      <c r="I993" t="s">
        <v>6148</v>
      </c>
      <c r="J993" t="s">
        <v>2181</v>
      </c>
      <c r="K993" t="s">
        <v>540</v>
      </c>
      <c r="L993" t="s">
        <v>6148</v>
      </c>
      <c r="M993" t="s">
        <v>80</v>
      </c>
    </row>
    <row r="994" spans="1:13" x14ac:dyDescent="0.15">
      <c r="A994" t="s">
        <v>6149</v>
      </c>
      <c r="B994" t="s">
        <v>14</v>
      </c>
      <c r="C994" t="s">
        <v>118</v>
      </c>
      <c r="D994" t="s">
        <v>6150</v>
      </c>
      <c r="E994" t="s">
        <v>6151</v>
      </c>
      <c r="F994" t="s">
        <v>6152</v>
      </c>
      <c r="G994" t="s">
        <v>6153</v>
      </c>
      <c r="H994" t="s">
        <v>6153</v>
      </c>
      <c r="I994" t="s">
        <v>6154</v>
      </c>
      <c r="J994" t="s">
        <v>230</v>
      </c>
      <c r="K994" t="s">
        <v>4042</v>
      </c>
      <c r="L994" t="s">
        <v>6154</v>
      </c>
      <c r="M994" t="s">
        <v>3238</v>
      </c>
    </row>
    <row r="995" spans="1:13" x14ac:dyDescent="0.15">
      <c r="A995" t="s">
        <v>6155</v>
      </c>
      <c r="B995" t="s">
        <v>14</v>
      </c>
      <c r="C995" t="s">
        <v>23</v>
      </c>
      <c r="D995" t="s">
        <v>6156</v>
      </c>
      <c r="E995" t="s">
        <v>6157</v>
      </c>
      <c r="F995" t="s">
        <v>6158</v>
      </c>
      <c r="G995" t="s">
        <v>5563</v>
      </c>
      <c r="H995" t="s">
        <v>5563</v>
      </c>
      <c r="I995" t="s">
        <v>5564</v>
      </c>
      <c r="J995" t="s">
        <v>124</v>
      </c>
      <c r="K995" t="s">
        <v>2267</v>
      </c>
      <c r="L995" t="s">
        <v>6159</v>
      </c>
      <c r="M995" t="s">
        <v>482</v>
      </c>
    </row>
    <row r="996" spans="1:13" x14ac:dyDescent="0.15">
      <c r="A996" t="s">
        <v>6160</v>
      </c>
      <c r="B996" t="s">
        <v>14</v>
      </c>
      <c r="C996" t="s">
        <v>23</v>
      </c>
      <c r="D996" t="s">
        <v>6161</v>
      </c>
      <c r="E996" t="s">
        <v>6162</v>
      </c>
      <c r="F996" t="s">
        <v>6163</v>
      </c>
      <c r="G996" t="s">
        <v>5563</v>
      </c>
      <c r="H996" t="s">
        <v>5563</v>
      </c>
      <c r="I996" t="s">
        <v>5564</v>
      </c>
      <c r="J996" t="s">
        <v>124</v>
      </c>
      <c r="K996" t="s">
        <v>723</v>
      </c>
      <c r="L996" t="s">
        <v>5565</v>
      </c>
      <c r="M996" t="s">
        <v>482</v>
      </c>
    </row>
    <row r="997" spans="1:13" x14ac:dyDescent="0.15">
      <c r="A997" t="s">
        <v>6164</v>
      </c>
      <c r="B997" t="s">
        <v>14</v>
      </c>
      <c r="C997" t="s">
        <v>23</v>
      </c>
      <c r="D997" t="s">
        <v>6165</v>
      </c>
      <c r="E997" t="s">
        <v>6166</v>
      </c>
      <c r="F997" t="s">
        <v>6167</v>
      </c>
      <c r="G997" t="s">
        <v>6168</v>
      </c>
      <c r="H997" t="s">
        <v>6168</v>
      </c>
      <c r="I997" t="s">
        <v>3407</v>
      </c>
      <c r="J997" t="s">
        <v>124</v>
      </c>
      <c r="K997" t="s">
        <v>1281</v>
      </c>
      <c r="L997" t="s">
        <v>6169</v>
      </c>
      <c r="M997" t="s">
        <v>482</v>
      </c>
    </row>
    <row r="998" spans="1:13" x14ac:dyDescent="0.15">
      <c r="A998" t="s">
        <v>6170</v>
      </c>
      <c r="B998" t="s">
        <v>14</v>
      </c>
      <c r="C998" t="s">
        <v>23</v>
      </c>
      <c r="D998" t="s">
        <v>6171</v>
      </c>
      <c r="E998" t="s">
        <v>6172</v>
      </c>
      <c r="F998" t="s">
        <v>6173</v>
      </c>
      <c r="G998" t="s">
        <v>6168</v>
      </c>
      <c r="H998" t="s">
        <v>6168</v>
      </c>
      <c r="I998" t="s">
        <v>3407</v>
      </c>
      <c r="J998" t="s">
        <v>124</v>
      </c>
      <c r="K998" t="s">
        <v>1208</v>
      </c>
      <c r="L998" t="s">
        <v>6174</v>
      </c>
      <c r="M998" t="s">
        <v>482</v>
      </c>
    </row>
    <row r="999" spans="1:13" x14ac:dyDescent="0.15">
      <c r="A999" t="s">
        <v>6175</v>
      </c>
      <c r="B999" t="s">
        <v>14</v>
      </c>
      <c r="C999" t="s">
        <v>23</v>
      </c>
      <c r="D999" t="s">
        <v>6176</v>
      </c>
      <c r="E999" t="s">
        <v>6177</v>
      </c>
      <c r="F999" t="s">
        <v>6178</v>
      </c>
      <c r="G999" t="s">
        <v>6168</v>
      </c>
      <c r="H999" t="s">
        <v>6168</v>
      </c>
      <c r="I999" t="s">
        <v>3407</v>
      </c>
      <c r="J999" t="s">
        <v>124</v>
      </c>
      <c r="K999" t="s">
        <v>1882</v>
      </c>
      <c r="L999" t="s">
        <v>6179</v>
      </c>
      <c r="M999" t="s">
        <v>482</v>
      </c>
    </row>
    <row r="1000" spans="1:13" x14ac:dyDescent="0.15">
      <c r="A1000" t="s">
        <v>6180</v>
      </c>
      <c r="B1000" t="s">
        <v>14</v>
      </c>
      <c r="C1000" t="s">
        <v>23</v>
      </c>
      <c r="D1000" t="s">
        <v>6181</v>
      </c>
      <c r="E1000" t="s">
        <v>6182</v>
      </c>
      <c r="F1000" t="s">
        <v>6183</v>
      </c>
      <c r="G1000" t="s">
        <v>6168</v>
      </c>
      <c r="H1000" t="s">
        <v>6168</v>
      </c>
      <c r="I1000" t="s">
        <v>3407</v>
      </c>
      <c r="J1000" t="s">
        <v>124</v>
      </c>
      <c r="K1000" t="s">
        <v>2043</v>
      </c>
      <c r="L1000" t="s">
        <v>6184</v>
      </c>
      <c r="M1000" t="s">
        <v>482</v>
      </c>
    </row>
    <row r="1001" spans="1:13" x14ac:dyDescent="0.15">
      <c r="A1001" t="s">
        <v>6185</v>
      </c>
      <c r="B1001" t="s">
        <v>14</v>
      </c>
      <c r="C1001" t="s">
        <v>23</v>
      </c>
      <c r="D1001" t="s">
        <v>6186</v>
      </c>
      <c r="E1001" t="s">
        <v>6187</v>
      </c>
      <c r="F1001" t="s">
        <v>6188</v>
      </c>
      <c r="G1001" t="s">
        <v>6189</v>
      </c>
      <c r="H1001" t="s">
        <v>6189</v>
      </c>
      <c r="I1001" t="s">
        <v>6190</v>
      </c>
      <c r="J1001" t="s">
        <v>514</v>
      </c>
      <c r="K1001" t="s">
        <v>239</v>
      </c>
      <c r="L1001" t="s">
        <v>6190</v>
      </c>
      <c r="M1001" t="s">
        <v>216</v>
      </c>
    </row>
    <row r="1002" spans="1:13" x14ac:dyDescent="0.15">
      <c r="A1002" t="s">
        <v>6191</v>
      </c>
      <c r="B1002" t="s">
        <v>14</v>
      </c>
      <c r="C1002" t="s">
        <v>118</v>
      </c>
      <c r="D1002" t="s">
        <v>6192</v>
      </c>
      <c r="E1002" t="s">
        <v>6193</v>
      </c>
      <c r="F1002" t="s">
        <v>6194</v>
      </c>
      <c r="G1002" t="s">
        <v>6195</v>
      </c>
      <c r="H1002" t="s">
        <v>6195</v>
      </c>
      <c r="I1002" t="s">
        <v>6196</v>
      </c>
      <c r="J1002" t="s">
        <v>514</v>
      </c>
      <c r="K1002" t="s">
        <v>819</v>
      </c>
      <c r="L1002" t="s">
        <v>6196</v>
      </c>
      <c r="M1002" t="s">
        <v>2486</v>
      </c>
    </row>
    <row r="1003" spans="1:13" x14ac:dyDescent="0.15">
      <c r="A1003" t="s">
        <v>6197</v>
      </c>
      <c r="B1003" t="s">
        <v>14</v>
      </c>
      <c r="C1003" t="s">
        <v>23</v>
      </c>
      <c r="D1003" t="s">
        <v>6198</v>
      </c>
      <c r="E1003" t="s">
        <v>6199</v>
      </c>
      <c r="F1003" t="s">
        <v>6200</v>
      </c>
      <c r="G1003" t="s">
        <v>6201</v>
      </c>
      <c r="H1003" t="s">
        <v>6201</v>
      </c>
      <c r="I1003" t="s">
        <v>6202</v>
      </c>
      <c r="J1003" t="s">
        <v>230</v>
      </c>
      <c r="K1003" t="s">
        <v>1030</v>
      </c>
      <c r="L1003" t="s">
        <v>6202</v>
      </c>
      <c r="M1003" t="s">
        <v>80</v>
      </c>
    </row>
    <row r="1004" spans="1:13" x14ac:dyDescent="0.15">
      <c r="A1004" t="s">
        <v>6203</v>
      </c>
      <c r="B1004" t="s">
        <v>14</v>
      </c>
      <c r="C1004" t="s">
        <v>118</v>
      </c>
      <c r="D1004" t="s">
        <v>6204</v>
      </c>
      <c r="E1004" t="s">
        <v>6205</v>
      </c>
      <c r="F1004" t="s">
        <v>6206</v>
      </c>
      <c r="G1004" t="s">
        <v>6207</v>
      </c>
      <c r="H1004" t="s">
        <v>6207</v>
      </c>
      <c r="I1004" t="s">
        <v>6208</v>
      </c>
      <c r="J1004" t="s">
        <v>230</v>
      </c>
      <c r="K1004" t="s">
        <v>819</v>
      </c>
      <c r="L1004" t="s">
        <v>6208</v>
      </c>
      <c r="M1004" t="s">
        <v>880</v>
      </c>
    </row>
    <row r="1005" spans="1:13" x14ac:dyDescent="0.15">
      <c r="A1005" t="s">
        <v>6209</v>
      </c>
      <c r="B1005" t="s">
        <v>14</v>
      </c>
      <c r="C1005" t="s">
        <v>118</v>
      </c>
      <c r="D1005" t="s">
        <v>6210</v>
      </c>
      <c r="E1005" t="s">
        <v>6211</v>
      </c>
      <c r="F1005" t="s">
        <v>6212</v>
      </c>
      <c r="G1005" t="s">
        <v>6213</v>
      </c>
      <c r="H1005" t="s">
        <v>6213</v>
      </c>
      <c r="I1005" t="s">
        <v>6214</v>
      </c>
      <c r="J1005" t="s">
        <v>230</v>
      </c>
      <c r="K1005" t="s">
        <v>339</v>
      </c>
      <c r="L1005" t="s">
        <v>6214</v>
      </c>
      <c r="M1005" t="s">
        <v>1725</v>
      </c>
    </row>
    <row r="1006" spans="1:13" x14ac:dyDescent="0.15">
      <c r="A1006" t="s">
        <v>6215</v>
      </c>
      <c r="B1006" t="s">
        <v>14</v>
      </c>
      <c r="C1006" t="s">
        <v>118</v>
      </c>
      <c r="D1006" t="s">
        <v>6216</v>
      </c>
      <c r="E1006" t="s">
        <v>6217</v>
      </c>
      <c r="F1006" t="s">
        <v>6218</v>
      </c>
      <c r="G1006" t="s">
        <v>6219</v>
      </c>
      <c r="H1006" t="s">
        <v>6219</v>
      </c>
      <c r="I1006" t="s">
        <v>6220</v>
      </c>
      <c r="J1006" t="s">
        <v>20</v>
      </c>
      <c r="K1006" t="s">
        <v>305</v>
      </c>
      <c r="L1006" t="s">
        <v>6220</v>
      </c>
      <c r="M1006" t="s">
        <v>432</v>
      </c>
    </row>
    <row r="1007" spans="1:13" x14ac:dyDescent="0.15">
      <c r="A1007" t="s">
        <v>6221</v>
      </c>
      <c r="B1007" t="s">
        <v>14</v>
      </c>
      <c r="C1007" t="s">
        <v>118</v>
      </c>
      <c r="D1007" t="s">
        <v>6222</v>
      </c>
      <c r="E1007" t="s">
        <v>6223</v>
      </c>
      <c r="F1007" t="s">
        <v>6224</v>
      </c>
      <c r="G1007" t="s">
        <v>6225</v>
      </c>
      <c r="H1007" t="s">
        <v>6225</v>
      </c>
      <c r="I1007" t="s">
        <v>6226</v>
      </c>
      <c r="J1007" t="s">
        <v>20</v>
      </c>
      <c r="K1007" t="s">
        <v>786</v>
      </c>
      <c r="L1007" t="s">
        <v>6226</v>
      </c>
      <c r="M1007" t="s">
        <v>432</v>
      </c>
    </row>
    <row r="1008" spans="1:13" x14ac:dyDescent="0.15">
      <c r="A1008" t="s">
        <v>6227</v>
      </c>
      <c r="B1008" t="s">
        <v>14</v>
      </c>
      <c r="C1008" t="s">
        <v>118</v>
      </c>
      <c r="D1008" t="s">
        <v>6228</v>
      </c>
      <c r="E1008" t="s">
        <v>6229</v>
      </c>
      <c r="F1008" t="s">
        <v>6230</v>
      </c>
      <c r="G1008" t="s">
        <v>6231</v>
      </c>
      <c r="H1008" t="s">
        <v>6231</v>
      </c>
      <c r="I1008" t="s">
        <v>6232</v>
      </c>
      <c r="J1008" t="s">
        <v>415</v>
      </c>
      <c r="K1008" t="s">
        <v>256</v>
      </c>
      <c r="L1008" t="s">
        <v>6232</v>
      </c>
      <c r="M1008" t="s">
        <v>361</v>
      </c>
    </row>
    <row r="1009" spans="1:13" x14ac:dyDescent="0.15">
      <c r="A1009" t="s">
        <v>6233</v>
      </c>
      <c r="B1009" t="s">
        <v>14</v>
      </c>
      <c r="C1009" t="s">
        <v>118</v>
      </c>
      <c r="D1009" t="s">
        <v>6234</v>
      </c>
      <c r="E1009" t="s">
        <v>6235</v>
      </c>
      <c r="F1009" t="s">
        <v>6236</v>
      </c>
      <c r="G1009" t="s">
        <v>6237</v>
      </c>
      <c r="H1009" t="s">
        <v>6237</v>
      </c>
      <c r="I1009" t="s">
        <v>6238</v>
      </c>
      <c r="J1009" t="s">
        <v>138</v>
      </c>
      <c r="K1009" t="s">
        <v>305</v>
      </c>
      <c r="L1009" t="s">
        <v>6238</v>
      </c>
      <c r="M1009" t="s">
        <v>1385</v>
      </c>
    </row>
    <row r="1010" spans="1:13" x14ac:dyDescent="0.15">
      <c r="A1010" t="s">
        <v>6239</v>
      </c>
      <c r="B1010" t="s">
        <v>14</v>
      </c>
      <c r="C1010" t="s">
        <v>118</v>
      </c>
      <c r="D1010" t="s">
        <v>6240</v>
      </c>
      <c r="E1010" t="s">
        <v>6241</v>
      </c>
      <c r="F1010" t="s">
        <v>6242</v>
      </c>
      <c r="G1010" t="s">
        <v>6243</v>
      </c>
      <c r="H1010" t="s">
        <v>6243</v>
      </c>
      <c r="I1010" t="s">
        <v>6244</v>
      </c>
      <c r="J1010" t="s">
        <v>138</v>
      </c>
      <c r="K1010" t="s">
        <v>4761</v>
      </c>
      <c r="L1010" t="s">
        <v>6244</v>
      </c>
      <c r="M1010" t="s">
        <v>1583</v>
      </c>
    </row>
    <row r="1011" spans="1:13" x14ac:dyDescent="0.15">
      <c r="A1011" t="s">
        <v>6245</v>
      </c>
      <c r="B1011" t="s">
        <v>14</v>
      </c>
      <c r="C1011" t="s">
        <v>118</v>
      </c>
      <c r="D1011" t="s">
        <v>6246</v>
      </c>
      <c r="E1011" t="s">
        <v>6247</v>
      </c>
      <c r="F1011" t="s">
        <v>6248</v>
      </c>
      <c r="G1011" t="s">
        <v>6249</v>
      </c>
      <c r="H1011" t="s">
        <v>6249</v>
      </c>
      <c r="I1011" t="s">
        <v>6250</v>
      </c>
      <c r="J1011" t="s">
        <v>481</v>
      </c>
      <c r="K1011" t="s">
        <v>2598</v>
      </c>
      <c r="L1011" t="s">
        <v>6250</v>
      </c>
      <c r="M1011" t="s">
        <v>4035</v>
      </c>
    </row>
    <row r="1012" spans="1:13" x14ac:dyDescent="0.15">
      <c r="A1012" t="s">
        <v>6251</v>
      </c>
      <c r="B1012" t="s">
        <v>14</v>
      </c>
      <c r="C1012" t="s">
        <v>118</v>
      </c>
      <c r="D1012" t="s">
        <v>6252</v>
      </c>
      <c r="E1012" t="s">
        <v>6253</v>
      </c>
      <c r="F1012" t="s">
        <v>6254</v>
      </c>
      <c r="G1012" t="s">
        <v>6255</v>
      </c>
      <c r="H1012" t="s">
        <v>6255</v>
      </c>
      <c r="I1012" t="s">
        <v>6256</v>
      </c>
      <c r="J1012" t="s">
        <v>138</v>
      </c>
      <c r="K1012" t="s">
        <v>439</v>
      </c>
      <c r="L1012" t="s">
        <v>6256</v>
      </c>
      <c r="M1012" t="s">
        <v>2979</v>
      </c>
    </row>
    <row r="1013" spans="1:13" x14ac:dyDescent="0.15">
      <c r="A1013" t="s">
        <v>6257</v>
      </c>
      <c r="B1013" t="s">
        <v>14</v>
      </c>
      <c r="C1013" t="s">
        <v>118</v>
      </c>
      <c r="D1013" t="s">
        <v>6258</v>
      </c>
      <c r="E1013" t="s">
        <v>6259</v>
      </c>
      <c r="F1013" t="s">
        <v>6260</v>
      </c>
      <c r="G1013" t="s">
        <v>6261</v>
      </c>
      <c r="H1013" t="s">
        <v>6261</v>
      </c>
      <c r="I1013" t="s">
        <v>6262</v>
      </c>
      <c r="J1013" t="s">
        <v>206</v>
      </c>
      <c r="K1013" t="s">
        <v>387</v>
      </c>
      <c r="L1013" t="s">
        <v>6262</v>
      </c>
      <c r="M1013" t="s">
        <v>165</v>
      </c>
    </row>
    <row r="1014" spans="1:13" x14ac:dyDescent="0.15">
      <c r="A1014" t="s">
        <v>6263</v>
      </c>
      <c r="B1014" t="s">
        <v>14</v>
      </c>
      <c r="C1014" t="s">
        <v>23</v>
      </c>
      <c r="D1014" t="s">
        <v>6264</v>
      </c>
      <c r="E1014" t="s">
        <v>6265</v>
      </c>
      <c r="F1014" t="s">
        <v>6266</v>
      </c>
      <c r="G1014" t="s">
        <v>6267</v>
      </c>
      <c r="H1014" t="s">
        <v>6267</v>
      </c>
      <c r="I1014" t="s">
        <v>6268</v>
      </c>
      <c r="J1014" t="s">
        <v>297</v>
      </c>
      <c r="K1014" t="s">
        <v>601</v>
      </c>
      <c r="L1014" t="s">
        <v>6269</v>
      </c>
      <c r="M1014" t="s">
        <v>104</v>
      </c>
    </row>
    <row r="1015" spans="1:13" x14ac:dyDescent="0.15">
      <c r="A1015" t="s">
        <v>6270</v>
      </c>
      <c r="B1015" t="s">
        <v>14</v>
      </c>
      <c r="C1015" t="s">
        <v>23</v>
      </c>
      <c r="D1015" t="s">
        <v>6271</v>
      </c>
      <c r="E1015" t="s">
        <v>6272</v>
      </c>
      <c r="F1015" t="s">
        <v>6273</v>
      </c>
      <c r="G1015" t="s">
        <v>6274</v>
      </c>
      <c r="H1015" t="s">
        <v>6274</v>
      </c>
      <c r="I1015" t="s">
        <v>6275</v>
      </c>
      <c r="J1015" t="s">
        <v>124</v>
      </c>
      <c r="K1015" t="s">
        <v>424</v>
      </c>
      <c r="L1015" t="s">
        <v>6275</v>
      </c>
      <c r="M1015" t="s">
        <v>104</v>
      </c>
    </row>
    <row r="1016" spans="1:13" x14ac:dyDescent="0.15">
      <c r="A1016" t="s">
        <v>6276</v>
      </c>
      <c r="B1016" t="s">
        <v>14</v>
      </c>
      <c r="C1016" t="s">
        <v>23</v>
      </c>
      <c r="D1016" t="s">
        <v>6277</v>
      </c>
      <c r="E1016" t="s">
        <v>6278</v>
      </c>
      <c r="F1016" t="s">
        <v>6279</v>
      </c>
      <c r="G1016" t="s">
        <v>3729</v>
      </c>
      <c r="H1016" t="s">
        <v>3729</v>
      </c>
      <c r="I1016" t="s">
        <v>6280</v>
      </c>
      <c r="J1016" t="s">
        <v>124</v>
      </c>
      <c r="K1016" t="s">
        <v>2043</v>
      </c>
      <c r="L1016" t="s">
        <v>6281</v>
      </c>
      <c r="M1016" t="s">
        <v>31</v>
      </c>
    </row>
    <row r="1017" spans="1:13" x14ac:dyDescent="0.15">
      <c r="A1017" t="s">
        <v>6282</v>
      </c>
      <c r="B1017" t="s">
        <v>14</v>
      </c>
      <c r="C1017" t="s">
        <v>23</v>
      </c>
      <c r="D1017" t="s">
        <v>6283</v>
      </c>
      <c r="E1017" t="s">
        <v>6284</v>
      </c>
      <c r="F1017" t="s">
        <v>6285</v>
      </c>
      <c r="G1017" t="s">
        <v>6286</v>
      </c>
      <c r="H1017" t="s">
        <v>6286</v>
      </c>
      <c r="I1017" t="s">
        <v>6287</v>
      </c>
      <c r="J1017" t="s">
        <v>124</v>
      </c>
      <c r="K1017" t="s">
        <v>1208</v>
      </c>
      <c r="L1017" t="s">
        <v>6288</v>
      </c>
      <c r="M1017" t="s">
        <v>31</v>
      </c>
    </row>
    <row r="1018" spans="1:13" x14ac:dyDescent="0.15">
      <c r="A1018" t="s">
        <v>6289</v>
      </c>
      <c r="B1018" t="s">
        <v>14</v>
      </c>
      <c r="C1018" t="s">
        <v>23</v>
      </c>
      <c r="D1018" t="s">
        <v>6290</v>
      </c>
      <c r="E1018" t="s">
        <v>6291</v>
      </c>
      <c r="F1018" t="s">
        <v>6292</v>
      </c>
      <c r="G1018" t="s">
        <v>6286</v>
      </c>
      <c r="H1018" t="s">
        <v>6286</v>
      </c>
      <c r="I1018" t="s">
        <v>6287</v>
      </c>
      <c r="J1018" t="s">
        <v>124</v>
      </c>
      <c r="K1018" t="s">
        <v>1882</v>
      </c>
      <c r="L1018" t="s">
        <v>6293</v>
      </c>
      <c r="M1018" t="s">
        <v>31</v>
      </c>
    </row>
    <row r="1019" spans="1:13" x14ac:dyDescent="0.15">
      <c r="A1019" t="s">
        <v>6294</v>
      </c>
      <c r="B1019" t="s">
        <v>14</v>
      </c>
      <c r="C1019" t="s">
        <v>118</v>
      </c>
      <c r="D1019" t="s">
        <v>6295</v>
      </c>
      <c r="E1019" t="s">
        <v>6296</v>
      </c>
      <c r="F1019" t="s">
        <v>6297</v>
      </c>
      <c r="G1019" t="s">
        <v>6298</v>
      </c>
      <c r="H1019" t="s">
        <v>6298</v>
      </c>
      <c r="I1019" t="s">
        <v>6299</v>
      </c>
      <c r="J1019" t="s">
        <v>2181</v>
      </c>
      <c r="K1019" t="s">
        <v>853</v>
      </c>
      <c r="L1019" t="s">
        <v>6300</v>
      </c>
      <c r="M1019" t="s">
        <v>21</v>
      </c>
    </row>
    <row r="1020" spans="1:13" x14ac:dyDescent="0.15">
      <c r="A1020" t="s">
        <v>6301</v>
      </c>
      <c r="B1020" t="s">
        <v>14</v>
      </c>
      <c r="C1020" t="s">
        <v>23</v>
      </c>
      <c r="D1020" t="s">
        <v>6302</v>
      </c>
      <c r="E1020" t="s">
        <v>6303</v>
      </c>
      <c r="F1020" t="s">
        <v>6304</v>
      </c>
      <c r="G1020" t="s">
        <v>6305</v>
      </c>
      <c r="H1020" t="s">
        <v>6305</v>
      </c>
      <c r="I1020" t="s">
        <v>6306</v>
      </c>
      <c r="J1020" t="s">
        <v>132</v>
      </c>
      <c r="K1020" t="s">
        <v>1979</v>
      </c>
      <c r="L1020" t="s">
        <v>4159</v>
      </c>
      <c r="M1020" t="s">
        <v>104</v>
      </c>
    </row>
    <row r="1021" spans="1:13" x14ac:dyDescent="0.15">
      <c r="A1021" t="s">
        <v>6307</v>
      </c>
      <c r="B1021" t="s">
        <v>14</v>
      </c>
      <c r="C1021" t="s">
        <v>23</v>
      </c>
      <c r="D1021" t="s">
        <v>5257</v>
      </c>
      <c r="E1021" t="s">
        <v>6308</v>
      </c>
      <c r="F1021" t="s">
        <v>6309</v>
      </c>
      <c r="G1021" t="s">
        <v>6310</v>
      </c>
      <c r="H1021" t="s">
        <v>6310</v>
      </c>
      <c r="I1021" t="s">
        <v>6311</v>
      </c>
      <c r="J1021" t="s">
        <v>415</v>
      </c>
      <c r="K1021" t="s">
        <v>709</v>
      </c>
      <c r="L1021" t="s">
        <v>6312</v>
      </c>
      <c r="M1021" t="s">
        <v>41</v>
      </c>
    </row>
    <row r="1022" spans="1:13" x14ac:dyDescent="0.15">
      <c r="A1022" t="s">
        <v>6313</v>
      </c>
      <c r="B1022" t="s">
        <v>14</v>
      </c>
      <c r="C1022" t="s">
        <v>23</v>
      </c>
      <c r="D1022" t="s">
        <v>6314</v>
      </c>
      <c r="E1022" t="s">
        <v>6315</v>
      </c>
      <c r="F1022" t="s">
        <v>6316</v>
      </c>
      <c r="G1022" t="s">
        <v>6317</v>
      </c>
      <c r="H1022" t="s">
        <v>6317</v>
      </c>
      <c r="I1022" t="s">
        <v>6318</v>
      </c>
      <c r="J1022" t="s">
        <v>415</v>
      </c>
      <c r="K1022" t="s">
        <v>832</v>
      </c>
      <c r="L1022" t="s">
        <v>6318</v>
      </c>
      <c r="M1022" t="s">
        <v>104</v>
      </c>
    </row>
    <row r="1023" spans="1:13" x14ac:dyDescent="0.15">
      <c r="A1023" t="s">
        <v>6319</v>
      </c>
      <c r="B1023" t="s">
        <v>14</v>
      </c>
      <c r="C1023" t="s">
        <v>118</v>
      </c>
      <c r="D1023" t="s">
        <v>6320</v>
      </c>
      <c r="E1023" t="s">
        <v>6321</v>
      </c>
      <c r="F1023" t="s">
        <v>6322</v>
      </c>
      <c r="G1023" t="s">
        <v>6323</v>
      </c>
      <c r="H1023" t="s">
        <v>145</v>
      </c>
      <c r="I1023" t="s">
        <v>6324</v>
      </c>
      <c r="J1023" t="s">
        <v>172</v>
      </c>
      <c r="K1023" t="s">
        <v>312</v>
      </c>
      <c r="L1023" t="s">
        <v>6324</v>
      </c>
      <c r="M1023" t="s">
        <v>104</v>
      </c>
    </row>
    <row r="1024" spans="1:13" x14ac:dyDescent="0.15">
      <c r="A1024" t="s">
        <v>6325</v>
      </c>
      <c r="B1024" t="s">
        <v>14</v>
      </c>
      <c r="C1024" t="s">
        <v>23</v>
      </c>
      <c r="D1024" t="s">
        <v>6326</v>
      </c>
      <c r="E1024" t="s">
        <v>6327</v>
      </c>
      <c r="F1024" t="s">
        <v>6328</v>
      </c>
      <c r="G1024" t="s">
        <v>70</v>
      </c>
      <c r="H1024" t="s">
        <v>70</v>
      </c>
      <c r="I1024" t="s">
        <v>6329</v>
      </c>
      <c r="J1024" t="s">
        <v>110</v>
      </c>
      <c r="K1024" t="s">
        <v>2729</v>
      </c>
      <c r="L1024" t="s">
        <v>6330</v>
      </c>
      <c r="M1024" t="s">
        <v>880</v>
      </c>
    </row>
    <row r="1025" spans="1:13" x14ac:dyDescent="0.15">
      <c r="A1025" t="s">
        <v>6331</v>
      </c>
      <c r="B1025" t="s">
        <v>14</v>
      </c>
      <c r="C1025" t="s">
        <v>23</v>
      </c>
      <c r="D1025" t="s">
        <v>6332</v>
      </c>
      <c r="E1025" t="s">
        <v>6333</v>
      </c>
      <c r="F1025" t="s">
        <v>6334</v>
      </c>
      <c r="G1025" t="s">
        <v>6335</v>
      </c>
      <c r="H1025" t="s">
        <v>6335</v>
      </c>
      <c r="I1025" t="s">
        <v>1058</v>
      </c>
      <c r="J1025" t="s">
        <v>110</v>
      </c>
      <c r="K1025" t="s">
        <v>647</v>
      </c>
      <c r="L1025" t="s">
        <v>6336</v>
      </c>
      <c r="M1025" t="s">
        <v>353</v>
      </c>
    </row>
    <row r="1026" spans="1:13" x14ac:dyDescent="0.15">
      <c r="A1026" t="s">
        <v>6337</v>
      </c>
      <c r="B1026" t="s">
        <v>14</v>
      </c>
      <c r="C1026" t="s">
        <v>118</v>
      </c>
      <c r="D1026" t="s">
        <v>6338</v>
      </c>
      <c r="E1026" t="s">
        <v>6339</v>
      </c>
      <c r="F1026" t="s">
        <v>6340</v>
      </c>
      <c r="G1026" t="s">
        <v>6341</v>
      </c>
      <c r="H1026" t="s">
        <v>6341</v>
      </c>
      <c r="I1026" t="s">
        <v>6342</v>
      </c>
      <c r="J1026" t="s">
        <v>514</v>
      </c>
      <c r="K1026" t="s">
        <v>215</v>
      </c>
      <c r="L1026" t="s">
        <v>6342</v>
      </c>
      <c r="M1026" t="s">
        <v>21</v>
      </c>
    </row>
    <row r="1027" spans="1:13" x14ac:dyDescent="0.15">
      <c r="A1027" t="s">
        <v>6343</v>
      </c>
      <c r="B1027" t="s">
        <v>14</v>
      </c>
      <c r="C1027" t="s">
        <v>118</v>
      </c>
      <c r="D1027" t="s">
        <v>6344</v>
      </c>
      <c r="E1027" t="s">
        <v>6345</v>
      </c>
      <c r="F1027" t="s">
        <v>6346</v>
      </c>
      <c r="G1027" t="s">
        <v>6347</v>
      </c>
      <c r="H1027" t="s">
        <v>6347</v>
      </c>
      <c r="I1027" t="s">
        <v>6348</v>
      </c>
      <c r="J1027" t="s">
        <v>1194</v>
      </c>
      <c r="K1027" t="s">
        <v>2037</v>
      </c>
      <c r="L1027" t="s">
        <v>6154</v>
      </c>
      <c r="M1027" t="s">
        <v>183</v>
      </c>
    </row>
    <row r="1028" spans="1:13" x14ac:dyDescent="0.15">
      <c r="A1028" t="s">
        <v>6349</v>
      </c>
      <c r="B1028" t="s">
        <v>14</v>
      </c>
      <c r="C1028" t="s">
        <v>23</v>
      </c>
      <c r="D1028" t="s">
        <v>6350</v>
      </c>
      <c r="E1028" t="s">
        <v>6351</v>
      </c>
      <c r="F1028" t="s">
        <v>6352</v>
      </c>
      <c r="G1028" t="s">
        <v>6353</v>
      </c>
      <c r="H1028" t="s">
        <v>6353</v>
      </c>
      <c r="I1028" t="s">
        <v>6354</v>
      </c>
      <c r="J1028" t="s">
        <v>20</v>
      </c>
      <c r="K1028" t="s">
        <v>6112</v>
      </c>
      <c r="L1028" t="s">
        <v>6355</v>
      </c>
      <c r="M1028" t="s">
        <v>80</v>
      </c>
    </row>
    <row r="1029" spans="1:13" x14ac:dyDescent="0.15">
      <c r="A1029" t="s">
        <v>6356</v>
      </c>
      <c r="B1029" t="s">
        <v>14</v>
      </c>
      <c r="C1029" t="s">
        <v>23</v>
      </c>
      <c r="D1029" t="s">
        <v>6357</v>
      </c>
      <c r="E1029" t="s">
        <v>6358</v>
      </c>
      <c r="F1029" t="s">
        <v>6359</v>
      </c>
      <c r="G1029" t="s">
        <v>6360</v>
      </c>
      <c r="H1029" t="s">
        <v>6360</v>
      </c>
      <c r="I1029" t="s">
        <v>6361</v>
      </c>
      <c r="J1029" t="s">
        <v>481</v>
      </c>
      <c r="K1029" t="s">
        <v>263</v>
      </c>
      <c r="L1029" t="s">
        <v>6361</v>
      </c>
      <c r="M1029" t="s">
        <v>41</v>
      </c>
    </row>
    <row r="1030" spans="1:13" x14ac:dyDescent="0.15">
      <c r="A1030" t="s">
        <v>6362</v>
      </c>
      <c r="B1030" t="s">
        <v>14</v>
      </c>
      <c r="C1030" t="s">
        <v>118</v>
      </c>
      <c r="D1030" t="s">
        <v>6363</v>
      </c>
      <c r="E1030" t="s">
        <v>6364</v>
      </c>
      <c r="F1030" t="s">
        <v>6365</v>
      </c>
      <c r="G1030" t="s">
        <v>5215</v>
      </c>
      <c r="H1030" t="s">
        <v>5215</v>
      </c>
      <c r="I1030" t="s">
        <v>6366</v>
      </c>
      <c r="J1030" t="s">
        <v>481</v>
      </c>
      <c r="K1030" t="s">
        <v>1001</v>
      </c>
      <c r="L1030" t="s">
        <v>6366</v>
      </c>
      <c r="M1030" t="s">
        <v>432</v>
      </c>
    </row>
    <row r="1031" spans="1:13" x14ac:dyDescent="0.15">
      <c r="A1031" t="s">
        <v>6367</v>
      </c>
      <c r="B1031" t="s">
        <v>14</v>
      </c>
      <c r="C1031" t="s">
        <v>15</v>
      </c>
      <c r="D1031" t="s">
        <v>6368</v>
      </c>
      <c r="E1031" t="s">
        <v>6369</v>
      </c>
      <c r="F1031" t="s">
        <v>6370</v>
      </c>
      <c r="H1031" t="s">
        <v>145</v>
      </c>
      <c r="J1031" t="s">
        <v>172</v>
      </c>
      <c r="M1031" t="s">
        <v>139</v>
      </c>
    </row>
    <row r="1032" spans="1:13" x14ac:dyDescent="0.15">
      <c r="A1032" t="s">
        <v>6371</v>
      </c>
      <c r="B1032" t="s">
        <v>14</v>
      </c>
      <c r="C1032" t="s">
        <v>118</v>
      </c>
      <c r="D1032" t="s">
        <v>6372</v>
      </c>
      <c r="E1032" t="s">
        <v>6373</v>
      </c>
      <c r="F1032" t="s">
        <v>6374</v>
      </c>
      <c r="G1032" t="s">
        <v>3402</v>
      </c>
      <c r="H1032" t="s">
        <v>3402</v>
      </c>
      <c r="I1032" t="s">
        <v>6375</v>
      </c>
      <c r="J1032" t="s">
        <v>415</v>
      </c>
      <c r="K1032" t="s">
        <v>938</v>
      </c>
      <c r="L1032" t="s">
        <v>6375</v>
      </c>
      <c r="M1032" t="s">
        <v>279</v>
      </c>
    </row>
    <row r="1033" spans="1:13" x14ac:dyDescent="0.15">
      <c r="A1033" t="s">
        <v>6376</v>
      </c>
      <c r="B1033" t="s">
        <v>14</v>
      </c>
      <c r="C1033" t="s">
        <v>118</v>
      </c>
      <c r="D1033" t="s">
        <v>6377</v>
      </c>
      <c r="E1033" t="s">
        <v>6378</v>
      </c>
      <c r="F1033" t="s">
        <v>6379</v>
      </c>
      <c r="G1033" t="s">
        <v>6380</v>
      </c>
      <c r="H1033" t="s">
        <v>6380</v>
      </c>
      <c r="I1033" t="s">
        <v>6381</v>
      </c>
      <c r="J1033" t="s">
        <v>214</v>
      </c>
      <c r="K1033" t="s">
        <v>506</v>
      </c>
      <c r="L1033" t="s">
        <v>6381</v>
      </c>
      <c r="M1033" t="s">
        <v>765</v>
      </c>
    </row>
    <row r="1034" spans="1:13" x14ac:dyDescent="0.15">
      <c r="A1034" t="s">
        <v>6382</v>
      </c>
      <c r="B1034" t="s">
        <v>14</v>
      </c>
      <c r="C1034" t="s">
        <v>23</v>
      </c>
      <c r="D1034" t="s">
        <v>6383</v>
      </c>
      <c r="E1034" t="s">
        <v>6384</v>
      </c>
      <c r="F1034" t="s">
        <v>6385</v>
      </c>
      <c r="G1034" t="s">
        <v>6386</v>
      </c>
      <c r="H1034" t="s">
        <v>6386</v>
      </c>
      <c r="I1034" t="s">
        <v>6387</v>
      </c>
      <c r="J1034" t="s">
        <v>2181</v>
      </c>
      <c r="K1034" t="s">
        <v>6388</v>
      </c>
      <c r="L1034" t="s">
        <v>6387</v>
      </c>
      <c r="M1034" t="s">
        <v>31</v>
      </c>
    </row>
    <row r="1035" spans="1:13" x14ac:dyDescent="0.15">
      <c r="A1035" t="s">
        <v>6389</v>
      </c>
      <c r="B1035" t="s">
        <v>14</v>
      </c>
      <c r="C1035" t="s">
        <v>118</v>
      </c>
      <c r="D1035" t="s">
        <v>6390</v>
      </c>
      <c r="E1035" t="s">
        <v>6391</v>
      </c>
      <c r="F1035" t="s">
        <v>6392</v>
      </c>
      <c r="G1035" t="s">
        <v>6393</v>
      </c>
      <c r="H1035" t="s">
        <v>6393</v>
      </c>
      <c r="I1035" t="s">
        <v>6394</v>
      </c>
      <c r="J1035" t="s">
        <v>206</v>
      </c>
      <c r="K1035" t="s">
        <v>339</v>
      </c>
      <c r="L1035" t="s">
        <v>6394</v>
      </c>
      <c r="M1035" t="s">
        <v>432</v>
      </c>
    </row>
    <row r="1036" spans="1:13" x14ac:dyDescent="0.15">
      <c r="A1036" t="s">
        <v>6395</v>
      </c>
      <c r="B1036" t="s">
        <v>14</v>
      </c>
      <c r="C1036" t="s">
        <v>118</v>
      </c>
      <c r="D1036" t="s">
        <v>2908</v>
      </c>
      <c r="E1036" t="s">
        <v>6396</v>
      </c>
      <c r="F1036" t="s">
        <v>6397</v>
      </c>
      <c r="G1036" t="s">
        <v>6398</v>
      </c>
      <c r="H1036" t="s">
        <v>6398</v>
      </c>
      <c r="I1036" t="s">
        <v>6399</v>
      </c>
      <c r="J1036" t="s">
        <v>206</v>
      </c>
      <c r="K1036" t="s">
        <v>6400</v>
      </c>
      <c r="L1036" t="s">
        <v>6399</v>
      </c>
      <c r="M1036" t="s">
        <v>1411</v>
      </c>
    </row>
    <row r="1037" spans="1:13" x14ac:dyDescent="0.15">
      <c r="A1037" t="s">
        <v>6401</v>
      </c>
      <c r="B1037" t="s">
        <v>14</v>
      </c>
      <c r="C1037" t="s">
        <v>118</v>
      </c>
      <c r="D1037" t="s">
        <v>2915</v>
      </c>
      <c r="E1037" t="s">
        <v>6402</v>
      </c>
      <c r="F1037" t="s">
        <v>6403</v>
      </c>
      <c r="G1037" t="s">
        <v>6404</v>
      </c>
      <c r="H1037" t="s">
        <v>6404</v>
      </c>
      <c r="I1037" t="s">
        <v>6405</v>
      </c>
      <c r="J1037" t="s">
        <v>206</v>
      </c>
      <c r="K1037" t="s">
        <v>786</v>
      </c>
      <c r="L1037" t="s">
        <v>6405</v>
      </c>
      <c r="M1037" t="s">
        <v>1392</v>
      </c>
    </row>
    <row r="1038" spans="1:13" x14ac:dyDescent="0.15">
      <c r="A1038" t="s">
        <v>6406</v>
      </c>
      <c r="B1038" t="s">
        <v>14</v>
      </c>
      <c r="C1038" t="s">
        <v>23</v>
      </c>
      <c r="D1038" t="s">
        <v>6407</v>
      </c>
      <c r="E1038" t="s">
        <v>6408</v>
      </c>
      <c r="F1038" t="s">
        <v>6409</v>
      </c>
      <c r="G1038" t="s">
        <v>4497</v>
      </c>
      <c r="H1038" t="s">
        <v>4497</v>
      </c>
      <c r="I1038" t="s">
        <v>6410</v>
      </c>
      <c r="J1038" t="s">
        <v>230</v>
      </c>
      <c r="K1038" t="s">
        <v>4310</v>
      </c>
      <c r="L1038" t="s">
        <v>6410</v>
      </c>
      <c r="M1038" t="s">
        <v>80</v>
      </c>
    </row>
    <row r="1039" spans="1:13" x14ac:dyDescent="0.15">
      <c r="A1039" t="s">
        <v>6411</v>
      </c>
      <c r="B1039" t="s">
        <v>14</v>
      </c>
      <c r="C1039" t="s">
        <v>23</v>
      </c>
      <c r="D1039" t="s">
        <v>6412</v>
      </c>
      <c r="E1039" t="s">
        <v>6413</v>
      </c>
      <c r="F1039" t="s">
        <v>6414</v>
      </c>
      <c r="G1039" t="s">
        <v>6415</v>
      </c>
      <c r="H1039" t="s">
        <v>6415</v>
      </c>
      <c r="I1039" t="s">
        <v>6416</v>
      </c>
      <c r="J1039" t="s">
        <v>1037</v>
      </c>
      <c r="K1039" t="s">
        <v>1743</v>
      </c>
      <c r="L1039" t="s">
        <v>4227</v>
      </c>
      <c r="M1039" t="s">
        <v>31</v>
      </c>
    </row>
    <row r="1040" spans="1:13" x14ac:dyDescent="0.15">
      <c r="A1040" t="s">
        <v>6417</v>
      </c>
      <c r="B1040" t="s">
        <v>14</v>
      </c>
      <c r="C1040" t="s">
        <v>23</v>
      </c>
      <c r="D1040" t="s">
        <v>6418</v>
      </c>
      <c r="E1040" t="s">
        <v>6419</v>
      </c>
      <c r="F1040" t="s">
        <v>6420</v>
      </c>
      <c r="G1040" t="s">
        <v>6421</v>
      </c>
      <c r="H1040" t="s">
        <v>6421</v>
      </c>
      <c r="I1040" t="s">
        <v>6422</v>
      </c>
      <c r="J1040" t="s">
        <v>20</v>
      </c>
      <c r="K1040" t="s">
        <v>256</v>
      </c>
      <c r="L1040" t="s">
        <v>6422</v>
      </c>
      <c r="M1040" t="s">
        <v>104</v>
      </c>
    </row>
    <row r="1041" spans="1:13" x14ac:dyDescent="0.15">
      <c r="A1041" t="s">
        <v>6423</v>
      </c>
      <c r="B1041" t="s">
        <v>14</v>
      </c>
      <c r="C1041" t="s">
        <v>23</v>
      </c>
      <c r="D1041" t="s">
        <v>6424</v>
      </c>
      <c r="E1041" t="s">
        <v>6425</v>
      </c>
      <c r="F1041" t="s">
        <v>6426</v>
      </c>
      <c r="G1041" t="s">
        <v>909</v>
      </c>
      <c r="H1041" t="s">
        <v>909</v>
      </c>
      <c r="I1041" t="s">
        <v>6427</v>
      </c>
      <c r="J1041" t="s">
        <v>124</v>
      </c>
      <c r="K1041" t="s">
        <v>1281</v>
      </c>
      <c r="L1041" t="s">
        <v>2873</v>
      </c>
      <c r="M1041" t="s">
        <v>41</v>
      </c>
    </row>
    <row r="1042" spans="1:13" x14ac:dyDescent="0.15">
      <c r="A1042" t="s">
        <v>6428</v>
      </c>
      <c r="B1042" t="s">
        <v>14</v>
      </c>
      <c r="C1042" t="s">
        <v>23</v>
      </c>
      <c r="D1042" t="s">
        <v>6429</v>
      </c>
      <c r="E1042" t="s">
        <v>6430</v>
      </c>
      <c r="F1042" t="s">
        <v>6431</v>
      </c>
      <c r="G1042" t="s">
        <v>6432</v>
      </c>
      <c r="H1042" t="s">
        <v>6432</v>
      </c>
      <c r="I1042" t="s">
        <v>6433</v>
      </c>
      <c r="J1042" t="s">
        <v>344</v>
      </c>
      <c r="K1042" t="s">
        <v>1208</v>
      </c>
      <c r="L1042" t="s">
        <v>6434</v>
      </c>
      <c r="M1042" t="s">
        <v>80</v>
      </c>
    </row>
    <row r="1043" spans="1:13" x14ac:dyDescent="0.15">
      <c r="A1043" t="s">
        <v>6435</v>
      </c>
      <c r="B1043" t="s">
        <v>14</v>
      </c>
      <c r="C1043" t="s">
        <v>23</v>
      </c>
      <c r="D1043" t="s">
        <v>6436</v>
      </c>
      <c r="E1043" t="s">
        <v>6437</v>
      </c>
      <c r="F1043" t="s">
        <v>6438</v>
      </c>
      <c r="G1043" t="s">
        <v>5343</v>
      </c>
      <c r="H1043" t="s">
        <v>5343</v>
      </c>
      <c r="I1043" t="s">
        <v>6439</v>
      </c>
      <c r="J1043" t="s">
        <v>344</v>
      </c>
      <c r="K1043" t="s">
        <v>723</v>
      </c>
      <c r="L1043" t="s">
        <v>6440</v>
      </c>
      <c r="M1043" t="s">
        <v>80</v>
      </c>
    </row>
    <row r="1044" spans="1:13" x14ac:dyDescent="0.15">
      <c r="A1044" t="s">
        <v>6441</v>
      </c>
      <c r="B1044" t="s">
        <v>14</v>
      </c>
      <c r="C1044" t="s">
        <v>118</v>
      </c>
      <c r="D1044" t="s">
        <v>6442</v>
      </c>
      <c r="E1044" t="s">
        <v>6443</v>
      </c>
      <c r="F1044" t="s">
        <v>6444</v>
      </c>
      <c r="G1044" t="s">
        <v>6445</v>
      </c>
      <c r="H1044" t="s">
        <v>6445</v>
      </c>
      <c r="I1044" t="s">
        <v>6446</v>
      </c>
      <c r="J1044" t="s">
        <v>344</v>
      </c>
      <c r="K1044" t="s">
        <v>6447</v>
      </c>
      <c r="L1044" t="s">
        <v>49</v>
      </c>
      <c r="M1044" t="s">
        <v>183</v>
      </c>
    </row>
    <row r="1045" spans="1:13" x14ac:dyDescent="0.15">
      <c r="A1045" t="s">
        <v>6448</v>
      </c>
      <c r="B1045" t="s">
        <v>14</v>
      </c>
      <c r="C1045" t="s">
        <v>118</v>
      </c>
      <c r="D1045" t="s">
        <v>6084</v>
      </c>
      <c r="E1045" t="s">
        <v>6449</v>
      </c>
      <c r="F1045" t="s">
        <v>6450</v>
      </c>
      <c r="H1045" t="s">
        <v>6087</v>
      </c>
      <c r="I1045" t="s">
        <v>6088</v>
      </c>
      <c r="J1045" t="s">
        <v>270</v>
      </c>
      <c r="M1045" t="s">
        <v>183</v>
      </c>
    </row>
    <row r="1046" spans="1:13" x14ac:dyDescent="0.15">
      <c r="A1046" t="s">
        <v>6451</v>
      </c>
      <c r="B1046" t="s">
        <v>14</v>
      </c>
      <c r="C1046" t="s">
        <v>118</v>
      </c>
      <c r="D1046" t="s">
        <v>6452</v>
      </c>
      <c r="E1046" t="s">
        <v>6453</v>
      </c>
      <c r="F1046" t="s">
        <v>6454</v>
      </c>
      <c r="H1046" t="s">
        <v>6455</v>
      </c>
      <c r="I1046" t="s">
        <v>6456</v>
      </c>
      <c r="J1046" t="s">
        <v>270</v>
      </c>
      <c r="K1046" t="s">
        <v>2598</v>
      </c>
      <c r="L1046" t="s">
        <v>6456</v>
      </c>
      <c r="M1046" t="s">
        <v>183</v>
      </c>
    </row>
    <row r="1047" spans="1:13" x14ac:dyDescent="0.15">
      <c r="A1047" t="s">
        <v>6457</v>
      </c>
      <c r="B1047" t="s">
        <v>14</v>
      </c>
      <c r="C1047" t="s">
        <v>118</v>
      </c>
      <c r="D1047" t="s">
        <v>6458</v>
      </c>
      <c r="E1047" t="s">
        <v>6459</v>
      </c>
      <c r="F1047" t="s">
        <v>6460</v>
      </c>
      <c r="G1047" t="s">
        <v>6461</v>
      </c>
      <c r="H1047" t="s">
        <v>6461</v>
      </c>
      <c r="I1047" t="s">
        <v>6462</v>
      </c>
      <c r="J1047" t="s">
        <v>415</v>
      </c>
      <c r="K1047" t="s">
        <v>1582</v>
      </c>
      <c r="L1047" t="s">
        <v>6462</v>
      </c>
      <c r="M1047" t="s">
        <v>361</v>
      </c>
    </row>
    <row r="1048" spans="1:13" x14ac:dyDescent="0.15">
      <c r="A1048" t="s">
        <v>6463</v>
      </c>
      <c r="B1048" t="s">
        <v>14</v>
      </c>
      <c r="C1048" t="s">
        <v>118</v>
      </c>
      <c r="D1048" t="s">
        <v>6464</v>
      </c>
      <c r="E1048" t="s">
        <v>6465</v>
      </c>
      <c r="F1048" t="s">
        <v>6466</v>
      </c>
      <c r="G1048" t="s">
        <v>6467</v>
      </c>
      <c r="H1048" t="s">
        <v>145</v>
      </c>
      <c r="I1048" t="s">
        <v>145</v>
      </c>
      <c r="J1048" t="s">
        <v>2205</v>
      </c>
      <c r="K1048" t="s">
        <v>832</v>
      </c>
      <c r="L1048" t="s">
        <v>6468</v>
      </c>
      <c r="M1048" t="s">
        <v>183</v>
      </c>
    </row>
    <row r="1049" spans="1:13" x14ac:dyDescent="0.15">
      <c r="A1049" t="s">
        <v>6469</v>
      </c>
      <c r="B1049" t="s">
        <v>14</v>
      </c>
      <c r="C1049" t="s">
        <v>118</v>
      </c>
      <c r="D1049" t="s">
        <v>6470</v>
      </c>
      <c r="E1049" t="s">
        <v>6471</v>
      </c>
      <c r="F1049" t="s">
        <v>6472</v>
      </c>
      <c r="G1049" t="s">
        <v>6473</v>
      </c>
      <c r="H1049" t="s">
        <v>6473</v>
      </c>
      <c r="I1049" t="s">
        <v>6474</v>
      </c>
      <c r="J1049" t="s">
        <v>352</v>
      </c>
      <c r="K1049" t="s">
        <v>1672</v>
      </c>
      <c r="L1049" t="s">
        <v>6474</v>
      </c>
      <c r="M1049" t="s">
        <v>812</v>
      </c>
    </row>
    <row r="1050" spans="1:13" x14ac:dyDescent="0.15">
      <c r="A1050" t="s">
        <v>6475</v>
      </c>
      <c r="B1050" t="s">
        <v>14</v>
      </c>
      <c r="C1050" t="s">
        <v>118</v>
      </c>
      <c r="D1050" t="s">
        <v>6476</v>
      </c>
      <c r="E1050" t="s">
        <v>6477</v>
      </c>
      <c r="F1050" t="s">
        <v>6478</v>
      </c>
      <c r="G1050" t="s">
        <v>3906</v>
      </c>
      <c r="H1050" t="s">
        <v>3906</v>
      </c>
      <c r="I1050" t="s">
        <v>6479</v>
      </c>
      <c r="J1050" t="s">
        <v>352</v>
      </c>
      <c r="K1050" t="s">
        <v>1262</v>
      </c>
      <c r="L1050" t="s">
        <v>5067</v>
      </c>
      <c r="M1050" t="s">
        <v>432</v>
      </c>
    </row>
    <row r="1051" spans="1:13" x14ac:dyDescent="0.15">
      <c r="A1051" t="s">
        <v>6480</v>
      </c>
      <c r="B1051" t="s">
        <v>14</v>
      </c>
      <c r="C1051" t="s">
        <v>194</v>
      </c>
      <c r="D1051" t="s">
        <v>6481</v>
      </c>
      <c r="E1051" t="s">
        <v>6482</v>
      </c>
      <c r="F1051" t="s">
        <v>6483</v>
      </c>
      <c r="H1051" t="s">
        <v>6484</v>
      </c>
      <c r="J1051" t="s">
        <v>481</v>
      </c>
      <c r="M1051" t="s">
        <v>139</v>
      </c>
    </row>
    <row r="1052" spans="1:13" x14ac:dyDescent="0.15">
      <c r="A1052" t="s">
        <v>6485</v>
      </c>
      <c r="B1052" t="s">
        <v>14</v>
      </c>
      <c r="C1052" t="s">
        <v>23</v>
      </c>
      <c r="D1052" t="s">
        <v>6486</v>
      </c>
      <c r="E1052" t="s">
        <v>6487</v>
      </c>
      <c r="F1052" t="s">
        <v>6488</v>
      </c>
      <c r="G1052" t="s">
        <v>6489</v>
      </c>
      <c r="H1052" t="s">
        <v>6489</v>
      </c>
      <c r="I1052" t="s">
        <v>6490</v>
      </c>
      <c r="J1052" t="s">
        <v>1194</v>
      </c>
      <c r="K1052" t="s">
        <v>4042</v>
      </c>
      <c r="L1052" t="s">
        <v>6490</v>
      </c>
      <c r="M1052" t="s">
        <v>80</v>
      </c>
    </row>
    <row r="1053" spans="1:13" x14ac:dyDescent="0.15">
      <c r="A1053" t="s">
        <v>6491</v>
      </c>
      <c r="B1053" t="s">
        <v>14</v>
      </c>
      <c r="C1053" t="s">
        <v>118</v>
      </c>
      <c r="D1053" t="s">
        <v>6492</v>
      </c>
      <c r="E1053" t="s">
        <v>6493</v>
      </c>
      <c r="F1053" t="s">
        <v>6494</v>
      </c>
      <c r="H1053" t="s">
        <v>6495</v>
      </c>
      <c r="I1053" t="s">
        <v>6496</v>
      </c>
      <c r="J1053" t="s">
        <v>6497</v>
      </c>
      <c r="K1053" t="s">
        <v>1321</v>
      </c>
      <c r="L1053" t="s">
        <v>6498</v>
      </c>
      <c r="M1053" t="s">
        <v>183</v>
      </c>
    </row>
    <row r="1054" spans="1:13" x14ac:dyDescent="0.15">
      <c r="A1054" t="s">
        <v>6499</v>
      </c>
      <c r="B1054" t="s">
        <v>14</v>
      </c>
      <c r="C1054" t="s">
        <v>118</v>
      </c>
      <c r="D1054" t="s">
        <v>6500</v>
      </c>
      <c r="E1054" t="s">
        <v>6501</v>
      </c>
      <c r="F1054" t="s">
        <v>6502</v>
      </c>
      <c r="G1054" t="s">
        <v>6503</v>
      </c>
      <c r="H1054" t="s">
        <v>6503</v>
      </c>
      <c r="I1054" t="s">
        <v>6504</v>
      </c>
      <c r="J1054" t="s">
        <v>255</v>
      </c>
      <c r="K1054" t="s">
        <v>190</v>
      </c>
      <c r="L1054" t="s">
        <v>6504</v>
      </c>
      <c r="M1054" t="s">
        <v>248</v>
      </c>
    </row>
    <row r="1055" spans="1:13" x14ac:dyDescent="0.15">
      <c r="A1055" t="s">
        <v>6505</v>
      </c>
      <c r="B1055" t="s">
        <v>14</v>
      </c>
      <c r="C1055" t="s">
        <v>118</v>
      </c>
      <c r="D1055" t="s">
        <v>6506</v>
      </c>
      <c r="E1055" t="s">
        <v>6507</v>
      </c>
      <c r="F1055" t="s">
        <v>6508</v>
      </c>
      <c r="G1055" t="s">
        <v>6509</v>
      </c>
      <c r="H1055" t="s">
        <v>6509</v>
      </c>
      <c r="I1055" t="s">
        <v>6510</v>
      </c>
      <c r="J1055" t="s">
        <v>255</v>
      </c>
      <c r="K1055" t="s">
        <v>1125</v>
      </c>
      <c r="L1055" t="s">
        <v>6510</v>
      </c>
      <c r="M1055" t="s">
        <v>165</v>
      </c>
    </row>
    <row r="1056" spans="1:13" x14ac:dyDescent="0.15">
      <c r="A1056" t="s">
        <v>6511</v>
      </c>
      <c r="B1056" t="s">
        <v>14</v>
      </c>
      <c r="C1056" t="s">
        <v>23</v>
      </c>
      <c r="D1056" t="s">
        <v>6512</v>
      </c>
      <c r="E1056" t="s">
        <v>6513</v>
      </c>
      <c r="F1056" t="s">
        <v>6514</v>
      </c>
      <c r="G1056" t="s">
        <v>3110</v>
      </c>
      <c r="H1056" t="s">
        <v>3110</v>
      </c>
      <c r="I1056" t="s">
        <v>6515</v>
      </c>
      <c r="J1056" t="s">
        <v>29</v>
      </c>
      <c r="K1056" t="s">
        <v>1679</v>
      </c>
      <c r="L1056" t="s">
        <v>4445</v>
      </c>
      <c r="M1056" t="s">
        <v>104</v>
      </c>
    </row>
    <row r="1057" spans="1:13" x14ac:dyDescent="0.15">
      <c r="A1057" t="s">
        <v>6516</v>
      </c>
      <c r="B1057" t="s">
        <v>14</v>
      </c>
      <c r="C1057" t="s">
        <v>23</v>
      </c>
      <c r="D1057" t="s">
        <v>6517</v>
      </c>
      <c r="E1057" t="s">
        <v>6518</v>
      </c>
      <c r="F1057" t="s">
        <v>6519</v>
      </c>
      <c r="G1057" t="s">
        <v>6520</v>
      </c>
      <c r="H1057" t="s">
        <v>6520</v>
      </c>
      <c r="I1057" t="s">
        <v>6521</v>
      </c>
      <c r="J1057" t="s">
        <v>206</v>
      </c>
      <c r="K1057" t="s">
        <v>731</v>
      </c>
      <c r="L1057" t="s">
        <v>6521</v>
      </c>
      <c r="M1057" t="s">
        <v>80</v>
      </c>
    </row>
    <row r="1058" spans="1:13" x14ac:dyDescent="0.15">
      <c r="A1058" t="s">
        <v>6522</v>
      </c>
      <c r="B1058" t="s">
        <v>14</v>
      </c>
      <c r="C1058" t="s">
        <v>118</v>
      </c>
      <c r="D1058" t="s">
        <v>6523</v>
      </c>
      <c r="E1058" t="s">
        <v>6524</v>
      </c>
      <c r="F1058" t="s">
        <v>6525</v>
      </c>
      <c r="G1058" t="s">
        <v>6526</v>
      </c>
      <c r="H1058" t="s">
        <v>6526</v>
      </c>
      <c r="I1058" t="s">
        <v>6527</v>
      </c>
      <c r="J1058" t="s">
        <v>206</v>
      </c>
      <c r="K1058" t="s">
        <v>903</v>
      </c>
      <c r="L1058" t="s">
        <v>6527</v>
      </c>
      <c r="M1058" t="s">
        <v>126</v>
      </c>
    </row>
    <row r="1059" spans="1:13" x14ac:dyDescent="0.15">
      <c r="A1059" t="s">
        <v>6528</v>
      </c>
      <c r="B1059" t="s">
        <v>14</v>
      </c>
      <c r="C1059" t="s">
        <v>118</v>
      </c>
      <c r="D1059" t="s">
        <v>6529</v>
      </c>
      <c r="E1059" t="s">
        <v>6530</v>
      </c>
      <c r="F1059" t="s">
        <v>6531</v>
      </c>
      <c r="G1059" t="s">
        <v>6532</v>
      </c>
      <c r="H1059" t="s">
        <v>6532</v>
      </c>
      <c r="I1059" t="s">
        <v>6533</v>
      </c>
      <c r="J1059" t="s">
        <v>473</v>
      </c>
      <c r="K1059" t="s">
        <v>2499</v>
      </c>
      <c r="L1059" t="s">
        <v>6533</v>
      </c>
      <c r="M1059" t="s">
        <v>126</v>
      </c>
    </row>
    <row r="1060" spans="1:13" x14ac:dyDescent="0.15">
      <c r="A1060" t="s">
        <v>6534</v>
      </c>
      <c r="B1060" t="s">
        <v>14</v>
      </c>
      <c r="C1060" t="s">
        <v>118</v>
      </c>
      <c r="D1060" t="s">
        <v>6535</v>
      </c>
      <c r="E1060" t="s">
        <v>6536</v>
      </c>
      <c r="F1060" t="s">
        <v>6537</v>
      </c>
      <c r="G1060" t="s">
        <v>6538</v>
      </c>
      <c r="H1060" t="s">
        <v>6538</v>
      </c>
      <c r="I1060" t="s">
        <v>6539</v>
      </c>
      <c r="J1060" t="s">
        <v>473</v>
      </c>
      <c r="K1060" t="s">
        <v>30</v>
      </c>
      <c r="L1060" t="s">
        <v>6539</v>
      </c>
      <c r="M1060" t="s">
        <v>80</v>
      </c>
    </row>
    <row r="1061" spans="1:13" x14ac:dyDescent="0.15">
      <c r="A1061" t="s">
        <v>6540</v>
      </c>
      <c r="B1061" t="s">
        <v>14</v>
      </c>
      <c r="C1061" t="s">
        <v>23</v>
      </c>
      <c r="D1061" t="s">
        <v>6541</v>
      </c>
      <c r="E1061" t="s">
        <v>6542</v>
      </c>
      <c r="F1061" t="s">
        <v>6543</v>
      </c>
      <c r="G1061" t="s">
        <v>6544</v>
      </c>
      <c r="H1061" t="s">
        <v>6544</v>
      </c>
      <c r="I1061" t="s">
        <v>599</v>
      </c>
      <c r="J1061" t="s">
        <v>230</v>
      </c>
      <c r="K1061" t="s">
        <v>2598</v>
      </c>
      <c r="L1061" t="s">
        <v>599</v>
      </c>
      <c r="M1061" t="s">
        <v>104</v>
      </c>
    </row>
    <row r="1062" spans="1:13" x14ac:dyDescent="0.15">
      <c r="A1062" t="s">
        <v>6545</v>
      </c>
      <c r="B1062" t="s">
        <v>14</v>
      </c>
      <c r="C1062" t="s">
        <v>23</v>
      </c>
      <c r="D1062" t="s">
        <v>6546</v>
      </c>
      <c r="E1062" t="s">
        <v>6547</v>
      </c>
      <c r="F1062" t="s">
        <v>6548</v>
      </c>
      <c r="G1062" t="s">
        <v>6549</v>
      </c>
      <c r="H1062" t="s">
        <v>6549</v>
      </c>
      <c r="I1062" t="s">
        <v>6550</v>
      </c>
      <c r="J1062" t="s">
        <v>473</v>
      </c>
      <c r="K1062" t="s">
        <v>263</v>
      </c>
      <c r="L1062" t="s">
        <v>6550</v>
      </c>
      <c r="M1062" t="s">
        <v>216</v>
      </c>
    </row>
    <row r="1063" spans="1:13" x14ac:dyDescent="0.15">
      <c r="A1063" t="s">
        <v>6551</v>
      </c>
      <c r="B1063" t="s">
        <v>14</v>
      </c>
      <c r="C1063" t="s">
        <v>23</v>
      </c>
      <c r="D1063" t="s">
        <v>6552</v>
      </c>
      <c r="E1063" t="s">
        <v>6553</v>
      </c>
      <c r="F1063" t="s">
        <v>6554</v>
      </c>
      <c r="G1063" t="s">
        <v>6555</v>
      </c>
      <c r="H1063" t="s">
        <v>6555</v>
      </c>
      <c r="I1063" t="s">
        <v>6556</v>
      </c>
      <c r="J1063" t="s">
        <v>132</v>
      </c>
      <c r="K1063" t="s">
        <v>239</v>
      </c>
      <c r="L1063" t="s">
        <v>6557</v>
      </c>
      <c r="M1063" t="s">
        <v>104</v>
      </c>
    </row>
    <row r="1064" spans="1:13" x14ac:dyDescent="0.15">
      <c r="A1064" t="s">
        <v>6558</v>
      </c>
      <c r="B1064" t="s">
        <v>14</v>
      </c>
      <c r="C1064" t="s">
        <v>118</v>
      </c>
      <c r="D1064" t="s">
        <v>982</v>
      </c>
      <c r="E1064" t="s">
        <v>6559</v>
      </c>
      <c r="F1064" t="s">
        <v>6560</v>
      </c>
      <c r="G1064" t="s">
        <v>6561</v>
      </c>
      <c r="H1064" t="s">
        <v>6561</v>
      </c>
      <c r="I1064" t="s">
        <v>6562</v>
      </c>
      <c r="J1064" t="s">
        <v>156</v>
      </c>
      <c r="K1064" t="s">
        <v>608</v>
      </c>
      <c r="L1064" t="s">
        <v>6562</v>
      </c>
      <c r="M1064" t="s">
        <v>174</v>
      </c>
    </row>
    <row r="1065" spans="1:13" x14ac:dyDescent="0.15">
      <c r="A1065" t="s">
        <v>6563</v>
      </c>
      <c r="B1065" t="s">
        <v>14</v>
      </c>
      <c r="C1065" t="s">
        <v>118</v>
      </c>
      <c r="D1065" t="s">
        <v>992</v>
      </c>
      <c r="E1065" t="s">
        <v>6564</v>
      </c>
      <c r="F1065" t="s">
        <v>6565</v>
      </c>
      <c r="G1065" t="s">
        <v>6225</v>
      </c>
      <c r="H1065" t="s">
        <v>6225</v>
      </c>
      <c r="I1065" t="s">
        <v>6226</v>
      </c>
      <c r="J1065" t="s">
        <v>156</v>
      </c>
      <c r="K1065" t="s">
        <v>554</v>
      </c>
      <c r="L1065" t="s">
        <v>6226</v>
      </c>
      <c r="M1065" t="s">
        <v>165</v>
      </c>
    </row>
    <row r="1066" spans="1:13" x14ac:dyDescent="0.15">
      <c r="A1066" t="s">
        <v>6566</v>
      </c>
      <c r="B1066" t="s">
        <v>14</v>
      </c>
      <c r="C1066" t="s">
        <v>118</v>
      </c>
      <c r="D1066" t="s">
        <v>6567</v>
      </c>
      <c r="E1066" t="s">
        <v>6568</v>
      </c>
      <c r="F1066" t="s">
        <v>6569</v>
      </c>
      <c r="G1066" t="s">
        <v>6570</v>
      </c>
      <c r="H1066" t="s">
        <v>6570</v>
      </c>
      <c r="I1066" t="s">
        <v>6571</v>
      </c>
      <c r="J1066" t="s">
        <v>255</v>
      </c>
      <c r="K1066" t="s">
        <v>2667</v>
      </c>
      <c r="L1066" t="s">
        <v>6571</v>
      </c>
      <c r="M1066" t="s">
        <v>21</v>
      </c>
    </row>
    <row r="1067" spans="1:13" x14ac:dyDescent="0.15">
      <c r="A1067" t="s">
        <v>6572</v>
      </c>
      <c r="B1067" t="s">
        <v>14</v>
      </c>
      <c r="C1067" t="s">
        <v>23</v>
      </c>
      <c r="D1067" t="s">
        <v>6573</v>
      </c>
      <c r="E1067" t="s">
        <v>6574</v>
      </c>
      <c r="F1067" t="s">
        <v>6575</v>
      </c>
      <c r="G1067" t="s">
        <v>6576</v>
      </c>
      <c r="H1067" t="s">
        <v>6576</v>
      </c>
      <c r="I1067" t="s">
        <v>6577</v>
      </c>
      <c r="J1067" t="s">
        <v>521</v>
      </c>
      <c r="K1067" t="s">
        <v>1208</v>
      </c>
      <c r="L1067" t="s">
        <v>6578</v>
      </c>
      <c r="M1067" t="s">
        <v>216</v>
      </c>
    </row>
    <row r="1068" spans="1:13" x14ac:dyDescent="0.15">
      <c r="A1068" t="s">
        <v>6579</v>
      </c>
      <c r="B1068" t="s">
        <v>14</v>
      </c>
      <c r="C1068" t="s">
        <v>23</v>
      </c>
      <c r="D1068" t="s">
        <v>6580</v>
      </c>
      <c r="E1068" t="s">
        <v>6581</v>
      </c>
      <c r="F1068" t="s">
        <v>6582</v>
      </c>
      <c r="G1068" t="s">
        <v>6583</v>
      </c>
      <c r="H1068" t="s">
        <v>6583</v>
      </c>
      <c r="I1068" t="s">
        <v>6584</v>
      </c>
      <c r="J1068" t="s">
        <v>514</v>
      </c>
      <c r="K1068" t="s">
        <v>1078</v>
      </c>
      <c r="L1068" t="s">
        <v>6584</v>
      </c>
      <c r="M1068" t="s">
        <v>216</v>
      </c>
    </row>
    <row r="1069" spans="1:13" x14ac:dyDescent="0.15">
      <c r="A1069" t="s">
        <v>6585</v>
      </c>
      <c r="B1069" t="s">
        <v>14</v>
      </c>
      <c r="C1069" t="s">
        <v>23</v>
      </c>
      <c r="D1069" t="s">
        <v>6586</v>
      </c>
      <c r="E1069" t="s">
        <v>6587</v>
      </c>
      <c r="F1069" t="s">
        <v>6588</v>
      </c>
      <c r="G1069" t="s">
        <v>3168</v>
      </c>
      <c r="H1069" t="s">
        <v>3168</v>
      </c>
      <c r="I1069" t="s">
        <v>6589</v>
      </c>
      <c r="J1069" t="s">
        <v>514</v>
      </c>
      <c r="K1069" t="s">
        <v>2375</v>
      </c>
      <c r="L1069" t="s">
        <v>6589</v>
      </c>
      <c r="M1069" t="s">
        <v>216</v>
      </c>
    </row>
    <row r="1070" spans="1:13" x14ac:dyDescent="0.15">
      <c r="A1070" t="s">
        <v>6590</v>
      </c>
      <c r="B1070" t="s">
        <v>14</v>
      </c>
      <c r="C1070" t="s">
        <v>118</v>
      </c>
      <c r="D1070" t="s">
        <v>6591</v>
      </c>
      <c r="E1070" t="s">
        <v>6592</v>
      </c>
      <c r="F1070" t="s">
        <v>6593</v>
      </c>
      <c r="G1070" t="s">
        <v>6594</v>
      </c>
      <c r="H1070" t="s">
        <v>6594</v>
      </c>
      <c r="I1070" t="s">
        <v>6595</v>
      </c>
      <c r="J1070" t="s">
        <v>255</v>
      </c>
      <c r="K1070" t="s">
        <v>2499</v>
      </c>
      <c r="L1070" t="s">
        <v>6595</v>
      </c>
      <c r="M1070" t="s">
        <v>80</v>
      </c>
    </row>
    <row r="1071" spans="1:13" x14ac:dyDescent="0.15">
      <c r="A1071" t="s">
        <v>6596</v>
      </c>
      <c r="B1071" t="s">
        <v>14</v>
      </c>
      <c r="C1071" t="s">
        <v>23</v>
      </c>
      <c r="D1071" t="s">
        <v>6597</v>
      </c>
      <c r="E1071" t="s">
        <v>6598</v>
      </c>
      <c r="F1071" t="s">
        <v>6599</v>
      </c>
      <c r="G1071" t="s">
        <v>6600</v>
      </c>
      <c r="H1071" t="s">
        <v>6600</v>
      </c>
      <c r="I1071" t="s">
        <v>6601</v>
      </c>
      <c r="J1071" t="s">
        <v>230</v>
      </c>
      <c r="K1071" t="s">
        <v>1582</v>
      </c>
      <c r="L1071" t="s">
        <v>6601</v>
      </c>
      <c r="M1071" t="s">
        <v>104</v>
      </c>
    </row>
    <row r="1072" spans="1:13" x14ac:dyDescent="0.15">
      <c r="A1072" t="s">
        <v>6602</v>
      </c>
      <c r="B1072" t="s">
        <v>14</v>
      </c>
      <c r="C1072" t="s">
        <v>23</v>
      </c>
      <c r="D1072" t="s">
        <v>6603</v>
      </c>
      <c r="E1072" t="s">
        <v>6604</v>
      </c>
      <c r="F1072" t="s">
        <v>6605</v>
      </c>
      <c r="G1072" t="s">
        <v>4063</v>
      </c>
      <c r="H1072" t="s">
        <v>4063</v>
      </c>
      <c r="I1072" t="s">
        <v>6606</v>
      </c>
      <c r="J1072" t="s">
        <v>230</v>
      </c>
      <c r="K1072" t="s">
        <v>263</v>
      </c>
      <c r="L1072" t="s">
        <v>6606</v>
      </c>
      <c r="M1072" t="s">
        <v>104</v>
      </c>
    </row>
    <row r="1073" spans="1:13" x14ac:dyDescent="0.15">
      <c r="A1073" t="s">
        <v>6607</v>
      </c>
      <c r="B1073" t="s">
        <v>14</v>
      </c>
      <c r="C1073" t="s">
        <v>118</v>
      </c>
      <c r="D1073" t="s">
        <v>6608</v>
      </c>
      <c r="E1073" t="s">
        <v>6609</v>
      </c>
      <c r="F1073" t="s">
        <v>6610</v>
      </c>
      <c r="G1073" t="s">
        <v>6611</v>
      </c>
      <c r="H1073" t="s">
        <v>6611</v>
      </c>
      <c r="I1073" t="s">
        <v>6612</v>
      </c>
      <c r="J1073" t="s">
        <v>230</v>
      </c>
      <c r="K1073" t="s">
        <v>173</v>
      </c>
      <c r="L1073" t="s">
        <v>6612</v>
      </c>
      <c r="M1073" t="s">
        <v>2017</v>
      </c>
    </row>
    <row r="1074" spans="1:13" x14ac:dyDescent="0.15">
      <c r="A1074" t="s">
        <v>6613</v>
      </c>
      <c r="B1074" t="s">
        <v>14</v>
      </c>
      <c r="C1074" t="s">
        <v>118</v>
      </c>
      <c r="D1074" t="s">
        <v>6614</v>
      </c>
      <c r="E1074" t="s">
        <v>6615</v>
      </c>
      <c r="F1074" t="s">
        <v>6616</v>
      </c>
      <c r="G1074" t="s">
        <v>6617</v>
      </c>
      <c r="H1074" t="s">
        <v>6617</v>
      </c>
      <c r="I1074" t="s">
        <v>6618</v>
      </c>
      <c r="J1074" t="s">
        <v>230</v>
      </c>
      <c r="K1074" t="s">
        <v>1558</v>
      </c>
      <c r="L1074" t="s">
        <v>6618</v>
      </c>
      <c r="M1074" t="s">
        <v>765</v>
      </c>
    </row>
    <row r="1075" spans="1:13" x14ac:dyDescent="0.15">
      <c r="A1075" t="s">
        <v>6619</v>
      </c>
      <c r="B1075" t="s">
        <v>14</v>
      </c>
      <c r="C1075" t="s">
        <v>118</v>
      </c>
      <c r="D1075" t="s">
        <v>6036</v>
      </c>
      <c r="E1075" t="s">
        <v>6620</v>
      </c>
      <c r="F1075" t="s">
        <v>6621</v>
      </c>
      <c r="G1075" t="s">
        <v>6039</v>
      </c>
      <c r="H1075" t="s">
        <v>6039</v>
      </c>
      <c r="I1075" t="s">
        <v>6040</v>
      </c>
      <c r="J1075" t="s">
        <v>1194</v>
      </c>
      <c r="M1075" t="s">
        <v>1015</v>
      </c>
    </row>
    <row r="1076" spans="1:13" x14ac:dyDescent="0.15">
      <c r="A1076" t="s">
        <v>6622</v>
      </c>
      <c r="B1076" t="s">
        <v>14</v>
      </c>
      <c r="C1076" t="s">
        <v>118</v>
      </c>
      <c r="D1076" t="s">
        <v>6623</v>
      </c>
      <c r="E1076" t="s">
        <v>6624</v>
      </c>
      <c r="F1076" t="s">
        <v>6625</v>
      </c>
      <c r="G1076" t="s">
        <v>6626</v>
      </c>
      <c r="H1076" t="s">
        <v>6626</v>
      </c>
      <c r="I1076" t="s">
        <v>6627</v>
      </c>
      <c r="J1076" t="s">
        <v>230</v>
      </c>
      <c r="K1076" t="s">
        <v>1384</v>
      </c>
      <c r="L1076" t="s">
        <v>6627</v>
      </c>
      <c r="M1076" t="s">
        <v>2017</v>
      </c>
    </row>
    <row r="1077" spans="1:13" x14ac:dyDescent="0.15">
      <c r="A1077" t="s">
        <v>6628</v>
      </c>
      <c r="B1077" t="s">
        <v>14</v>
      </c>
      <c r="C1077" t="s">
        <v>23</v>
      </c>
      <c r="D1077" t="s">
        <v>6629</v>
      </c>
      <c r="E1077" t="s">
        <v>6630</v>
      </c>
      <c r="F1077" t="s">
        <v>6631</v>
      </c>
      <c r="G1077" t="s">
        <v>6632</v>
      </c>
      <c r="H1077" t="s">
        <v>6632</v>
      </c>
      <c r="I1077" t="s">
        <v>6633</v>
      </c>
      <c r="J1077" t="s">
        <v>297</v>
      </c>
      <c r="K1077" t="s">
        <v>6112</v>
      </c>
      <c r="L1077" t="s">
        <v>6312</v>
      </c>
      <c r="M1077" t="s">
        <v>41</v>
      </c>
    </row>
    <row r="1078" spans="1:13" x14ac:dyDescent="0.15">
      <c r="A1078" t="s">
        <v>6634</v>
      </c>
      <c r="B1078" t="s">
        <v>14</v>
      </c>
      <c r="C1078" t="s">
        <v>118</v>
      </c>
      <c r="D1078" t="s">
        <v>6635</v>
      </c>
      <c r="E1078" t="s">
        <v>6636</v>
      </c>
      <c r="F1078" t="s">
        <v>6637</v>
      </c>
      <c r="G1078" t="s">
        <v>6638</v>
      </c>
      <c r="H1078" t="s">
        <v>6638</v>
      </c>
      <c r="I1078" t="s">
        <v>6639</v>
      </c>
      <c r="J1078" t="s">
        <v>297</v>
      </c>
      <c r="K1078" t="s">
        <v>786</v>
      </c>
      <c r="L1078" t="s">
        <v>6639</v>
      </c>
      <c r="M1078" t="s">
        <v>432</v>
      </c>
    </row>
    <row r="1079" spans="1:13" x14ac:dyDescent="0.15">
      <c r="A1079" t="s">
        <v>6640</v>
      </c>
      <c r="B1079" t="s">
        <v>14</v>
      </c>
      <c r="C1079" t="s">
        <v>118</v>
      </c>
      <c r="D1079" t="s">
        <v>6641</v>
      </c>
      <c r="E1079" t="s">
        <v>6642</v>
      </c>
      <c r="F1079" t="s">
        <v>6643</v>
      </c>
      <c r="G1079" t="s">
        <v>3880</v>
      </c>
      <c r="H1079" t="s">
        <v>3880</v>
      </c>
      <c r="I1079" t="s">
        <v>6644</v>
      </c>
      <c r="J1079" t="s">
        <v>1194</v>
      </c>
      <c r="K1079" t="s">
        <v>2037</v>
      </c>
      <c r="L1079" t="s">
        <v>6645</v>
      </c>
      <c r="M1079" t="s">
        <v>21</v>
      </c>
    </row>
    <row r="1080" spans="1:13" x14ac:dyDescent="0.15">
      <c r="A1080" t="s">
        <v>6646</v>
      </c>
      <c r="B1080" t="s">
        <v>14</v>
      </c>
      <c r="C1080" t="s">
        <v>23</v>
      </c>
      <c r="D1080" t="s">
        <v>6647</v>
      </c>
      <c r="E1080" t="s">
        <v>6648</v>
      </c>
      <c r="F1080" t="s">
        <v>6649</v>
      </c>
      <c r="G1080" t="s">
        <v>6168</v>
      </c>
      <c r="H1080" t="s">
        <v>6168</v>
      </c>
      <c r="I1080" t="s">
        <v>3407</v>
      </c>
      <c r="J1080" t="s">
        <v>124</v>
      </c>
      <c r="K1080" t="s">
        <v>1281</v>
      </c>
      <c r="L1080" t="s">
        <v>6650</v>
      </c>
      <c r="M1080" t="s">
        <v>482</v>
      </c>
    </row>
    <row r="1081" spans="1:13" x14ac:dyDescent="0.15">
      <c r="A1081" t="s">
        <v>6651</v>
      </c>
      <c r="B1081" t="s">
        <v>14</v>
      </c>
      <c r="C1081" t="s">
        <v>23</v>
      </c>
      <c r="D1081" t="s">
        <v>6652</v>
      </c>
      <c r="E1081" t="s">
        <v>6653</v>
      </c>
      <c r="F1081" t="s">
        <v>6654</v>
      </c>
      <c r="G1081" t="s">
        <v>6168</v>
      </c>
      <c r="H1081" t="s">
        <v>6168</v>
      </c>
      <c r="I1081" t="s">
        <v>3407</v>
      </c>
      <c r="J1081" t="s">
        <v>124</v>
      </c>
      <c r="K1081" t="s">
        <v>1882</v>
      </c>
      <c r="L1081" t="s">
        <v>6655</v>
      </c>
      <c r="M1081" t="s">
        <v>482</v>
      </c>
    </row>
    <row r="1082" spans="1:13" x14ac:dyDescent="0.15">
      <c r="A1082" t="s">
        <v>6656</v>
      </c>
      <c r="B1082" t="s">
        <v>14</v>
      </c>
      <c r="C1082" t="s">
        <v>23</v>
      </c>
      <c r="D1082" t="s">
        <v>6657</v>
      </c>
      <c r="E1082" t="s">
        <v>6658</v>
      </c>
      <c r="F1082" t="s">
        <v>6659</v>
      </c>
      <c r="G1082" t="s">
        <v>2430</v>
      </c>
      <c r="H1082" t="s">
        <v>2430</v>
      </c>
      <c r="I1082" t="s">
        <v>6660</v>
      </c>
      <c r="J1082" t="s">
        <v>481</v>
      </c>
      <c r="K1082" t="s">
        <v>64</v>
      </c>
      <c r="L1082" t="s">
        <v>6660</v>
      </c>
      <c r="M1082" t="s">
        <v>104</v>
      </c>
    </row>
    <row r="1083" spans="1:13" x14ac:dyDescent="0.15">
      <c r="A1083" t="s">
        <v>6661</v>
      </c>
      <c r="B1083" t="s">
        <v>14</v>
      </c>
      <c r="C1083" t="s">
        <v>23</v>
      </c>
      <c r="D1083" t="s">
        <v>6662</v>
      </c>
      <c r="E1083" t="s">
        <v>6663</v>
      </c>
      <c r="F1083" t="s">
        <v>6664</v>
      </c>
      <c r="G1083" t="s">
        <v>6168</v>
      </c>
      <c r="H1083" t="s">
        <v>6168</v>
      </c>
      <c r="I1083" t="s">
        <v>3407</v>
      </c>
      <c r="J1083" t="s">
        <v>124</v>
      </c>
      <c r="K1083" t="s">
        <v>723</v>
      </c>
      <c r="L1083" t="s">
        <v>6665</v>
      </c>
      <c r="M1083" t="s">
        <v>482</v>
      </c>
    </row>
    <row r="1084" spans="1:13" x14ac:dyDescent="0.15">
      <c r="A1084" t="s">
        <v>6666</v>
      </c>
      <c r="B1084" t="s">
        <v>14</v>
      </c>
      <c r="C1084" t="s">
        <v>23</v>
      </c>
      <c r="D1084" t="s">
        <v>6667</v>
      </c>
      <c r="E1084" t="s">
        <v>6668</v>
      </c>
      <c r="F1084" t="s">
        <v>6669</v>
      </c>
      <c r="G1084" t="s">
        <v>6168</v>
      </c>
      <c r="H1084" t="s">
        <v>6168</v>
      </c>
      <c r="I1084" t="s">
        <v>3407</v>
      </c>
      <c r="J1084" t="s">
        <v>124</v>
      </c>
      <c r="K1084" t="s">
        <v>6670</v>
      </c>
      <c r="L1084" t="s">
        <v>6650</v>
      </c>
      <c r="M1084" t="s">
        <v>482</v>
      </c>
    </row>
    <row r="1085" spans="1:13" x14ac:dyDescent="0.15">
      <c r="A1085" t="s">
        <v>6671</v>
      </c>
      <c r="B1085" t="s">
        <v>14</v>
      </c>
      <c r="C1085" t="s">
        <v>118</v>
      </c>
      <c r="D1085" t="s">
        <v>6672</v>
      </c>
      <c r="E1085" t="s">
        <v>6673</v>
      </c>
      <c r="F1085" t="s">
        <v>6674</v>
      </c>
      <c r="G1085" t="s">
        <v>6675</v>
      </c>
      <c r="H1085" t="s">
        <v>6675</v>
      </c>
      <c r="I1085" t="s">
        <v>6676</v>
      </c>
      <c r="J1085" t="s">
        <v>626</v>
      </c>
      <c r="K1085" t="s">
        <v>3251</v>
      </c>
      <c r="L1085" t="s">
        <v>6676</v>
      </c>
      <c r="M1085" t="s">
        <v>41</v>
      </c>
    </row>
    <row r="1086" spans="1:13" x14ac:dyDescent="0.15">
      <c r="A1086" t="s">
        <v>6677</v>
      </c>
      <c r="B1086" t="s">
        <v>14</v>
      </c>
      <c r="C1086" t="s">
        <v>23</v>
      </c>
      <c r="D1086" t="s">
        <v>6678</v>
      </c>
      <c r="E1086" t="s">
        <v>6679</v>
      </c>
      <c r="F1086" t="s">
        <v>6680</v>
      </c>
      <c r="G1086" t="s">
        <v>6168</v>
      </c>
      <c r="H1086" t="s">
        <v>6168</v>
      </c>
      <c r="I1086" t="s">
        <v>3407</v>
      </c>
      <c r="J1086" t="s">
        <v>124</v>
      </c>
      <c r="K1086" t="s">
        <v>1208</v>
      </c>
      <c r="L1086" t="s">
        <v>414</v>
      </c>
      <c r="M1086" t="s">
        <v>482</v>
      </c>
    </row>
    <row r="1087" spans="1:13" x14ac:dyDescent="0.15">
      <c r="A1087" t="s">
        <v>6681</v>
      </c>
      <c r="B1087" t="s">
        <v>14</v>
      </c>
      <c r="C1087" t="s">
        <v>23</v>
      </c>
      <c r="D1087" t="s">
        <v>6682</v>
      </c>
      <c r="E1087" t="s">
        <v>6683</v>
      </c>
      <c r="F1087" t="s">
        <v>6684</v>
      </c>
      <c r="G1087" t="s">
        <v>6168</v>
      </c>
      <c r="H1087" t="s">
        <v>6168</v>
      </c>
      <c r="I1087" t="s">
        <v>3407</v>
      </c>
      <c r="J1087" t="s">
        <v>124</v>
      </c>
      <c r="K1087" t="s">
        <v>2043</v>
      </c>
      <c r="L1087" t="s">
        <v>3930</v>
      </c>
      <c r="M1087" t="s">
        <v>482</v>
      </c>
    </row>
    <row r="1088" spans="1:13" x14ac:dyDescent="0.15">
      <c r="A1088" t="s">
        <v>6685</v>
      </c>
      <c r="B1088" t="s">
        <v>14</v>
      </c>
      <c r="C1088" t="s">
        <v>118</v>
      </c>
      <c r="D1088" t="s">
        <v>6686</v>
      </c>
      <c r="E1088" t="s">
        <v>6687</v>
      </c>
      <c r="F1088" t="s">
        <v>6688</v>
      </c>
      <c r="G1088" t="s">
        <v>6689</v>
      </c>
      <c r="H1088" t="s">
        <v>6689</v>
      </c>
      <c r="I1088" t="s">
        <v>6690</v>
      </c>
      <c r="J1088" t="s">
        <v>344</v>
      </c>
      <c r="K1088" t="s">
        <v>312</v>
      </c>
      <c r="L1088" t="s">
        <v>6691</v>
      </c>
      <c r="M1088" t="s">
        <v>104</v>
      </c>
    </row>
    <row r="1089" spans="1:13" x14ac:dyDescent="0.15">
      <c r="A1089" t="s">
        <v>6692</v>
      </c>
      <c r="B1089" t="s">
        <v>14</v>
      </c>
      <c r="C1089" t="s">
        <v>118</v>
      </c>
      <c r="D1089" t="s">
        <v>6693</v>
      </c>
      <c r="E1089" t="s">
        <v>6694</v>
      </c>
      <c r="F1089" t="s">
        <v>6695</v>
      </c>
      <c r="G1089" t="s">
        <v>6696</v>
      </c>
      <c r="H1089" t="s">
        <v>6696</v>
      </c>
      <c r="I1089" t="s">
        <v>6697</v>
      </c>
      <c r="J1089" t="s">
        <v>344</v>
      </c>
      <c r="K1089" t="s">
        <v>1582</v>
      </c>
      <c r="L1089" t="s">
        <v>6697</v>
      </c>
      <c r="M1089" t="s">
        <v>812</v>
      </c>
    </row>
    <row r="1090" spans="1:13" x14ac:dyDescent="0.15">
      <c r="A1090" t="s">
        <v>6698</v>
      </c>
      <c r="B1090" t="s">
        <v>14</v>
      </c>
      <c r="C1090" t="s">
        <v>23</v>
      </c>
      <c r="D1090" t="s">
        <v>6699</v>
      </c>
      <c r="E1090" t="s">
        <v>6700</v>
      </c>
      <c r="F1090" t="s">
        <v>6701</v>
      </c>
      <c r="G1090" t="s">
        <v>6702</v>
      </c>
      <c r="H1090" t="s">
        <v>6702</v>
      </c>
      <c r="I1090" t="s">
        <v>6703</v>
      </c>
      <c r="J1090" t="s">
        <v>415</v>
      </c>
      <c r="K1090" t="s">
        <v>1078</v>
      </c>
      <c r="L1090" t="s">
        <v>6703</v>
      </c>
      <c r="M1090" t="s">
        <v>41</v>
      </c>
    </row>
    <row r="1091" spans="1:13" x14ac:dyDescent="0.15">
      <c r="A1091" t="s">
        <v>6704</v>
      </c>
      <c r="B1091" t="s">
        <v>14</v>
      </c>
      <c r="C1091" t="s">
        <v>23</v>
      </c>
      <c r="D1091" t="s">
        <v>6705</v>
      </c>
      <c r="E1091" t="s">
        <v>6706</v>
      </c>
      <c r="F1091" t="s">
        <v>6707</v>
      </c>
      <c r="G1091" t="s">
        <v>6708</v>
      </c>
      <c r="H1091" t="s">
        <v>6708</v>
      </c>
      <c r="I1091" t="s">
        <v>6709</v>
      </c>
      <c r="J1091" t="s">
        <v>521</v>
      </c>
      <c r="K1091" t="s">
        <v>239</v>
      </c>
      <c r="L1091" t="s">
        <v>6710</v>
      </c>
      <c r="M1091" t="s">
        <v>104</v>
      </c>
    </row>
    <row r="1092" spans="1:13" x14ac:dyDescent="0.15">
      <c r="A1092" t="s">
        <v>6711</v>
      </c>
      <c r="B1092" t="s">
        <v>14</v>
      </c>
      <c r="C1092" t="s">
        <v>15</v>
      </c>
      <c r="D1092" t="s">
        <v>6712</v>
      </c>
      <c r="E1092" t="s">
        <v>6713</v>
      </c>
      <c r="F1092" t="s">
        <v>6714</v>
      </c>
      <c r="G1092" t="s">
        <v>6715</v>
      </c>
      <c r="H1092" t="s">
        <v>6715</v>
      </c>
      <c r="J1092" t="s">
        <v>400</v>
      </c>
      <c r="M1092" t="s">
        <v>183</v>
      </c>
    </row>
    <row r="1093" spans="1:13" x14ac:dyDescent="0.15">
      <c r="A1093" t="s">
        <v>6716</v>
      </c>
      <c r="B1093" t="s">
        <v>14</v>
      </c>
      <c r="C1093" t="s">
        <v>23</v>
      </c>
      <c r="D1093" t="s">
        <v>6717</v>
      </c>
      <c r="E1093" t="s">
        <v>6718</v>
      </c>
      <c r="F1093" t="s">
        <v>6719</v>
      </c>
      <c r="G1093" t="s">
        <v>6720</v>
      </c>
      <c r="H1093" t="s">
        <v>6720</v>
      </c>
      <c r="I1093" t="s">
        <v>5048</v>
      </c>
      <c r="J1093" t="s">
        <v>297</v>
      </c>
      <c r="K1093" t="s">
        <v>263</v>
      </c>
      <c r="L1093" t="s">
        <v>5048</v>
      </c>
      <c r="M1093" t="s">
        <v>80</v>
      </c>
    </row>
    <row r="1094" spans="1:13" x14ac:dyDescent="0.15">
      <c r="A1094" t="s">
        <v>6721</v>
      </c>
      <c r="B1094" t="s">
        <v>14</v>
      </c>
      <c r="C1094" t="s">
        <v>23</v>
      </c>
      <c r="D1094" t="s">
        <v>6722</v>
      </c>
      <c r="E1094" t="s">
        <v>6723</v>
      </c>
      <c r="F1094" t="s">
        <v>6724</v>
      </c>
      <c r="G1094" t="s">
        <v>1807</v>
      </c>
      <c r="H1094" t="s">
        <v>1807</v>
      </c>
      <c r="I1094" t="s">
        <v>6725</v>
      </c>
      <c r="J1094" t="s">
        <v>344</v>
      </c>
      <c r="K1094" t="s">
        <v>2043</v>
      </c>
      <c r="L1094" t="s">
        <v>6726</v>
      </c>
      <c r="M1094" t="s">
        <v>80</v>
      </c>
    </row>
    <row r="1095" spans="1:13" x14ac:dyDescent="0.15">
      <c r="A1095" t="s">
        <v>6727</v>
      </c>
      <c r="B1095" t="s">
        <v>14</v>
      </c>
      <c r="C1095" t="s">
        <v>23</v>
      </c>
      <c r="D1095" t="s">
        <v>6728</v>
      </c>
      <c r="E1095" t="s">
        <v>6729</v>
      </c>
      <c r="F1095" t="s">
        <v>6724</v>
      </c>
      <c r="G1095" t="s">
        <v>6730</v>
      </c>
      <c r="H1095" t="s">
        <v>6730</v>
      </c>
      <c r="I1095" t="s">
        <v>6731</v>
      </c>
      <c r="J1095" t="s">
        <v>20</v>
      </c>
      <c r="K1095" t="s">
        <v>190</v>
      </c>
      <c r="L1095" t="s">
        <v>6731</v>
      </c>
      <c r="M1095" t="s">
        <v>104</v>
      </c>
    </row>
    <row r="1096" spans="1:13" x14ac:dyDescent="0.15">
      <c r="A1096" t="s">
        <v>6732</v>
      </c>
      <c r="B1096" t="s">
        <v>14</v>
      </c>
      <c r="C1096" t="s">
        <v>118</v>
      </c>
      <c r="D1096" t="s">
        <v>6344</v>
      </c>
      <c r="E1096" t="s">
        <v>6733</v>
      </c>
      <c r="F1096" t="s">
        <v>6734</v>
      </c>
      <c r="G1096" t="s">
        <v>6347</v>
      </c>
      <c r="H1096" t="s">
        <v>6347</v>
      </c>
      <c r="I1096" t="s">
        <v>6348</v>
      </c>
      <c r="J1096" t="s">
        <v>1194</v>
      </c>
      <c r="M1096" t="s">
        <v>21</v>
      </c>
    </row>
    <row r="1097" spans="1:13" x14ac:dyDescent="0.15">
      <c r="A1097" t="s">
        <v>6735</v>
      </c>
      <c r="B1097" t="s">
        <v>14</v>
      </c>
      <c r="C1097" t="s">
        <v>118</v>
      </c>
      <c r="D1097" t="s">
        <v>6736</v>
      </c>
      <c r="E1097" t="s">
        <v>6737</v>
      </c>
      <c r="F1097" t="s">
        <v>6738</v>
      </c>
      <c r="G1097" t="s">
        <v>6739</v>
      </c>
      <c r="H1097" t="s">
        <v>6739</v>
      </c>
      <c r="I1097" t="s">
        <v>6740</v>
      </c>
      <c r="J1097" t="s">
        <v>124</v>
      </c>
      <c r="K1097" t="s">
        <v>30</v>
      </c>
      <c r="L1097" t="s">
        <v>6740</v>
      </c>
      <c r="M1097" t="s">
        <v>3009</v>
      </c>
    </row>
    <row r="1098" spans="1:13" x14ac:dyDescent="0.15">
      <c r="A1098" t="s">
        <v>6741</v>
      </c>
      <c r="B1098" t="s">
        <v>14</v>
      </c>
      <c r="C1098" t="s">
        <v>118</v>
      </c>
      <c r="D1098" t="s">
        <v>6742</v>
      </c>
      <c r="E1098" t="s">
        <v>6743</v>
      </c>
      <c r="F1098" t="s">
        <v>6744</v>
      </c>
      <c r="G1098" t="s">
        <v>6745</v>
      </c>
      <c r="H1098" t="s">
        <v>6745</v>
      </c>
      <c r="I1098" t="s">
        <v>145</v>
      </c>
      <c r="J1098" t="s">
        <v>2181</v>
      </c>
      <c r="K1098" t="s">
        <v>2667</v>
      </c>
      <c r="L1098" t="s">
        <v>6746</v>
      </c>
      <c r="M1098" t="s">
        <v>192</v>
      </c>
    </row>
    <row r="1099" spans="1:13" x14ac:dyDescent="0.15">
      <c r="A1099" t="s">
        <v>6747</v>
      </c>
      <c r="B1099" t="s">
        <v>14</v>
      </c>
      <c r="C1099" t="s">
        <v>23</v>
      </c>
      <c r="D1099" t="s">
        <v>6748</v>
      </c>
      <c r="E1099" t="s">
        <v>6749</v>
      </c>
      <c r="F1099" t="s">
        <v>6750</v>
      </c>
      <c r="H1099" t="s">
        <v>6751</v>
      </c>
      <c r="I1099" t="s">
        <v>3558</v>
      </c>
      <c r="J1099" t="s">
        <v>270</v>
      </c>
      <c r="K1099" t="s">
        <v>3500</v>
      </c>
      <c r="L1099" t="s">
        <v>3558</v>
      </c>
      <c r="M1099" t="s">
        <v>31</v>
      </c>
    </row>
    <row r="1100" spans="1:13" x14ac:dyDescent="0.15">
      <c r="A1100" t="s">
        <v>6752</v>
      </c>
      <c r="B1100" t="s">
        <v>14</v>
      </c>
      <c r="C1100" t="s">
        <v>23</v>
      </c>
      <c r="D1100" t="s">
        <v>6753</v>
      </c>
      <c r="E1100" t="s">
        <v>6754</v>
      </c>
      <c r="F1100" t="s">
        <v>6755</v>
      </c>
      <c r="G1100" t="s">
        <v>6756</v>
      </c>
      <c r="H1100" t="s">
        <v>6756</v>
      </c>
      <c r="I1100" t="s">
        <v>6549</v>
      </c>
      <c r="J1100" t="s">
        <v>214</v>
      </c>
      <c r="K1100" t="s">
        <v>431</v>
      </c>
      <c r="L1100" t="s">
        <v>6549</v>
      </c>
      <c r="M1100" t="s">
        <v>41</v>
      </c>
    </row>
    <row r="1101" spans="1:13" x14ac:dyDescent="0.15">
      <c r="A1101" t="s">
        <v>6757</v>
      </c>
      <c r="B1101" t="s">
        <v>14</v>
      </c>
      <c r="C1101" t="s">
        <v>23</v>
      </c>
      <c r="D1101" t="s">
        <v>6758</v>
      </c>
      <c r="E1101" t="s">
        <v>6759</v>
      </c>
      <c r="F1101" t="s">
        <v>6760</v>
      </c>
      <c r="G1101" t="s">
        <v>6761</v>
      </c>
      <c r="H1101" t="s">
        <v>6761</v>
      </c>
      <c r="I1101" t="s">
        <v>6762</v>
      </c>
      <c r="J1101" t="s">
        <v>214</v>
      </c>
      <c r="K1101" t="s">
        <v>256</v>
      </c>
      <c r="L1101" t="s">
        <v>6762</v>
      </c>
      <c r="M1101" t="s">
        <v>41</v>
      </c>
    </row>
    <row r="1102" spans="1:13" x14ac:dyDescent="0.15">
      <c r="A1102" t="s">
        <v>6763</v>
      </c>
      <c r="B1102" t="s">
        <v>14</v>
      </c>
      <c r="C1102" t="s">
        <v>194</v>
      </c>
      <c r="D1102" t="s">
        <v>6764</v>
      </c>
      <c r="E1102" t="s">
        <v>6765</v>
      </c>
      <c r="F1102" t="s">
        <v>6766</v>
      </c>
      <c r="H1102" t="s">
        <v>6767</v>
      </c>
      <c r="J1102" t="s">
        <v>156</v>
      </c>
      <c r="M1102" t="s">
        <v>139</v>
      </c>
    </row>
    <row r="1103" spans="1:13" x14ac:dyDescent="0.15">
      <c r="A1103" t="s">
        <v>6768</v>
      </c>
      <c r="B1103" t="s">
        <v>14</v>
      </c>
      <c r="C1103" t="s">
        <v>118</v>
      </c>
      <c r="D1103" t="s">
        <v>6769</v>
      </c>
      <c r="E1103" t="s">
        <v>6770</v>
      </c>
      <c r="F1103" t="s">
        <v>6771</v>
      </c>
      <c r="H1103" t="s">
        <v>145</v>
      </c>
      <c r="I1103" t="s">
        <v>6772</v>
      </c>
      <c r="J1103" t="s">
        <v>6773</v>
      </c>
      <c r="K1103" t="s">
        <v>64</v>
      </c>
      <c r="L1103" t="s">
        <v>6772</v>
      </c>
      <c r="M1103" t="s">
        <v>126</v>
      </c>
    </row>
    <row r="1104" spans="1:13" x14ac:dyDescent="0.15">
      <c r="A1104" t="s">
        <v>6774</v>
      </c>
      <c r="B1104" t="s">
        <v>14</v>
      </c>
      <c r="C1104" t="s">
        <v>23</v>
      </c>
      <c r="D1104" t="s">
        <v>6775</v>
      </c>
      <c r="E1104" t="s">
        <v>6776</v>
      </c>
      <c r="F1104" t="s">
        <v>6777</v>
      </c>
      <c r="G1104" t="s">
        <v>6778</v>
      </c>
      <c r="H1104" t="s">
        <v>6778</v>
      </c>
      <c r="I1104" t="s">
        <v>6779</v>
      </c>
      <c r="J1104" t="s">
        <v>415</v>
      </c>
      <c r="K1104" t="s">
        <v>709</v>
      </c>
      <c r="L1104" t="s">
        <v>103</v>
      </c>
      <c r="M1104" t="s">
        <v>104</v>
      </c>
    </row>
    <row r="1105" spans="1:13" x14ac:dyDescent="0.15">
      <c r="A1105" t="s">
        <v>6780</v>
      </c>
      <c r="B1105" t="s">
        <v>14</v>
      </c>
      <c r="C1105" t="s">
        <v>118</v>
      </c>
      <c r="D1105" t="s">
        <v>6781</v>
      </c>
      <c r="E1105" t="s">
        <v>6782</v>
      </c>
      <c r="F1105" t="s">
        <v>6783</v>
      </c>
      <c r="G1105" t="s">
        <v>6784</v>
      </c>
      <c r="H1105" t="s">
        <v>6784</v>
      </c>
      <c r="I1105" t="s">
        <v>4886</v>
      </c>
      <c r="J1105" t="s">
        <v>1194</v>
      </c>
      <c r="K1105" t="s">
        <v>786</v>
      </c>
      <c r="L1105" t="s">
        <v>6784</v>
      </c>
      <c r="M1105" t="s">
        <v>165</v>
      </c>
    </row>
    <row r="1106" spans="1:13" x14ac:dyDescent="0.15">
      <c r="A1106" t="s">
        <v>6785</v>
      </c>
      <c r="B1106" t="s">
        <v>14</v>
      </c>
      <c r="C1106" t="s">
        <v>23</v>
      </c>
      <c r="D1106" t="s">
        <v>2131</v>
      </c>
      <c r="E1106" t="s">
        <v>6786</v>
      </c>
      <c r="F1106" t="s">
        <v>6787</v>
      </c>
      <c r="G1106" t="s">
        <v>6788</v>
      </c>
      <c r="H1106" t="s">
        <v>6788</v>
      </c>
      <c r="I1106" t="s">
        <v>6789</v>
      </c>
      <c r="J1106" t="s">
        <v>29</v>
      </c>
      <c r="K1106" t="s">
        <v>380</v>
      </c>
      <c r="L1106" t="s">
        <v>6789</v>
      </c>
      <c r="M1106" t="s">
        <v>248</v>
      </c>
    </row>
    <row r="1107" spans="1:13" x14ac:dyDescent="0.15">
      <c r="A1107" t="s">
        <v>6790</v>
      </c>
      <c r="B1107" t="s">
        <v>14</v>
      </c>
      <c r="C1107" t="s">
        <v>23</v>
      </c>
      <c r="D1107" t="s">
        <v>6791</v>
      </c>
      <c r="E1107" t="s">
        <v>6792</v>
      </c>
      <c r="F1107" t="s">
        <v>6793</v>
      </c>
      <c r="G1107" t="s">
        <v>6794</v>
      </c>
      <c r="H1107" t="s">
        <v>6794</v>
      </c>
      <c r="I1107" t="s">
        <v>6795</v>
      </c>
      <c r="J1107" t="s">
        <v>29</v>
      </c>
      <c r="K1107" t="s">
        <v>2499</v>
      </c>
      <c r="L1107" t="s">
        <v>3700</v>
      </c>
      <c r="M1107" t="s">
        <v>248</v>
      </c>
    </row>
    <row r="1108" spans="1:13" x14ac:dyDescent="0.15">
      <c r="A1108" t="s">
        <v>6796</v>
      </c>
      <c r="B1108" t="s">
        <v>14</v>
      </c>
      <c r="C1108" t="s">
        <v>23</v>
      </c>
      <c r="D1108" t="s">
        <v>6797</v>
      </c>
      <c r="E1108" t="s">
        <v>6798</v>
      </c>
      <c r="F1108" t="s">
        <v>6799</v>
      </c>
      <c r="G1108" t="s">
        <v>6800</v>
      </c>
      <c r="H1108" t="s">
        <v>6800</v>
      </c>
      <c r="I1108" t="s">
        <v>6801</v>
      </c>
      <c r="J1108" t="s">
        <v>29</v>
      </c>
      <c r="K1108" t="s">
        <v>2375</v>
      </c>
      <c r="L1108" t="s">
        <v>6801</v>
      </c>
      <c r="M1108" t="s">
        <v>248</v>
      </c>
    </row>
    <row r="1109" spans="1:13" x14ac:dyDescent="0.15">
      <c r="A1109" t="s">
        <v>6802</v>
      </c>
      <c r="B1109" t="s">
        <v>14</v>
      </c>
      <c r="C1109" t="s">
        <v>23</v>
      </c>
      <c r="D1109" t="s">
        <v>6803</v>
      </c>
      <c r="E1109" t="s">
        <v>6804</v>
      </c>
      <c r="F1109" t="s">
        <v>6805</v>
      </c>
      <c r="G1109" t="s">
        <v>6806</v>
      </c>
      <c r="H1109" t="s">
        <v>6806</v>
      </c>
      <c r="I1109" t="s">
        <v>6807</v>
      </c>
      <c r="J1109" t="s">
        <v>138</v>
      </c>
      <c r="K1109" t="s">
        <v>2406</v>
      </c>
      <c r="L1109" t="s">
        <v>6807</v>
      </c>
      <c r="M1109" t="s">
        <v>104</v>
      </c>
    </row>
    <row r="1110" spans="1:13" x14ac:dyDescent="0.15">
      <c r="A1110" t="s">
        <v>6808</v>
      </c>
      <c r="B1110" t="s">
        <v>14</v>
      </c>
      <c r="C1110" t="s">
        <v>23</v>
      </c>
      <c r="D1110" t="s">
        <v>6809</v>
      </c>
      <c r="E1110" t="s">
        <v>6810</v>
      </c>
      <c r="F1110" t="s">
        <v>6811</v>
      </c>
      <c r="G1110" t="s">
        <v>4572</v>
      </c>
      <c r="H1110" t="s">
        <v>4572</v>
      </c>
      <c r="I1110" t="s">
        <v>6812</v>
      </c>
      <c r="J1110" t="s">
        <v>1037</v>
      </c>
      <c r="K1110" t="s">
        <v>647</v>
      </c>
      <c r="L1110" t="s">
        <v>6813</v>
      </c>
      <c r="M1110" t="s">
        <v>31</v>
      </c>
    </row>
    <row r="1111" spans="1:13" x14ac:dyDescent="0.15">
      <c r="A1111" t="s">
        <v>6814</v>
      </c>
      <c r="B1111" t="s">
        <v>14</v>
      </c>
      <c r="C1111" t="s">
        <v>23</v>
      </c>
      <c r="D1111" t="s">
        <v>6815</v>
      </c>
      <c r="E1111" t="s">
        <v>6816</v>
      </c>
      <c r="F1111" t="s">
        <v>6817</v>
      </c>
      <c r="G1111" t="s">
        <v>6818</v>
      </c>
      <c r="H1111" t="s">
        <v>6818</v>
      </c>
      <c r="I1111" t="s">
        <v>6819</v>
      </c>
      <c r="J1111" t="s">
        <v>1037</v>
      </c>
      <c r="K1111" t="s">
        <v>6820</v>
      </c>
      <c r="L1111" t="s">
        <v>6821</v>
      </c>
      <c r="M1111" t="s">
        <v>482</v>
      </c>
    </row>
    <row r="1112" spans="1:13" x14ac:dyDescent="0.15">
      <c r="A1112" t="s">
        <v>6822</v>
      </c>
      <c r="B1112" t="s">
        <v>14</v>
      </c>
      <c r="C1112" t="s">
        <v>23</v>
      </c>
      <c r="D1112" t="s">
        <v>6823</v>
      </c>
      <c r="E1112" t="s">
        <v>6824</v>
      </c>
      <c r="F1112" t="s">
        <v>6825</v>
      </c>
      <c r="G1112" t="s">
        <v>6826</v>
      </c>
      <c r="H1112" t="s">
        <v>6826</v>
      </c>
      <c r="I1112" t="s">
        <v>6827</v>
      </c>
      <c r="J1112" t="s">
        <v>297</v>
      </c>
      <c r="K1112" t="s">
        <v>256</v>
      </c>
      <c r="L1112" t="s">
        <v>6827</v>
      </c>
      <c r="M1112" t="s">
        <v>216</v>
      </c>
    </row>
    <row r="1113" spans="1:13" x14ac:dyDescent="0.15">
      <c r="A1113" t="s">
        <v>6828</v>
      </c>
      <c r="B1113" t="s">
        <v>14</v>
      </c>
      <c r="C1113" t="s">
        <v>23</v>
      </c>
      <c r="D1113" t="s">
        <v>6829</v>
      </c>
      <c r="E1113" t="s">
        <v>6830</v>
      </c>
      <c r="F1113" t="s">
        <v>6831</v>
      </c>
      <c r="G1113" t="s">
        <v>6832</v>
      </c>
      <c r="H1113" t="s">
        <v>6832</v>
      </c>
      <c r="I1113" t="s">
        <v>6833</v>
      </c>
      <c r="J1113" t="s">
        <v>270</v>
      </c>
      <c r="K1113" t="s">
        <v>554</v>
      </c>
      <c r="L1113" t="s">
        <v>6833</v>
      </c>
      <c r="M1113" t="s">
        <v>812</v>
      </c>
    </row>
    <row r="1114" spans="1:13" x14ac:dyDescent="0.15">
      <c r="A1114" t="s">
        <v>6834</v>
      </c>
      <c r="B1114" t="s">
        <v>14</v>
      </c>
      <c r="C1114" t="s">
        <v>118</v>
      </c>
      <c r="D1114" t="s">
        <v>6835</v>
      </c>
      <c r="E1114" t="s">
        <v>6836</v>
      </c>
      <c r="F1114" t="s">
        <v>6837</v>
      </c>
      <c r="G1114" t="s">
        <v>6838</v>
      </c>
      <c r="H1114" t="s">
        <v>6838</v>
      </c>
      <c r="I1114" t="s">
        <v>6839</v>
      </c>
      <c r="J1114" t="s">
        <v>352</v>
      </c>
      <c r="K1114" t="s">
        <v>271</v>
      </c>
      <c r="L1114" t="s">
        <v>6839</v>
      </c>
      <c r="M1114" t="s">
        <v>1015</v>
      </c>
    </row>
    <row r="1115" spans="1:13" x14ac:dyDescent="0.15">
      <c r="A1115" t="s">
        <v>6840</v>
      </c>
      <c r="B1115" t="s">
        <v>14</v>
      </c>
      <c r="C1115" t="s">
        <v>194</v>
      </c>
      <c r="D1115" t="s">
        <v>6841</v>
      </c>
      <c r="E1115" t="s">
        <v>6842</v>
      </c>
      <c r="F1115" t="s">
        <v>6843</v>
      </c>
      <c r="G1115" t="s">
        <v>6844</v>
      </c>
      <c r="H1115" t="s">
        <v>4510</v>
      </c>
      <c r="J1115" t="s">
        <v>206</v>
      </c>
      <c r="M1115" t="s">
        <v>139</v>
      </c>
    </row>
    <row r="1116" spans="1:13" x14ac:dyDescent="0.15">
      <c r="A1116" t="s">
        <v>6845</v>
      </c>
      <c r="B1116" t="s">
        <v>14</v>
      </c>
      <c r="C1116" t="s">
        <v>118</v>
      </c>
      <c r="D1116" t="s">
        <v>6846</v>
      </c>
      <c r="E1116" t="s">
        <v>6847</v>
      </c>
      <c r="F1116" t="s">
        <v>6848</v>
      </c>
      <c r="G1116" t="s">
        <v>6849</v>
      </c>
      <c r="H1116" t="s">
        <v>6849</v>
      </c>
      <c r="I1116" t="s">
        <v>6850</v>
      </c>
      <c r="J1116" t="s">
        <v>352</v>
      </c>
      <c r="K1116" t="s">
        <v>540</v>
      </c>
      <c r="L1116" t="s">
        <v>6850</v>
      </c>
      <c r="M1116" t="s">
        <v>1015</v>
      </c>
    </row>
    <row r="1117" spans="1:13" x14ac:dyDescent="0.15">
      <c r="A1117" t="s">
        <v>6851</v>
      </c>
      <c r="B1117" t="s">
        <v>14</v>
      </c>
      <c r="C1117" t="s">
        <v>118</v>
      </c>
      <c r="D1117" t="s">
        <v>6852</v>
      </c>
      <c r="E1117" t="s">
        <v>6853</v>
      </c>
      <c r="F1117" t="s">
        <v>6854</v>
      </c>
      <c r="H1117" t="s">
        <v>145</v>
      </c>
      <c r="I1117" t="s">
        <v>145</v>
      </c>
      <c r="J1117" t="s">
        <v>172</v>
      </c>
      <c r="K1117" t="s">
        <v>786</v>
      </c>
      <c r="L1117" t="s">
        <v>6855</v>
      </c>
      <c r="M1117" t="s">
        <v>165</v>
      </c>
    </row>
    <row r="1118" spans="1:13" x14ac:dyDescent="0.15">
      <c r="A1118" t="s">
        <v>6856</v>
      </c>
      <c r="B1118" t="s">
        <v>14</v>
      </c>
      <c r="C1118" t="s">
        <v>23</v>
      </c>
      <c r="D1118" t="s">
        <v>6857</v>
      </c>
      <c r="E1118" t="s">
        <v>6858</v>
      </c>
      <c r="F1118" t="s">
        <v>6859</v>
      </c>
      <c r="G1118" t="s">
        <v>1704</v>
      </c>
      <c r="H1118" t="s">
        <v>1704</v>
      </c>
      <c r="I1118" t="s">
        <v>6361</v>
      </c>
      <c r="J1118" t="s">
        <v>352</v>
      </c>
      <c r="K1118" t="s">
        <v>2375</v>
      </c>
      <c r="L1118" t="s">
        <v>6361</v>
      </c>
      <c r="M1118" t="s">
        <v>104</v>
      </c>
    </row>
    <row r="1119" spans="1:13" x14ac:dyDescent="0.15">
      <c r="A1119" t="s">
        <v>6860</v>
      </c>
      <c r="B1119" t="s">
        <v>14</v>
      </c>
      <c r="C1119" t="s">
        <v>23</v>
      </c>
      <c r="D1119" t="s">
        <v>6861</v>
      </c>
      <c r="E1119" t="s">
        <v>6862</v>
      </c>
      <c r="F1119" t="s">
        <v>6863</v>
      </c>
      <c r="G1119" t="s">
        <v>6864</v>
      </c>
      <c r="H1119" t="s">
        <v>6864</v>
      </c>
      <c r="I1119" t="s">
        <v>6865</v>
      </c>
      <c r="J1119" t="s">
        <v>352</v>
      </c>
      <c r="K1119" t="s">
        <v>173</v>
      </c>
      <c r="L1119" t="s">
        <v>6865</v>
      </c>
      <c r="M1119" t="s">
        <v>104</v>
      </c>
    </row>
    <row r="1120" spans="1:13" x14ac:dyDescent="0.15">
      <c r="A1120" t="s">
        <v>6866</v>
      </c>
      <c r="B1120" t="s">
        <v>14</v>
      </c>
      <c r="C1120" t="s">
        <v>118</v>
      </c>
      <c r="D1120" t="s">
        <v>6867</v>
      </c>
      <c r="E1120" t="s">
        <v>6868</v>
      </c>
      <c r="F1120" t="s">
        <v>6869</v>
      </c>
      <c r="H1120" t="s">
        <v>145</v>
      </c>
      <c r="I1120" t="s">
        <v>145</v>
      </c>
      <c r="J1120" t="s">
        <v>172</v>
      </c>
      <c r="K1120" t="s">
        <v>387</v>
      </c>
      <c r="L1120" t="s">
        <v>6855</v>
      </c>
      <c r="M1120" t="s">
        <v>165</v>
      </c>
    </row>
    <row r="1121" spans="1:13" x14ac:dyDescent="0.15">
      <c r="A1121" t="s">
        <v>6870</v>
      </c>
      <c r="B1121" t="s">
        <v>14</v>
      </c>
      <c r="C1121" t="s">
        <v>23</v>
      </c>
      <c r="D1121" t="s">
        <v>6871</v>
      </c>
      <c r="E1121" t="s">
        <v>6872</v>
      </c>
      <c r="F1121" t="s">
        <v>6873</v>
      </c>
      <c r="G1121" t="s">
        <v>2003</v>
      </c>
      <c r="H1121" t="s">
        <v>2003</v>
      </c>
      <c r="I1121" t="s">
        <v>36</v>
      </c>
      <c r="J1121" t="s">
        <v>514</v>
      </c>
      <c r="K1121" t="s">
        <v>1170</v>
      </c>
      <c r="L1121" t="s">
        <v>36</v>
      </c>
      <c r="M1121" t="s">
        <v>104</v>
      </c>
    </row>
    <row r="1122" spans="1:13" x14ac:dyDescent="0.15">
      <c r="A1122" t="s">
        <v>6874</v>
      </c>
      <c r="B1122" t="s">
        <v>14</v>
      </c>
      <c r="C1122" t="s">
        <v>23</v>
      </c>
      <c r="D1122" t="s">
        <v>6875</v>
      </c>
      <c r="E1122" t="s">
        <v>6876</v>
      </c>
      <c r="F1122" t="s">
        <v>6877</v>
      </c>
      <c r="G1122" t="s">
        <v>6878</v>
      </c>
      <c r="H1122" t="s">
        <v>6878</v>
      </c>
      <c r="I1122" t="s">
        <v>6879</v>
      </c>
      <c r="J1122" t="s">
        <v>533</v>
      </c>
      <c r="K1122" t="s">
        <v>239</v>
      </c>
      <c r="L1122" t="s">
        <v>6879</v>
      </c>
      <c r="M1122" t="s">
        <v>104</v>
      </c>
    </row>
    <row r="1123" spans="1:13" x14ac:dyDescent="0.15">
      <c r="A1123" t="s">
        <v>6880</v>
      </c>
      <c r="B1123" t="s">
        <v>14</v>
      </c>
      <c r="C1123" t="s">
        <v>118</v>
      </c>
      <c r="D1123" t="s">
        <v>6881</v>
      </c>
      <c r="E1123" t="s">
        <v>6882</v>
      </c>
      <c r="F1123" t="s">
        <v>6883</v>
      </c>
      <c r="G1123" t="s">
        <v>6884</v>
      </c>
      <c r="H1123" t="s">
        <v>6884</v>
      </c>
      <c r="I1123" t="s">
        <v>379</v>
      </c>
      <c r="J1123" t="s">
        <v>230</v>
      </c>
      <c r="K1123" t="s">
        <v>554</v>
      </c>
      <c r="L1123" t="s">
        <v>379</v>
      </c>
      <c r="M1123" t="s">
        <v>1015</v>
      </c>
    </row>
    <row r="1124" spans="1:13" x14ac:dyDescent="0.15">
      <c r="A1124" t="s">
        <v>6885</v>
      </c>
      <c r="B1124" t="s">
        <v>14</v>
      </c>
      <c r="C1124" t="s">
        <v>118</v>
      </c>
      <c r="D1124" t="s">
        <v>6886</v>
      </c>
      <c r="E1124" t="s">
        <v>6887</v>
      </c>
      <c r="F1124" t="s">
        <v>6888</v>
      </c>
      <c r="J1124" t="s">
        <v>2181</v>
      </c>
      <c r="M1124" t="s">
        <v>1015</v>
      </c>
    </row>
    <row r="1125" spans="1:13" x14ac:dyDescent="0.15">
      <c r="A1125" t="s">
        <v>6889</v>
      </c>
      <c r="B1125" t="s">
        <v>14</v>
      </c>
      <c r="C1125" t="s">
        <v>118</v>
      </c>
      <c r="D1125" t="s">
        <v>6890</v>
      </c>
      <c r="E1125" t="s">
        <v>6891</v>
      </c>
      <c r="F1125" t="s">
        <v>6892</v>
      </c>
      <c r="G1125" t="s">
        <v>6893</v>
      </c>
      <c r="H1125" t="s">
        <v>6893</v>
      </c>
      <c r="I1125" t="s">
        <v>6894</v>
      </c>
      <c r="J1125" t="s">
        <v>514</v>
      </c>
      <c r="K1125" t="s">
        <v>173</v>
      </c>
      <c r="L1125" t="s">
        <v>6894</v>
      </c>
      <c r="M1125" t="s">
        <v>2979</v>
      </c>
    </row>
    <row r="1126" spans="1:13" x14ac:dyDescent="0.15">
      <c r="A1126" t="s">
        <v>6895</v>
      </c>
      <c r="B1126" t="s">
        <v>14</v>
      </c>
      <c r="C1126" t="s">
        <v>118</v>
      </c>
      <c r="D1126" t="s">
        <v>6896</v>
      </c>
      <c r="E1126" t="s">
        <v>6897</v>
      </c>
      <c r="F1126" t="s">
        <v>6898</v>
      </c>
      <c r="G1126" t="s">
        <v>6899</v>
      </c>
      <c r="H1126" t="s">
        <v>6899</v>
      </c>
      <c r="I1126" t="s">
        <v>6900</v>
      </c>
      <c r="J1126" t="s">
        <v>246</v>
      </c>
      <c r="K1126" t="s">
        <v>6901</v>
      </c>
      <c r="L1126" t="s">
        <v>6900</v>
      </c>
      <c r="M1126" t="s">
        <v>174</v>
      </c>
    </row>
    <row r="1127" spans="1:13" x14ac:dyDescent="0.15">
      <c r="A1127" t="s">
        <v>6902</v>
      </c>
      <c r="B1127" t="s">
        <v>14</v>
      </c>
      <c r="C1127" t="s">
        <v>118</v>
      </c>
      <c r="D1127" t="s">
        <v>6903</v>
      </c>
      <c r="E1127" t="s">
        <v>6904</v>
      </c>
      <c r="F1127" t="s">
        <v>6905</v>
      </c>
      <c r="G1127" t="s">
        <v>6906</v>
      </c>
      <c r="H1127" t="s">
        <v>6906</v>
      </c>
      <c r="I1127" t="s">
        <v>6907</v>
      </c>
      <c r="J1127" t="s">
        <v>246</v>
      </c>
      <c r="K1127" t="s">
        <v>2674</v>
      </c>
      <c r="L1127" t="s">
        <v>6907</v>
      </c>
      <c r="M1127" t="s">
        <v>165</v>
      </c>
    </row>
    <row r="1128" spans="1:13" x14ac:dyDescent="0.15">
      <c r="A1128" t="s">
        <v>6908</v>
      </c>
      <c r="B1128" t="s">
        <v>14</v>
      </c>
      <c r="C1128" t="s">
        <v>118</v>
      </c>
      <c r="D1128" t="s">
        <v>6909</v>
      </c>
      <c r="E1128" t="s">
        <v>6910</v>
      </c>
      <c r="F1128" t="s">
        <v>6911</v>
      </c>
      <c r="H1128" t="s">
        <v>145</v>
      </c>
      <c r="I1128" t="s">
        <v>145</v>
      </c>
      <c r="J1128" t="s">
        <v>172</v>
      </c>
      <c r="K1128" t="s">
        <v>554</v>
      </c>
      <c r="L1128" t="s">
        <v>6912</v>
      </c>
      <c r="M1128" t="s">
        <v>165</v>
      </c>
    </row>
    <row r="1129" spans="1:13" x14ac:dyDescent="0.15">
      <c r="A1129" t="s">
        <v>6913</v>
      </c>
      <c r="B1129" t="s">
        <v>14</v>
      </c>
      <c r="C1129" t="s">
        <v>118</v>
      </c>
      <c r="D1129" t="s">
        <v>6914</v>
      </c>
      <c r="E1129" t="s">
        <v>6915</v>
      </c>
      <c r="F1129" t="s">
        <v>6916</v>
      </c>
      <c r="G1129" t="s">
        <v>6917</v>
      </c>
      <c r="H1129" t="s">
        <v>6917</v>
      </c>
      <c r="I1129" t="s">
        <v>2734</v>
      </c>
      <c r="J1129" t="s">
        <v>246</v>
      </c>
      <c r="K1129" t="s">
        <v>2667</v>
      </c>
      <c r="L1129" t="s">
        <v>2734</v>
      </c>
      <c r="M1129" t="s">
        <v>432</v>
      </c>
    </row>
    <row r="1130" spans="1:13" x14ac:dyDescent="0.15">
      <c r="A1130" t="s">
        <v>6918</v>
      </c>
      <c r="B1130" t="s">
        <v>14</v>
      </c>
      <c r="C1130" t="s">
        <v>118</v>
      </c>
      <c r="D1130" t="s">
        <v>6919</v>
      </c>
      <c r="E1130" t="s">
        <v>6920</v>
      </c>
      <c r="F1130" t="s">
        <v>6921</v>
      </c>
      <c r="H1130" t="s">
        <v>145</v>
      </c>
      <c r="I1130" t="s">
        <v>145</v>
      </c>
      <c r="J1130" t="s">
        <v>172</v>
      </c>
      <c r="K1130" t="s">
        <v>980</v>
      </c>
      <c r="L1130" t="s">
        <v>6922</v>
      </c>
      <c r="M1130" t="s">
        <v>165</v>
      </c>
    </row>
    <row r="1131" spans="1:13" x14ac:dyDescent="0.15">
      <c r="A1131" t="s">
        <v>6923</v>
      </c>
      <c r="B1131" t="s">
        <v>14</v>
      </c>
      <c r="C1131" t="s">
        <v>118</v>
      </c>
      <c r="D1131" t="s">
        <v>6924</v>
      </c>
      <c r="E1131" t="s">
        <v>6925</v>
      </c>
      <c r="F1131" t="s">
        <v>6926</v>
      </c>
      <c r="H1131" t="s">
        <v>145</v>
      </c>
      <c r="I1131" t="s">
        <v>145</v>
      </c>
      <c r="J1131" t="s">
        <v>172</v>
      </c>
      <c r="K1131" t="s">
        <v>786</v>
      </c>
      <c r="L1131" t="s">
        <v>2911</v>
      </c>
      <c r="M1131" t="s">
        <v>165</v>
      </c>
    </row>
    <row r="1132" spans="1:13" x14ac:dyDescent="0.15">
      <c r="A1132" t="s">
        <v>6927</v>
      </c>
      <c r="B1132" t="s">
        <v>14</v>
      </c>
      <c r="C1132" t="s">
        <v>118</v>
      </c>
      <c r="D1132" t="s">
        <v>6928</v>
      </c>
      <c r="E1132" t="s">
        <v>6929</v>
      </c>
      <c r="F1132" t="s">
        <v>6930</v>
      </c>
      <c r="G1132" t="s">
        <v>6931</v>
      </c>
      <c r="H1132" t="s">
        <v>6931</v>
      </c>
      <c r="I1132" t="s">
        <v>6932</v>
      </c>
      <c r="J1132" t="s">
        <v>255</v>
      </c>
      <c r="K1132" t="s">
        <v>2598</v>
      </c>
      <c r="L1132" t="s">
        <v>6933</v>
      </c>
      <c r="M1132" t="s">
        <v>183</v>
      </c>
    </row>
    <row r="1133" spans="1:13" x14ac:dyDescent="0.15">
      <c r="A1133" t="s">
        <v>6934</v>
      </c>
      <c r="B1133" t="s">
        <v>14</v>
      </c>
      <c r="C1133" t="s">
        <v>118</v>
      </c>
      <c r="D1133" t="s">
        <v>6935</v>
      </c>
      <c r="E1133" t="s">
        <v>6936</v>
      </c>
      <c r="F1133" t="s">
        <v>6930</v>
      </c>
      <c r="G1133" t="s">
        <v>6937</v>
      </c>
      <c r="H1133" t="s">
        <v>6937</v>
      </c>
      <c r="I1133" t="s">
        <v>6938</v>
      </c>
      <c r="J1133" t="s">
        <v>138</v>
      </c>
      <c r="K1133" t="s">
        <v>6939</v>
      </c>
      <c r="L1133" t="s">
        <v>6938</v>
      </c>
      <c r="M1133" t="s">
        <v>765</v>
      </c>
    </row>
    <row r="1134" spans="1:13" x14ac:dyDescent="0.15">
      <c r="A1134" t="s">
        <v>6940</v>
      </c>
      <c r="B1134" t="s">
        <v>14</v>
      </c>
      <c r="C1134" t="s">
        <v>118</v>
      </c>
      <c r="D1134" t="s">
        <v>3384</v>
      </c>
      <c r="E1134" t="s">
        <v>6941</v>
      </c>
      <c r="F1134" t="s">
        <v>6942</v>
      </c>
      <c r="G1134" t="s">
        <v>6943</v>
      </c>
      <c r="H1134" t="s">
        <v>6943</v>
      </c>
      <c r="I1134" t="s">
        <v>6944</v>
      </c>
      <c r="J1134" t="s">
        <v>29</v>
      </c>
      <c r="K1134" t="s">
        <v>1170</v>
      </c>
      <c r="L1134" t="s">
        <v>6944</v>
      </c>
      <c r="M1134" t="s">
        <v>4035</v>
      </c>
    </row>
    <row r="1135" spans="1:13" x14ac:dyDescent="0.15">
      <c r="A1135" t="s">
        <v>6945</v>
      </c>
      <c r="B1135" t="s">
        <v>14</v>
      </c>
      <c r="C1135" t="s">
        <v>118</v>
      </c>
      <c r="D1135" t="s">
        <v>6946</v>
      </c>
      <c r="E1135" t="s">
        <v>6947</v>
      </c>
      <c r="F1135" t="s">
        <v>6948</v>
      </c>
      <c r="G1135" t="s">
        <v>6949</v>
      </c>
      <c r="H1135" t="s">
        <v>6949</v>
      </c>
      <c r="I1135" t="s">
        <v>6950</v>
      </c>
      <c r="J1135" t="s">
        <v>138</v>
      </c>
      <c r="K1135" t="s">
        <v>772</v>
      </c>
      <c r="L1135" t="s">
        <v>6950</v>
      </c>
      <c r="M1135" t="s">
        <v>765</v>
      </c>
    </row>
    <row r="1136" spans="1:13" x14ac:dyDescent="0.15">
      <c r="A1136" t="s">
        <v>6951</v>
      </c>
      <c r="B1136" t="s">
        <v>14</v>
      </c>
      <c r="C1136" t="s">
        <v>118</v>
      </c>
      <c r="D1136" t="s">
        <v>6952</v>
      </c>
      <c r="E1136" t="s">
        <v>6953</v>
      </c>
      <c r="F1136" t="s">
        <v>6954</v>
      </c>
      <c r="G1136" t="s">
        <v>6955</v>
      </c>
      <c r="H1136" t="s">
        <v>6955</v>
      </c>
      <c r="I1136" t="s">
        <v>6956</v>
      </c>
      <c r="J1136" t="s">
        <v>20</v>
      </c>
      <c r="K1136" t="s">
        <v>1262</v>
      </c>
      <c r="L1136" t="s">
        <v>6956</v>
      </c>
      <c r="M1136" t="s">
        <v>432</v>
      </c>
    </row>
    <row r="1137" spans="1:13" x14ac:dyDescent="0.15">
      <c r="A1137" t="s">
        <v>6957</v>
      </c>
      <c r="B1137" t="s">
        <v>14</v>
      </c>
      <c r="C1137" t="s">
        <v>23</v>
      </c>
      <c r="D1137" t="s">
        <v>6958</v>
      </c>
      <c r="E1137" t="s">
        <v>6959</v>
      </c>
      <c r="F1137" t="s">
        <v>6960</v>
      </c>
      <c r="G1137" t="s">
        <v>6961</v>
      </c>
      <c r="H1137" t="s">
        <v>6961</v>
      </c>
      <c r="I1137" t="s">
        <v>6962</v>
      </c>
      <c r="J1137" t="s">
        <v>297</v>
      </c>
      <c r="K1137" t="s">
        <v>424</v>
      </c>
      <c r="L1137" t="s">
        <v>6962</v>
      </c>
      <c r="M1137" t="s">
        <v>80</v>
      </c>
    </row>
    <row r="1138" spans="1:13" x14ac:dyDescent="0.15">
      <c r="A1138" t="s">
        <v>6963</v>
      </c>
      <c r="B1138" t="s">
        <v>14</v>
      </c>
      <c r="C1138" t="s">
        <v>118</v>
      </c>
      <c r="D1138" t="s">
        <v>6964</v>
      </c>
      <c r="E1138" t="s">
        <v>6965</v>
      </c>
      <c r="F1138" t="s">
        <v>6966</v>
      </c>
      <c r="G1138" t="s">
        <v>6967</v>
      </c>
      <c r="H1138" t="s">
        <v>6967</v>
      </c>
      <c r="I1138" t="s">
        <v>6968</v>
      </c>
      <c r="J1138" t="s">
        <v>297</v>
      </c>
      <c r="K1138" t="s">
        <v>1262</v>
      </c>
      <c r="L1138" t="s">
        <v>6968</v>
      </c>
      <c r="M1138" t="s">
        <v>80</v>
      </c>
    </row>
    <row r="1139" spans="1:13" x14ac:dyDescent="0.15">
      <c r="A1139" t="s">
        <v>6969</v>
      </c>
      <c r="B1139" t="s">
        <v>14</v>
      </c>
      <c r="C1139" t="s">
        <v>118</v>
      </c>
      <c r="D1139" t="s">
        <v>6970</v>
      </c>
      <c r="E1139" t="s">
        <v>6971</v>
      </c>
      <c r="F1139" t="s">
        <v>6972</v>
      </c>
      <c r="G1139" t="s">
        <v>6638</v>
      </c>
      <c r="H1139" t="s">
        <v>145</v>
      </c>
      <c r="I1139" t="s">
        <v>6639</v>
      </c>
      <c r="J1139" t="s">
        <v>297</v>
      </c>
      <c r="K1139" t="s">
        <v>786</v>
      </c>
      <c r="L1139" t="s">
        <v>6639</v>
      </c>
      <c r="M1139" t="s">
        <v>432</v>
      </c>
    </row>
    <row r="1140" spans="1:13" x14ac:dyDescent="0.15">
      <c r="A1140" t="s">
        <v>6973</v>
      </c>
      <c r="B1140" t="s">
        <v>14</v>
      </c>
      <c r="C1140" t="s">
        <v>23</v>
      </c>
      <c r="D1140" t="s">
        <v>6974</v>
      </c>
      <c r="E1140" t="s">
        <v>6975</v>
      </c>
      <c r="F1140" t="s">
        <v>6976</v>
      </c>
      <c r="G1140" t="s">
        <v>6977</v>
      </c>
      <c r="H1140" t="s">
        <v>6977</v>
      </c>
      <c r="I1140" t="s">
        <v>6978</v>
      </c>
      <c r="J1140" t="s">
        <v>124</v>
      </c>
      <c r="K1140" t="s">
        <v>2499</v>
      </c>
      <c r="L1140" t="s">
        <v>6978</v>
      </c>
      <c r="M1140" t="s">
        <v>80</v>
      </c>
    </row>
    <row r="1141" spans="1:13" x14ac:dyDescent="0.15">
      <c r="A1141" t="s">
        <v>6979</v>
      </c>
      <c r="B1141" t="s">
        <v>14</v>
      </c>
      <c r="C1141" t="s">
        <v>118</v>
      </c>
      <c r="D1141" t="s">
        <v>6980</v>
      </c>
      <c r="E1141" t="s">
        <v>6981</v>
      </c>
      <c r="F1141" t="s">
        <v>6982</v>
      </c>
      <c r="G1141" t="s">
        <v>6983</v>
      </c>
      <c r="H1141" t="s">
        <v>6983</v>
      </c>
      <c r="I1141" t="s">
        <v>6984</v>
      </c>
      <c r="J1141" t="s">
        <v>255</v>
      </c>
      <c r="K1141" t="s">
        <v>903</v>
      </c>
      <c r="L1141" t="s">
        <v>6984</v>
      </c>
      <c r="M1141" t="s">
        <v>165</v>
      </c>
    </row>
    <row r="1142" spans="1:13" x14ac:dyDescent="0.15">
      <c r="A1142" t="s">
        <v>6985</v>
      </c>
      <c r="B1142" t="s">
        <v>14</v>
      </c>
      <c r="C1142" t="s">
        <v>118</v>
      </c>
      <c r="D1142" t="s">
        <v>6986</v>
      </c>
      <c r="E1142" t="s">
        <v>6987</v>
      </c>
      <c r="F1142" t="s">
        <v>6988</v>
      </c>
      <c r="G1142" t="s">
        <v>6989</v>
      </c>
      <c r="H1142" t="s">
        <v>6989</v>
      </c>
      <c r="I1142" t="s">
        <v>6990</v>
      </c>
      <c r="J1142" t="s">
        <v>255</v>
      </c>
      <c r="K1142" t="s">
        <v>540</v>
      </c>
      <c r="L1142" t="s">
        <v>6990</v>
      </c>
      <c r="M1142" t="s">
        <v>432</v>
      </c>
    </row>
    <row r="1143" spans="1:13" x14ac:dyDescent="0.15">
      <c r="A1143" t="s">
        <v>6991</v>
      </c>
      <c r="B1143" t="s">
        <v>14</v>
      </c>
      <c r="C1143" t="s">
        <v>118</v>
      </c>
      <c r="D1143" t="s">
        <v>6992</v>
      </c>
      <c r="E1143" t="s">
        <v>6993</v>
      </c>
      <c r="F1143" t="s">
        <v>6994</v>
      </c>
      <c r="G1143" t="s">
        <v>6995</v>
      </c>
      <c r="H1143" t="s">
        <v>6995</v>
      </c>
      <c r="I1143" t="s">
        <v>6996</v>
      </c>
      <c r="J1143" t="s">
        <v>514</v>
      </c>
      <c r="K1143" t="s">
        <v>30</v>
      </c>
      <c r="L1143" t="s">
        <v>6996</v>
      </c>
      <c r="M1143" t="s">
        <v>1725</v>
      </c>
    </row>
    <row r="1144" spans="1:13" x14ac:dyDescent="0.15">
      <c r="A1144" t="s">
        <v>6997</v>
      </c>
      <c r="B1144" t="s">
        <v>14</v>
      </c>
      <c r="C1144" t="s">
        <v>23</v>
      </c>
      <c r="D1144" t="s">
        <v>6998</v>
      </c>
      <c r="E1144" t="s">
        <v>6999</v>
      </c>
      <c r="F1144" t="s">
        <v>7000</v>
      </c>
      <c r="G1144" t="s">
        <v>7001</v>
      </c>
      <c r="H1144" t="s">
        <v>7001</v>
      </c>
      <c r="I1144" t="s">
        <v>7002</v>
      </c>
      <c r="J1144" t="s">
        <v>132</v>
      </c>
      <c r="K1144" t="s">
        <v>1979</v>
      </c>
      <c r="L1144" t="s">
        <v>4027</v>
      </c>
      <c r="M1144" t="s">
        <v>104</v>
      </c>
    </row>
    <row r="1145" spans="1:13" x14ac:dyDescent="0.15">
      <c r="A1145" t="s">
        <v>7003</v>
      </c>
      <c r="B1145" t="s">
        <v>14</v>
      </c>
      <c r="C1145" t="s">
        <v>23</v>
      </c>
      <c r="D1145" t="s">
        <v>7004</v>
      </c>
      <c r="E1145" t="s">
        <v>7005</v>
      </c>
      <c r="F1145" t="s">
        <v>7006</v>
      </c>
      <c r="G1145" t="s">
        <v>7007</v>
      </c>
      <c r="H1145" t="s">
        <v>7007</v>
      </c>
      <c r="I1145" t="s">
        <v>7008</v>
      </c>
      <c r="J1145" t="s">
        <v>4049</v>
      </c>
      <c r="K1145" t="s">
        <v>4050</v>
      </c>
      <c r="L1145" t="s">
        <v>7009</v>
      </c>
      <c r="M1145" t="s">
        <v>41</v>
      </c>
    </row>
    <row r="1146" spans="1:13" x14ac:dyDescent="0.15">
      <c r="A1146" t="s">
        <v>7010</v>
      </c>
      <c r="B1146" t="s">
        <v>14</v>
      </c>
      <c r="C1146" t="s">
        <v>23</v>
      </c>
      <c r="D1146" t="s">
        <v>7011</v>
      </c>
      <c r="E1146" t="s">
        <v>7012</v>
      </c>
      <c r="F1146" t="s">
        <v>7013</v>
      </c>
      <c r="G1146" t="s">
        <v>7014</v>
      </c>
      <c r="H1146" t="s">
        <v>7014</v>
      </c>
      <c r="I1146" t="s">
        <v>7015</v>
      </c>
      <c r="J1146" t="s">
        <v>138</v>
      </c>
      <c r="K1146" t="s">
        <v>601</v>
      </c>
      <c r="L1146" t="s">
        <v>7015</v>
      </c>
      <c r="M1146" t="s">
        <v>41</v>
      </c>
    </row>
    <row r="1147" spans="1:13" x14ac:dyDescent="0.15">
      <c r="A1147" t="s">
        <v>7016</v>
      </c>
      <c r="B1147" t="s">
        <v>14</v>
      </c>
      <c r="C1147" t="s">
        <v>23</v>
      </c>
      <c r="D1147" t="s">
        <v>7017</v>
      </c>
      <c r="E1147" t="s">
        <v>7018</v>
      </c>
      <c r="F1147" t="s">
        <v>7019</v>
      </c>
      <c r="G1147" t="s">
        <v>7020</v>
      </c>
      <c r="H1147" t="s">
        <v>7020</v>
      </c>
      <c r="I1147" t="s">
        <v>7021</v>
      </c>
      <c r="J1147" t="s">
        <v>138</v>
      </c>
      <c r="K1147" t="s">
        <v>64</v>
      </c>
      <c r="L1147" t="s">
        <v>7021</v>
      </c>
      <c r="M1147" t="s">
        <v>41</v>
      </c>
    </row>
    <row r="1148" spans="1:13" x14ac:dyDescent="0.15">
      <c r="A1148" t="s">
        <v>7022</v>
      </c>
      <c r="B1148" t="s">
        <v>14</v>
      </c>
      <c r="C1148" t="s">
        <v>23</v>
      </c>
      <c r="D1148" t="s">
        <v>7023</v>
      </c>
      <c r="E1148" t="s">
        <v>7024</v>
      </c>
      <c r="F1148" t="s">
        <v>7025</v>
      </c>
      <c r="G1148" t="s">
        <v>7026</v>
      </c>
      <c r="H1148" t="s">
        <v>7026</v>
      </c>
      <c r="I1148" t="s">
        <v>2825</v>
      </c>
      <c r="J1148" t="s">
        <v>138</v>
      </c>
      <c r="K1148" t="s">
        <v>1170</v>
      </c>
      <c r="L1148" t="s">
        <v>2825</v>
      </c>
      <c r="M1148" t="s">
        <v>41</v>
      </c>
    </row>
    <row r="1149" spans="1:13" x14ac:dyDescent="0.15">
      <c r="A1149" t="s">
        <v>7027</v>
      </c>
      <c r="B1149" t="s">
        <v>14</v>
      </c>
      <c r="C1149" t="s">
        <v>23</v>
      </c>
      <c r="D1149" t="s">
        <v>7028</v>
      </c>
      <c r="E1149" t="s">
        <v>7029</v>
      </c>
      <c r="F1149" t="s">
        <v>7030</v>
      </c>
      <c r="G1149" t="s">
        <v>7031</v>
      </c>
      <c r="H1149" t="s">
        <v>7031</v>
      </c>
      <c r="I1149" t="s">
        <v>7032</v>
      </c>
      <c r="J1149" t="s">
        <v>473</v>
      </c>
      <c r="K1149" t="s">
        <v>332</v>
      </c>
      <c r="L1149" t="s">
        <v>7033</v>
      </c>
      <c r="M1149" t="s">
        <v>80</v>
      </c>
    </row>
    <row r="1150" spans="1:13" x14ac:dyDescent="0.15">
      <c r="A1150" t="s">
        <v>7034</v>
      </c>
      <c r="B1150" t="s">
        <v>14</v>
      </c>
      <c r="C1150" t="s">
        <v>118</v>
      </c>
      <c r="D1150" t="s">
        <v>7035</v>
      </c>
      <c r="E1150" t="s">
        <v>7036</v>
      </c>
      <c r="F1150" t="s">
        <v>7037</v>
      </c>
      <c r="G1150" t="s">
        <v>7038</v>
      </c>
      <c r="H1150" t="s">
        <v>7038</v>
      </c>
      <c r="I1150" t="s">
        <v>7039</v>
      </c>
      <c r="J1150" t="s">
        <v>473</v>
      </c>
      <c r="K1150" t="s">
        <v>360</v>
      </c>
      <c r="L1150" t="s">
        <v>7039</v>
      </c>
      <c r="M1150" t="s">
        <v>3944</v>
      </c>
    </row>
    <row r="1151" spans="1:13" x14ac:dyDescent="0.15">
      <c r="A1151" t="s">
        <v>7040</v>
      </c>
      <c r="B1151" t="s">
        <v>14</v>
      </c>
      <c r="C1151" t="s">
        <v>118</v>
      </c>
      <c r="D1151" t="s">
        <v>7041</v>
      </c>
      <c r="E1151" t="s">
        <v>7042</v>
      </c>
      <c r="F1151" t="s">
        <v>7043</v>
      </c>
      <c r="G1151" t="s">
        <v>4093</v>
      </c>
      <c r="H1151" t="s">
        <v>4093</v>
      </c>
      <c r="I1151" t="s">
        <v>2826</v>
      </c>
      <c r="J1151" t="s">
        <v>344</v>
      </c>
      <c r="K1151" t="s">
        <v>1582</v>
      </c>
      <c r="L1151" t="s">
        <v>2826</v>
      </c>
      <c r="M1151" t="s">
        <v>1725</v>
      </c>
    </row>
    <row r="1152" spans="1:13" x14ac:dyDescent="0.15">
      <c r="A1152" t="s">
        <v>7044</v>
      </c>
      <c r="B1152" t="s">
        <v>14</v>
      </c>
      <c r="C1152" t="s">
        <v>118</v>
      </c>
      <c r="D1152" t="s">
        <v>7045</v>
      </c>
      <c r="E1152" t="s">
        <v>7046</v>
      </c>
      <c r="F1152" t="s">
        <v>7047</v>
      </c>
      <c r="G1152" t="s">
        <v>7048</v>
      </c>
      <c r="H1152" t="s">
        <v>7048</v>
      </c>
      <c r="I1152" t="s">
        <v>7049</v>
      </c>
      <c r="J1152" t="s">
        <v>20</v>
      </c>
      <c r="K1152" t="s">
        <v>5693</v>
      </c>
      <c r="L1152" t="s">
        <v>7049</v>
      </c>
      <c r="M1152" t="s">
        <v>773</v>
      </c>
    </row>
    <row r="1153" spans="1:13" x14ac:dyDescent="0.15">
      <c r="A1153" t="s">
        <v>7050</v>
      </c>
      <c r="B1153" t="s">
        <v>14</v>
      </c>
      <c r="C1153" t="s">
        <v>118</v>
      </c>
      <c r="D1153" t="s">
        <v>7051</v>
      </c>
      <c r="E1153" t="s">
        <v>7052</v>
      </c>
      <c r="F1153" t="s">
        <v>7053</v>
      </c>
      <c r="G1153" t="s">
        <v>7054</v>
      </c>
      <c r="H1153" t="s">
        <v>7054</v>
      </c>
      <c r="I1153" t="s">
        <v>7055</v>
      </c>
      <c r="J1153" t="s">
        <v>1717</v>
      </c>
      <c r="K1153" t="s">
        <v>190</v>
      </c>
      <c r="L1153" t="s">
        <v>7055</v>
      </c>
      <c r="M1153" t="s">
        <v>248</v>
      </c>
    </row>
    <row r="1154" spans="1:13" x14ac:dyDescent="0.15">
      <c r="A1154" t="s">
        <v>7056</v>
      </c>
      <c r="B1154" t="s">
        <v>14</v>
      </c>
      <c r="C1154" t="s">
        <v>118</v>
      </c>
      <c r="D1154" t="s">
        <v>7057</v>
      </c>
      <c r="E1154" t="s">
        <v>7058</v>
      </c>
      <c r="F1154" t="s">
        <v>7059</v>
      </c>
      <c r="H1154" t="s">
        <v>145</v>
      </c>
      <c r="I1154" t="s">
        <v>2833</v>
      </c>
      <c r="J1154" t="s">
        <v>172</v>
      </c>
      <c r="K1154" t="s">
        <v>832</v>
      </c>
      <c r="L1154" t="s">
        <v>2833</v>
      </c>
      <c r="M1154" t="s">
        <v>174</v>
      </c>
    </row>
    <row r="1155" spans="1:13" x14ac:dyDescent="0.15">
      <c r="A1155" t="s">
        <v>7060</v>
      </c>
      <c r="B1155" t="s">
        <v>14</v>
      </c>
      <c r="C1155" t="s">
        <v>23</v>
      </c>
      <c r="D1155" t="s">
        <v>2718</v>
      </c>
      <c r="E1155" t="s">
        <v>7061</v>
      </c>
      <c r="F1155" t="s">
        <v>7062</v>
      </c>
      <c r="G1155" t="s">
        <v>7063</v>
      </c>
      <c r="H1155" t="s">
        <v>7063</v>
      </c>
      <c r="I1155" t="s">
        <v>7064</v>
      </c>
      <c r="J1155" t="s">
        <v>415</v>
      </c>
      <c r="K1155" t="s">
        <v>64</v>
      </c>
      <c r="L1155" t="s">
        <v>7064</v>
      </c>
      <c r="M1155" t="s">
        <v>482</v>
      </c>
    </row>
    <row r="1156" spans="1:13" x14ac:dyDescent="0.15">
      <c r="A1156" t="s">
        <v>7065</v>
      </c>
      <c r="B1156" t="s">
        <v>14</v>
      </c>
      <c r="C1156" t="s">
        <v>23</v>
      </c>
      <c r="D1156" t="s">
        <v>2731</v>
      </c>
      <c r="E1156" t="s">
        <v>7066</v>
      </c>
      <c r="F1156" t="s">
        <v>7067</v>
      </c>
      <c r="G1156" t="s">
        <v>7068</v>
      </c>
      <c r="H1156" t="s">
        <v>7068</v>
      </c>
      <c r="I1156" t="s">
        <v>7069</v>
      </c>
      <c r="J1156" t="s">
        <v>415</v>
      </c>
      <c r="K1156" t="s">
        <v>7070</v>
      </c>
      <c r="L1156" t="s">
        <v>7069</v>
      </c>
      <c r="M1156" t="s">
        <v>482</v>
      </c>
    </row>
    <row r="1157" spans="1:13" x14ac:dyDescent="0.15">
      <c r="A1157" t="s">
        <v>7071</v>
      </c>
      <c r="B1157" t="s">
        <v>14</v>
      </c>
      <c r="C1157" t="s">
        <v>23</v>
      </c>
      <c r="D1157" t="s">
        <v>2712</v>
      </c>
      <c r="E1157" t="s">
        <v>7072</v>
      </c>
      <c r="F1157" t="s">
        <v>7073</v>
      </c>
      <c r="G1157" t="s">
        <v>7074</v>
      </c>
      <c r="H1157" t="s">
        <v>7074</v>
      </c>
      <c r="I1157" t="s">
        <v>7075</v>
      </c>
      <c r="J1157" t="s">
        <v>415</v>
      </c>
      <c r="K1157" t="s">
        <v>1485</v>
      </c>
      <c r="L1157" t="s">
        <v>7075</v>
      </c>
      <c r="M1157" t="s">
        <v>482</v>
      </c>
    </row>
    <row r="1158" spans="1:13" x14ac:dyDescent="0.15">
      <c r="A1158" t="s">
        <v>7076</v>
      </c>
      <c r="B1158" t="s">
        <v>14</v>
      </c>
      <c r="C1158" t="s">
        <v>23</v>
      </c>
      <c r="D1158" t="s">
        <v>2724</v>
      </c>
      <c r="E1158" t="s">
        <v>7077</v>
      </c>
      <c r="F1158" t="s">
        <v>7078</v>
      </c>
      <c r="G1158" t="s">
        <v>7079</v>
      </c>
      <c r="H1158" t="s">
        <v>7079</v>
      </c>
      <c r="I1158" t="s">
        <v>6606</v>
      </c>
      <c r="J1158" t="s">
        <v>415</v>
      </c>
      <c r="K1158" t="s">
        <v>819</v>
      </c>
      <c r="L1158" t="s">
        <v>6606</v>
      </c>
      <c r="M1158" t="s">
        <v>482</v>
      </c>
    </row>
    <row r="1159" spans="1:13" x14ac:dyDescent="0.15">
      <c r="A1159" t="s">
        <v>7080</v>
      </c>
      <c r="B1159" t="s">
        <v>14</v>
      </c>
      <c r="C1159" t="s">
        <v>23</v>
      </c>
      <c r="D1159" t="s">
        <v>2737</v>
      </c>
      <c r="E1159" t="s">
        <v>7081</v>
      </c>
      <c r="F1159" t="s">
        <v>7082</v>
      </c>
      <c r="G1159" t="s">
        <v>7083</v>
      </c>
      <c r="H1159" t="s">
        <v>7083</v>
      </c>
      <c r="I1159" t="s">
        <v>7084</v>
      </c>
      <c r="J1159" t="s">
        <v>415</v>
      </c>
      <c r="K1159" t="s">
        <v>2729</v>
      </c>
      <c r="L1159" t="s">
        <v>7084</v>
      </c>
      <c r="M1159" t="s">
        <v>482</v>
      </c>
    </row>
    <row r="1160" spans="1:13" x14ac:dyDescent="0.15">
      <c r="A1160" t="s">
        <v>7085</v>
      </c>
      <c r="B1160" t="s">
        <v>14</v>
      </c>
      <c r="C1160" t="s">
        <v>23</v>
      </c>
      <c r="D1160" t="s">
        <v>2743</v>
      </c>
      <c r="E1160" t="s">
        <v>7086</v>
      </c>
      <c r="F1160" t="s">
        <v>7087</v>
      </c>
      <c r="G1160" t="s">
        <v>7088</v>
      </c>
      <c r="H1160" t="s">
        <v>7088</v>
      </c>
      <c r="I1160" t="s">
        <v>7089</v>
      </c>
      <c r="J1160" t="s">
        <v>415</v>
      </c>
      <c r="K1160" t="s">
        <v>312</v>
      </c>
      <c r="L1160" t="s">
        <v>7089</v>
      </c>
      <c r="M1160" t="s">
        <v>482</v>
      </c>
    </row>
    <row r="1161" spans="1:13" x14ac:dyDescent="0.15">
      <c r="A1161" t="s">
        <v>7090</v>
      </c>
      <c r="B1161" t="s">
        <v>14</v>
      </c>
      <c r="C1161" t="s">
        <v>23</v>
      </c>
      <c r="D1161" t="s">
        <v>7091</v>
      </c>
      <c r="E1161" t="s">
        <v>7092</v>
      </c>
      <c r="F1161" t="s">
        <v>7093</v>
      </c>
      <c r="G1161" t="s">
        <v>7094</v>
      </c>
      <c r="H1161" t="s">
        <v>7094</v>
      </c>
      <c r="I1161" t="s">
        <v>7095</v>
      </c>
      <c r="J1161" t="s">
        <v>415</v>
      </c>
      <c r="K1161" t="s">
        <v>1366</v>
      </c>
      <c r="L1161" t="s">
        <v>7096</v>
      </c>
      <c r="M1161" t="s">
        <v>41</v>
      </c>
    </row>
    <row r="1162" spans="1:13" x14ac:dyDescent="0.15">
      <c r="A1162" t="s">
        <v>7097</v>
      </c>
      <c r="B1162" t="s">
        <v>14</v>
      </c>
      <c r="C1162" t="s">
        <v>23</v>
      </c>
      <c r="D1162" t="s">
        <v>7098</v>
      </c>
      <c r="E1162" t="s">
        <v>7099</v>
      </c>
      <c r="F1162" t="s">
        <v>7100</v>
      </c>
      <c r="G1162" t="s">
        <v>7101</v>
      </c>
      <c r="H1162" t="s">
        <v>7101</v>
      </c>
      <c r="I1162" t="s">
        <v>4249</v>
      </c>
      <c r="J1162" t="s">
        <v>214</v>
      </c>
      <c r="K1162" t="s">
        <v>6670</v>
      </c>
      <c r="L1162" t="s">
        <v>7102</v>
      </c>
      <c r="M1162" t="s">
        <v>80</v>
      </c>
    </row>
    <row r="1163" spans="1:13" x14ac:dyDescent="0.15">
      <c r="A1163" t="s">
        <v>7103</v>
      </c>
      <c r="B1163" t="s">
        <v>14</v>
      </c>
      <c r="C1163" t="s">
        <v>118</v>
      </c>
      <c r="D1163" t="s">
        <v>7104</v>
      </c>
      <c r="E1163" t="s">
        <v>7105</v>
      </c>
      <c r="F1163" t="s">
        <v>7106</v>
      </c>
      <c r="G1163" t="s">
        <v>7107</v>
      </c>
      <c r="H1163" t="s">
        <v>7107</v>
      </c>
      <c r="I1163" t="s">
        <v>7108</v>
      </c>
      <c r="J1163" t="s">
        <v>352</v>
      </c>
      <c r="K1163" t="s">
        <v>839</v>
      </c>
      <c r="L1163" t="s">
        <v>7108</v>
      </c>
      <c r="M1163" t="s">
        <v>432</v>
      </c>
    </row>
    <row r="1164" spans="1:13" x14ac:dyDescent="0.15">
      <c r="A1164" t="s">
        <v>7109</v>
      </c>
      <c r="B1164" t="s">
        <v>14</v>
      </c>
      <c r="C1164" t="s">
        <v>118</v>
      </c>
      <c r="D1164" t="s">
        <v>7110</v>
      </c>
      <c r="E1164" t="s">
        <v>7111</v>
      </c>
      <c r="F1164" t="s">
        <v>7112</v>
      </c>
      <c r="G1164" t="s">
        <v>3880</v>
      </c>
      <c r="H1164" t="s">
        <v>3880</v>
      </c>
      <c r="I1164" t="s">
        <v>7113</v>
      </c>
      <c r="J1164" t="s">
        <v>352</v>
      </c>
      <c r="K1164" t="s">
        <v>4310</v>
      </c>
      <c r="L1164" t="s">
        <v>7113</v>
      </c>
      <c r="M1164" t="s">
        <v>248</v>
      </c>
    </row>
    <row r="1165" spans="1:13" x14ac:dyDescent="0.15">
      <c r="A1165" t="s">
        <v>7114</v>
      </c>
      <c r="B1165" t="s">
        <v>14</v>
      </c>
      <c r="C1165" t="s">
        <v>118</v>
      </c>
      <c r="D1165" t="s">
        <v>7115</v>
      </c>
      <c r="E1165" t="s">
        <v>7116</v>
      </c>
      <c r="F1165" t="s">
        <v>7117</v>
      </c>
      <c r="G1165" t="s">
        <v>7118</v>
      </c>
      <c r="H1165" t="s">
        <v>7118</v>
      </c>
      <c r="I1165" t="s">
        <v>7119</v>
      </c>
      <c r="J1165" t="s">
        <v>352</v>
      </c>
      <c r="K1165" t="s">
        <v>439</v>
      </c>
      <c r="L1165" t="s">
        <v>7119</v>
      </c>
      <c r="M1165" t="s">
        <v>216</v>
      </c>
    </row>
    <row r="1166" spans="1:13" x14ac:dyDescent="0.15">
      <c r="A1166" t="s">
        <v>7120</v>
      </c>
      <c r="B1166" t="s">
        <v>14</v>
      </c>
      <c r="C1166" t="s">
        <v>118</v>
      </c>
      <c r="D1166" t="s">
        <v>7121</v>
      </c>
      <c r="E1166" t="s">
        <v>7122</v>
      </c>
      <c r="F1166" t="s">
        <v>7123</v>
      </c>
      <c r="G1166" t="s">
        <v>770</v>
      </c>
      <c r="H1166" t="s">
        <v>770</v>
      </c>
      <c r="I1166" t="s">
        <v>7124</v>
      </c>
      <c r="J1166" t="s">
        <v>270</v>
      </c>
      <c r="K1166" t="s">
        <v>2037</v>
      </c>
      <c r="L1166" t="s">
        <v>7125</v>
      </c>
      <c r="M1166" t="s">
        <v>183</v>
      </c>
    </row>
    <row r="1167" spans="1:13" x14ac:dyDescent="0.15">
      <c r="A1167" t="s">
        <v>7126</v>
      </c>
      <c r="B1167" t="s">
        <v>14</v>
      </c>
      <c r="C1167" t="s">
        <v>23</v>
      </c>
      <c r="D1167" t="s">
        <v>7127</v>
      </c>
      <c r="E1167" t="s">
        <v>7128</v>
      </c>
      <c r="F1167" t="s">
        <v>7129</v>
      </c>
      <c r="G1167" t="s">
        <v>2637</v>
      </c>
      <c r="H1167" t="s">
        <v>2637</v>
      </c>
      <c r="I1167" t="s">
        <v>7130</v>
      </c>
      <c r="J1167" t="s">
        <v>481</v>
      </c>
      <c r="K1167" t="s">
        <v>567</v>
      </c>
      <c r="L1167" t="s">
        <v>7130</v>
      </c>
      <c r="M1167" t="s">
        <v>216</v>
      </c>
    </row>
    <row r="1168" spans="1:13" x14ac:dyDescent="0.15">
      <c r="A1168" t="s">
        <v>7131</v>
      </c>
      <c r="B1168" t="s">
        <v>14</v>
      </c>
      <c r="C1168" t="s">
        <v>23</v>
      </c>
      <c r="D1168" t="s">
        <v>7132</v>
      </c>
      <c r="E1168" t="s">
        <v>7133</v>
      </c>
      <c r="F1168" t="s">
        <v>7134</v>
      </c>
      <c r="G1168" t="s">
        <v>7135</v>
      </c>
      <c r="H1168" t="s">
        <v>7135</v>
      </c>
      <c r="I1168" t="s">
        <v>7136</v>
      </c>
      <c r="J1168" t="s">
        <v>481</v>
      </c>
      <c r="K1168" t="s">
        <v>839</v>
      </c>
      <c r="L1168" t="s">
        <v>7136</v>
      </c>
      <c r="M1168" t="s">
        <v>216</v>
      </c>
    </row>
    <row r="1169" spans="1:13" x14ac:dyDescent="0.15">
      <c r="A1169" t="s">
        <v>7137</v>
      </c>
      <c r="B1169" t="s">
        <v>14</v>
      </c>
      <c r="C1169" t="s">
        <v>23</v>
      </c>
      <c r="D1169" t="s">
        <v>7138</v>
      </c>
      <c r="E1169" t="s">
        <v>7139</v>
      </c>
      <c r="F1169" t="s">
        <v>7140</v>
      </c>
      <c r="G1169" t="s">
        <v>7141</v>
      </c>
      <c r="H1169" t="s">
        <v>7141</v>
      </c>
      <c r="I1169" t="s">
        <v>7142</v>
      </c>
      <c r="J1169" t="s">
        <v>20</v>
      </c>
      <c r="K1169" t="s">
        <v>332</v>
      </c>
      <c r="L1169" t="s">
        <v>7142</v>
      </c>
      <c r="M1169" t="s">
        <v>80</v>
      </c>
    </row>
    <row r="1170" spans="1:13" x14ac:dyDescent="0.15">
      <c r="A1170" t="s">
        <v>7143</v>
      </c>
      <c r="B1170" t="s">
        <v>14</v>
      </c>
      <c r="C1170" t="s">
        <v>23</v>
      </c>
      <c r="D1170" t="s">
        <v>7144</v>
      </c>
      <c r="E1170" t="s">
        <v>7145</v>
      </c>
      <c r="F1170" t="s">
        <v>7146</v>
      </c>
      <c r="G1170" t="s">
        <v>7147</v>
      </c>
      <c r="H1170" t="s">
        <v>7147</v>
      </c>
      <c r="I1170" t="s">
        <v>7148</v>
      </c>
      <c r="J1170" t="s">
        <v>38</v>
      </c>
      <c r="K1170" t="s">
        <v>48</v>
      </c>
      <c r="L1170" t="s">
        <v>7149</v>
      </c>
      <c r="M1170" t="s">
        <v>104</v>
      </c>
    </row>
    <row r="1171" spans="1:13" x14ac:dyDescent="0.15">
      <c r="A1171" t="s">
        <v>7150</v>
      </c>
      <c r="B1171" t="s">
        <v>14</v>
      </c>
      <c r="C1171" t="s">
        <v>23</v>
      </c>
      <c r="D1171" t="s">
        <v>7151</v>
      </c>
      <c r="E1171" t="s">
        <v>7152</v>
      </c>
      <c r="F1171" t="s">
        <v>7146</v>
      </c>
      <c r="G1171" t="s">
        <v>7153</v>
      </c>
      <c r="H1171" t="s">
        <v>7153</v>
      </c>
      <c r="I1171" t="s">
        <v>7154</v>
      </c>
      <c r="J1171" t="s">
        <v>20</v>
      </c>
      <c r="K1171" t="s">
        <v>1030</v>
      </c>
      <c r="L1171" t="s">
        <v>1103</v>
      </c>
      <c r="M1171" t="s">
        <v>41</v>
      </c>
    </row>
    <row r="1172" spans="1:13" x14ac:dyDescent="0.15">
      <c r="A1172" t="s">
        <v>7155</v>
      </c>
      <c r="B1172" t="s">
        <v>14</v>
      </c>
      <c r="C1172" t="s">
        <v>118</v>
      </c>
      <c r="D1172" t="s">
        <v>7156</v>
      </c>
      <c r="E1172" t="s">
        <v>7157</v>
      </c>
      <c r="F1172" t="s">
        <v>7158</v>
      </c>
      <c r="G1172" t="s">
        <v>7159</v>
      </c>
      <c r="H1172" t="s">
        <v>7159</v>
      </c>
      <c r="I1172" t="s">
        <v>7160</v>
      </c>
      <c r="J1172" t="s">
        <v>270</v>
      </c>
      <c r="K1172" t="s">
        <v>2037</v>
      </c>
      <c r="L1172" t="s">
        <v>7160</v>
      </c>
      <c r="M1172" t="s">
        <v>21</v>
      </c>
    </row>
    <row r="1173" spans="1:13" x14ac:dyDescent="0.15">
      <c r="A1173" t="s">
        <v>7161</v>
      </c>
      <c r="B1173" t="s">
        <v>14</v>
      </c>
      <c r="C1173" t="s">
        <v>118</v>
      </c>
      <c r="D1173" t="s">
        <v>7162</v>
      </c>
      <c r="E1173" t="s">
        <v>7163</v>
      </c>
      <c r="F1173" t="s">
        <v>7164</v>
      </c>
      <c r="G1173" t="s">
        <v>7165</v>
      </c>
      <c r="H1173" t="s">
        <v>7165</v>
      </c>
      <c r="I1173" t="s">
        <v>7166</v>
      </c>
      <c r="J1173" t="s">
        <v>626</v>
      </c>
      <c r="K1173" t="s">
        <v>387</v>
      </c>
      <c r="L1173" t="s">
        <v>7166</v>
      </c>
      <c r="M1173" t="s">
        <v>174</v>
      </c>
    </row>
    <row r="1174" spans="1:13" x14ac:dyDescent="0.15">
      <c r="A1174" t="s">
        <v>7167</v>
      </c>
      <c r="B1174" t="s">
        <v>14</v>
      </c>
      <c r="C1174" t="s">
        <v>118</v>
      </c>
      <c r="D1174" t="s">
        <v>7168</v>
      </c>
      <c r="E1174" t="s">
        <v>7169</v>
      </c>
      <c r="F1174" t="s">
        <v>7170</v>
      </c>
      <c r="G1174" t="s">
        <v>7171</v>
      </c>
      <c r="H1174" t="s">
        <v>7171</v>
      </c>
      <c r="I1174" t="s">
        <v>7172</v>
      </c>
      <c r="J1174" t="s">
        <v>246</v>
      </c>
      <c r="K1174" t="s">
        <v>2037</v>
      </c>
      <c r="L1174" t="s">
        <v>2015</v>
      </c>
      <c r="M1174" t="s">
        <v>183</v>
      </c>
    </row>
    <row r="1175" spans="1:13" x14ac:dyDescent="0.15">
      <c r="A1175" t="s">
        <v>7173</v>
      </c>
      <c r="B1175" t="s">
        <v>14</v>
      </c>
      <c r="C1175" t="s">
        <v>118</v>
      </c>
      <c r="D1175" t="s">
        <v>6529</v>
      </c>
      <c r="E1175" t="s">
        <v>7174</v>
      </c>
      <c r="F1175" t="s">
        <v>7175</v>
      </c>
      <c r="J1175" t="s">
        <v>473</v>
      </c>
      <c r="M1175" t="s">
        <v>165</v>
      </c>
    </row>
    <row r="1176" spans="1:13" x14ac:dyDescent="0.15">
      <c r="A1176" t="s">
        <v>7176</v>
      </c>
      <c r="B1176" t="s">
        <v>14</v>
      </c>
      <c r="C1176" t="s">
        <v>118</v>
      </c>
      <c r="D1176" t="s">
        <v>6535</v>
      </c>
      <c r="E1176" t="s">
        <v>7177</v>
      </c>
      <c r="F1176" t="s">
        <v>7178</v>
      </c>
      <c r="J1176" t="s">
        <v>473</v>
      </c>
      <c r="M1176" t="s">
        <v>174</v>
      </c>
    </row>
    <row r="1177" spans="1:13" x14ac:dyDescent="0.15">
      <c r="A1177" t="s">
        <v>7179</v>
      </c>
      <c r="B1177" t="s">
        <v>14</v>
      </c>
      <c r="C1177" t="s">
        <v>23</v>
      </c>
      <c r="D1177" t="s">
        <v>7180</v>
      </c>
      <c r="E1177" t="s">
        <v>7181</v>
      </c>
      <c r="F1177" t="s">
        <v>7182</v>
      </c>
      <c r="G1177" t="s">
        <v>7183</v>
      </c>
      <c r="H1177" t="s">
        <v>7183</v>
      </c>
      <c r="I1177" t="s">
        <v>7184</v>
      </c>
      <c r="J1177" t="s">
        <v>1037</v>
      </c>
      <c r="K1177" t="s">
        <v>647</v>
      </c>
      <c r="L1177" t="s">
        <v>7185</v>
      </c>
      <c r="M1177" t="s">
        <v>31</v>
      </c>
    </row>
    <row r="1178" spans="1:13" x14ac:dyDescent="0.15">
      <c r="A1178" t="s">
        <v>7186</v>
      </c>
      <c r="B1178" t="s">
        <v>14</v>
      </c>
      <c r="C1178" t="s">
        <v>23</v>
      </c>
      <c r="D1178" t="s">
        <v>7187</v>
      </c>
      <c r="E1178" t="s">
        <v>7188</v>
      </c>
      <c r="F1178" t="s">
        <v>7189</v>
      </c>
      <c r="G1178" t="s">
        <v>7190</v>
      </c>
      <c r="H1178" t="s">
        <v>7190</v>
      </c>
      <c r="I1178" t="s">
        <v>1691</v>
      </c>
      <c r="J1178" t="s">
        <v>1037</v>
      </c>
      <c r="K1178" t="s">
        <v>647</v>
      </c>
      <c r="L1178" t="s">
        <v>7191</v>
      </c>
      <c r="M1178" t="s">
        <v>31</v>
      </c>
    </row>
    <row r="1179" spans="1:13" x14ac:dyDescent="0.15">
      <c r="A1179" t="s">
        <v>7192</v>
      </c>
      <c r="B1179" t="s">
        <v>14</v>
      </c>
      <c r="C1179" t="s">
        <v>118</v>
      </c>
      <c r="D1179" t="s">
        <v>7193</v>
      </c>
      <c r="E1179" t="s">
        <v>7194</v>
      </c>
      <c r="F1179" t="s">
        <v>7195</v>
      </c>
      <c r="G1179" t="s">
        <v>7196</v>
      </c>
      <c r="H1179" t="s">
        <v>7196</v>
      </c>
      <c r="I1179" t="s">
        <v>7197</v>
      </c>
      <c r="J1179" t="s">
        <v>2205</v>
      </c>
      <c r="K1179" t="s">
        <v>7198</v>
      </c>
      <c r="L1179" t="s">
        <v>7197</v>
      </c>
      <c r="M1179" t="s">
        <v>174</v>
      </c>
    </row>
    <row r="1180" spans="1:13" x14ac:dyDescent="0.15">
      <c r="A1180" t="s">
        <v>7199</v>
      </c>
      <c r="B1180" t="s">
        <v>14</v>
      </c>
      <c r="C1180" t="s">
        <v>23</v>
      </c>
      <c r="D1180" t="s">
        <v>7200</v>
      </c>
      <c r="E1180" t="s">
        <v>7201</v>
      </c>
      <c r="F1180" t="s">
        <v>7202</v>
      </c>
      <c r="G1180" t="s">
        <v>7203</v>
      </c>
      <c r="H1180" t="s">
        <v>7203</v>
      </c>
      <c r="I1180" t="s">
        <v>7204</v>
      </c>
      <c r="J1180" t="s">
        <v>415</v>
      </c>
      <c r="K1180" t="s">
        <v>3803</v>
      </c>
      <c r="L1180" t="s">
        <v>7205</v>
      </c>
      <c r="M1180" t="s">
        <v>80</v>
      </c>
    </row>
    <row r="1181" spans="1:13" x14ac:dyDescent="0.15">
      <c r="A1181" t="s">
        <v>7206</v>
      </c>
      <c r="B1181" t="s">
        <v>14</v>
      </c>
      <c r="C1181" t="s">
        <v>23</v>
      </c>
      <c r="D1181" t="s">
        <v>7207</v>
      </c>
      <c r="E1181" t="s">
        <v>7208</v>
      </c>
      <c r="F1181" t="s">
        <v>7209</v>
      </c>
      <c r="G1181" t="s">
        <v>7210</v>
      </c>
      <c r="H1181" t="s">
        <v>7210</v>
      </c>
      <c r="I1181" t="s">
        <v>7211</v>
      </c>
      <c r="J1181" t="s">
        <v>415</v>
      </c>
      <c r="K1181" t="s">
        <v>64</v>
      </c>
      <c r="L1181" t="s">
        <v>7211</v>
      </c>
      <c r="M1181" t="s">
        <v>41</v>
      </c>
    </row>
    <row r="1182" spans="1:13" x14ac:dyDescent="0.15">
      <c r="A1182" t="s">
        <v>7212</v>
      </c>
      <c r="B1182" t="s">
        <v>14</v>
      </c>
      <c r="C1182" t="s">
        <v>118</v>
      </c>
      <c r="D1182" t="s">
        <v>7213</v>
      </c>
      <c r="E1182" t="s">
        <v>7214</v>
      </c>
      <c r="F1182" t="s">
        <v>7215</v>
      </c>
      <c r="G1182" t="s">
        <v>7216</v>
      </c>
      <c r="H1182" t="s">
        <v>7216</v>
      </c>
      <c r="I1182" t="s">
        <v>7217</v>
      </c>
      <c r="J1182" t="s">
        <v>415</v>
      </c>
      <c r="K1182" t="s">
        <v>190</v>
      </c>
      <c r="L1182" t="s">
        <v>7217</v>
      </c>
      <c r="M1182" t="s">
        <v>1498</v>
      </c>
    </row>
    <row r="1183" spans="1:13" x14ac:dyDescent="0.15">
      <c r="A1183" t="s">
        <v>7218</v>
      </c>
      <c r="B1183" t="s">
        <v>14</v>
      </c>
      <c r="C1183" t="s">
        <v>118</v>
      </c>
      <c r="D1183" t="s">
        <v>2225</v>
      </c>
      <c r="E1183" t="s">
        <v>7219</v>
      </c>
      <c r="F1183" t="s">
        <v>7220</v>
      </c>
      <c r="G1183" t="s">
        <v>7221</v>
      </c>
      <c r="H1183" t="s">
        <v>7221</v>
      </c>
      <c r="I1183" t="s">
        <v>5671</v>
      </c>
      <c r="J1183" t="s">
        <v>1945</v>
      </c>
      <c r="K1183" t="s">
        <v>256</v>
      </c>
      <c r="L1183" t="s">
        <v>5671</v>
      </c>
      <c r="M1183" t="s">
        <v>192</v>
      </c>
    </row>
    <row r="1184" spans="1:13" x14ac:dyDescent="0.15">
      <c r="A1184" t="s">
        <v>7222</v>
      </c>
      <c r="B1184" t="s">
        <v>14</v>
      </c>
      <c r="C1184" t="s">
        <v>23</v>
      </c>
      <c r="D1184" t="s">
        <v>7223</v>
      </c>
      <c r="E1184" t="s">
        <v>7224</v>
      </c>
      <c r="F1184" t="s">
        <v>7225</v>
      </c>
      <c r="G1184" t="s">
        <v>7226</v>
      </c>
      <c r="H1184" t="s">
        <v>7226</v>
      </c>
      <c r="I1184" t="s">
        <v>7227</v>
      </c>
      <c r="J1184" t="s">
        <v>344</v>
      </c>
      <c r="K1184" t="s">
        <v>1022</v>
      </c>
      <c r="L1184" t="s">
        <v>7228</v>
      </c>
      <c r="M1184" t="s">
        <v>41</v>
      </c>
    </row>
    <row r="1185" spans="1:13" x14ac:dyDescent="0.15">
      <c r="A1185" t="s">
        <v>7229</v>
      </c>
      <c r="B1185" t="s">
        <v>14</v>
      </c>
      <c r="C1185" t="s">
        <v>23</v>
      </c>
      <c r="D1185" t="s">
        <v>7230</v>
      </c>
      <c r="E1185" t="s">
        <v>7231</v>
      </c>
      <c r="F1185" t="s">
        <v>7232</v>
      </c>
      <c r="G1185" t="s">
        <v>7233</v>
      </c>
      <c r="H1185" t="s">
        <v>7233</v>
      </c>
      <c r="I1185" t="s">
        <v>7234</v>
      </c>
      <c r="J1185" t="s">
        <v>626</v>
      </c>
      <c r="K1185" t="s">
        <v>1125</v>
      </c>
      <c r="L1185" t="s">
        <v>7235</v>
      </c>
      <c r="M1185" t="s">
        <v>104</v>
      </c>
    </row>
    <row r="1186" spans="1:13" x14ac:dyDescent="0.15">
      <c r="A1186" t="s">
        <v>7236</v>
      </c>
      <c r="B1186" t="s">
        <v>14</v>
      </c>
      <c r="C1186" t="s">
        <v>118</v>
      </c>
      <c r="D1186" t="s">
        <v>7237</v>
      </c>
      <c r="E1186" t="s">
        <v>7238</v>
      </c>
      <c r="F1186" t="s">
        <v>7239</v>
      </c>
      <c r="G1186" t="s">
        <v>7240</v>
      </c>
      <c r="H1186" t="s">
        <v>7240</v>
      </c>
      <c r="I1186" t="s">
        <v>7241</v>
      </c>
      <c r="J1186" t="s">
        <v>206</v>
      </c>
      <c r="K1186" t="s">
        <v>271</v>
      </c>
      <c r="L1186" t="s">
        <v>7241</v>
      </c>
      <c r="M1186" t="s">
        <v>41</v>
      </c>
    </row>
    <row r="1187" spans="1:13" x14ac:dyDescent="0.15">
      <c r="A1187" t="s">
        <v>7242</v>
      </c>
      <c r="B1187" t="s">
        <v>14</v>
      </c>
      <c r="C1187" t="s">
        <v>118</v>
      </c>
      <c r="D1187" t="s">
        <v>7243</v>
      </c>
      <c r="E1187" t="s">
        <v>7244</v>
      </c>
      <c r="F1187" t="s">
        <v>7245</v>
      </c>
      <c r="H1187" t="s">
        <v>7246</v>
      </c>
      <c r="I1187" t="s">
        <v>7247</v>
      </c>
      <c r="J1187" t="s">
        <v>7248</v>
      </c>
      <c r="K1187" t="s">
        <v>7249</v>
      </c>
      <c r="L1187" t="s">
        <v>2003</v>
      </c>
      <c r="M1187" t="s">
        <v>183</v>
      </c>
    </row>
    <row r="1188" spans="1:13" x14ac:dyDescent="0.15">
      <c r="A1188" t="s">
        <v>7250</v>
      </c>
      <c r="B1188" t="s">
        <v>14</v>
      </c>
      <c r="C1188" t="s">
        <v>23</v>
      </c>
      <c r="D1188" t="s">
        <v>7251</v>
      </c>
      <c r="E1188" t="s">
        <v>7252</v>
      </c>
      <c r="F1188" t="s">
        <v>7253</v>
      </c>
      <c r="G1188" t="s">
        <v>7254</v>
      </c>
      <c r="H1188" t="s">
        <v>7254</v>
      </c>
      <c r="I1188" t="s">
        <v>7255</v>
      </c>
      <c r="J1188" t="s">
        <v>138</v>
      </c>
      <c r="K1188" t="s">
        <v>407</v>
      </c>
      <c r="L1188" t="s">
        <v>7256</v>
      </c>
      <c r="M1188" t="s">
        <v>80</v>
      </c>
    </row>
    <row r="1189" spans="1:13" x14ac:dyDescent="0.15">
      <c r="A1189" t="s">
        <v>7257</v>
      </c>
      <c r="B1189" t="s">
        <v>14</v>
      </c>
      <c r="C1189" t="s">
        <v>23</v>
      </c>
      <c r="D1189" t="s">
        <v>7258</v>
      </c>
      <c r="E1189" t="s">
        <v>7259</v>
      </c>
      <c r="F1189" t="s">
        <v>7260</v>
      </c>
      <c r="G1189" t="s">
        <v>7261</v>
      </c>
      <c r="H1189" t="s">
        <v>7261</v>
      </c>
      <c r="I1189" t="s">
        <v>7262</v>
      </c>
      <c r="J1189" t="s">
        <v>138</v>
      </c>
      <c r="K1189" t="s">
        <v>819</v>
      </c>
      <c r="L1189" t="s">
        <v>7263</v>
      </c>
      <c r="M1189" t="s">
        <v>41</v>
      </c>
    </row>
    <row r="1190" spans="1:13" x14ac:dyDescent="0.15">
      <c r="A1190" t="s">
        <v>7264</v>
      </c>
      <c r="B1190" t="s">
        <v>14</v>
      </c>
      <c r="C1190" t="s">
        <v>118</v>
      </c>
      <c r="D1190" t="s">
        <v>7265</v>
      </c>
      <c r="E1190" t="s">
        <v>7266</v>
      </c>
      <c r="F1190" t="s">
        <v>7267</v>
      </c>
      <c r="G1190" t="s">
        <v>7268</v>
      </c>
      <c r="H1190" t="s">
        <v>7268</v>
      </c>
      <c r="I1190" t="s">
        <v>7269</v>
      </c>
      <c r="J1190" t="s">
        <v>1194</v>
      </c>
      <c r="K1190" t="s">
        <v>2332</v>
      </c>
      <c r="L1190" t="s">
        <v>7270</v>
      </c>
      <c r="M1190" t="s">
        <v>1015</v>
      </c>
    </row>
    <row r="1191" spans="1:13" x14ac:dyDescent="0.15">
      <c r="A1191" t="s">
        <v>7271</v>
      </c>
      <c r="B1191" t="s">
        <v>14</v>
      </c>
      <c r="C1191" t="s">
        <v>118</v>
      </c>
      <c r="D1191" t="s">
        <v>3273</v>
      </c>
      <c r="E1191" t="s">
        <v>7272</v>
      </c>
      <c r="F1191" t="s">
        <v>7273</v>
      </c>
      <c r="G1191" t="s">
        <v>7274</v>
      </c>
      <c r="H1191" t="s">
        <v>7274</v>
      </c>
      <c r="I1191" t="s">
        <v>7275</v>
      </c>
      <c r="J1191" t="s">
        <v>20</v>
      </c>
      <c r="K1191" t="s">
        <v>1915</v>
      </c>
      <c r="L1191" t="s">
        <v>7275</v>
      </c>
      <c r="M1191" t="s">
        <v>765</v>
      </c>
    </row>
    <row r="1192" spans="1:13" x14ac:dyDescent="0.15">
      <c r="A1192" t="s">
        <v>7276</v>
      </c>
      <c r="B1192" t="s">
        <v>14</v>
      </c>
      <c r="C1192" t="s">
        <v>118</v>
      </c>
      <c r="D1192" t="s">
        <v>7277</v>
      </c>
      <c r="E1192" t="s">
        <v>7278</v>
      </c>
      <c r="F1192" t="s">
        <v>7279</v>
      </c>
      <c r="G1192" t="s">
        <v>7280</v>
      </c>
      <c r="H1192" t="s">
        <v>7280</v>
      </c>
      <c r="I1192" t="s">
        <v>7281</v>
      </c>
      <c r="J1192" t="s">
        <v>297</v>
      </c>
      <c r="K1192" t="s">
        <v>173</v>
      </c>
      <c r="L1192" t="s">
        <v>7281</v>
      </c>
      <c r="M1192" t="s">
        <v>31</v>
      </c>
    </row>
    <row r="1193" spans="1:13" x14ac:dyDescent="0.15">
      <c r="A1193" t="s">
        <v>7282</v>
      </c>
      <c r="B1193" t="s">
        <v>14</v>
      </c>
      <c r="C1193" t="s">
        <v>118</v>
      </c>
      <c r="D1193" t="s">
        <v>7283</v>
      </c>
      <c r="E1193" t="s">
        <v>7284</v>
      </c>
      <c r="F1193" t="s">
        <v>7285</v>
      </c>
      <c r="G1193" t="s">
        <v>7286</v>
      </c>
      <c r="H1193" t="s">
        <v>7286</v>
      </c>
      <c r="I1193" t="s">
        <v>7287</v>
      </c>
      <c r="J1193" t="s">
        <v>297</v>
      </c>
      <c r="K1193" t="s">
        <v>1582</v>
      </c>
      <c r="L1193" t="s">
        <v>7287</v>
      </c>
      <c r="M1193" t="s">
        <v>31</v>
      </c>
    </row>
    <row r="1194" spans="1:13" x14ac:dyDescent="0.15">
      <c r="A1194" t="s">
        <v>7288</v>
      </c>
      <c r="B1194" t="s">
        <v>14</v>
      </c>
      <c r="C1194" t="s">
        <v>23</v>
      </c>
      <c r="D1194" t="s">
        <v>7289</v>
      </c>
      <c r="E1194" t="s">
        <v>7290</v>
      </c>
      <c r="F1194" t="s">
        <v>7291</v>
      </c>
      <c r="G1194" t="s">
        <v>7292</v>
      </c>
      <c r="H1194" t="s">
        <v>7292</v>
      </c>
      <c r="I1194" t="s">
        <v>7293</v>
      </c>
      <c r="J1194" t="s">
        <v>95</v>
      </c>
      <c r="K1194" t="s">
        <v>48</v>
      </c>
      <c r="L1194" t="s">
        <v>504</v>
      </c>
      <c r="M1194" t="s">
        <v>41</v>
      </c>
    </row>
    <row r="1195" spans="1:13" x14ac:dyDescent="0.15">
      <c r="A1195" t="s">
        <v>7294</v>
      </c>
      <c r="B1195" t="s">
        <v>14</v>
      </c>
      <c r="C1195" t="s">
        <v>118</v>
      </c>
      <c r="D1195" t="s">
        <v>2908</v>
      </c>
      <c r="E1195" t="s">
        <v>7295</v>
      </c>
      <c r="F1195" t="s">
        <v>7296</v>
      </c>
      <c r="G1195" t="s">
        <v>7297</v>
      </c>
      <c r="H1195" t="s">
        <v>7297</v>
      </c>
      <c r="I1195" t="s">
        <v>7298</v>
      </c>
      <c r="J1195" t="s">
        <v>20</v>
      </c>
      <c r="K1195" t="s">
        <v>312</v>
      </c>
      <c r="L1195" t="s">
        <v>7298</v>
      </c>
      <c r="M1195" t="s">
        <v>2979</v>
      </c>
    </row>
    <row r="1196" spans="1:13" x14ac:dyDescent="0.15">
      <c r="A1196" t="s">
        <v>7299</v>
      </c>
      <c r="B1196" t="s">
        <v>14</v>
      </c>
      <c r="C1196" t="s">
        <v>118</v>
      </c>
      <c r="D1196" t="s">
        <v>7300</v>
      </c>
      <c r="E1196" t="s">
        <v>7301</v>
      </c>
      <c r="F1196" t="s">
        <v>7302</v>
      </c>
      <c r="G1196" t="s">
        <v>7303</v>
      </c>
      <c r="H1196" t="s">
        <v>7303</v>
      </c>
      <c r="I1196" t="s">
        <v>7304</v>
      </c>
      <c r="J1196" t="s">
        <v>2181</v>
      </c>
      <c r="K1196" t="s">
        <v>6388</v>
      </c>
      <c r="L1196" t="s">
        <v>7304</v>
      </c>
      <c r="M1196" t="s">
        <v>216</v>
      </c>
    </row>
    <row r="1197" spans="1:13" x14ac:dyDescent="0.15">
      <c r="A1197" t="s">
        <v>7305</v>
      </c>
      <c r="B1197" t="s">
        <v>14</v>
      </c>
      <c r="C1197" t="s">
        <v>118</v>
      </c>
      <c r="D1197" t="s">
        <v>7306</v>
      </c>
      <c r="E1197" t="s">
        <v>7307</v>
      </c>
      <c r="F1197" t="s">
        <v>7308</v>
      </c>
      <c r="G1197" t="s">
        <v>7309</v>
      </c>
      <c r="H1197" t="s">
        <v>7309</v>
      </c>
      <c r="I1197" t="s">
        <v>7310</v>
      </c>
      <c r="J1197" t="s">
        <v>2181</v>
      </c>
      <c r="K1197" t="s">
        <v>5415</v>
      </c>
      <c r="L1197" t="s">
        <v>7310</v>
      </c>
      <c r="M1197" t="s">
        <v>216</v>
      </c>
    </row>
    <row r="1198" spans="1:13" x14ac:dyDescent="0.15">
      <c r="A1198" t="s">
        <v>7311</v>
      </c>
      <c r="B1198" t="s">
        <v>14</v>
      </c>
      <c r="C1198" t="s">
        <v>118</v>
      </c>
      <c r="D1198" t="s">
        <v>7312</v>
      </c>
      <c r="E1198" t="s">
        <v>7313</v>
      </c>
      <c r="F1198" t="s">
        <v>7314</v>
      </c>
      <c r="G1198" t="s">
        <v>7315</v>
      </c>
      <c r="H1198" t="s">
        <v>7315</v>
      </c>
      <c r="I1198" t="s">
        <v>145</v>
      </c>
      <c r="J1198" t="s">
        <v>2181</v>
      </c>
      <c r="K1198" t="s">
        <v>1718</v>
      </c>
      <c r="L1198" t="s">
        <v>7316</v>
      </c>
      <c r="M1198" t="s">
        <v>216</v>
      </c>
    </row>
    <row r="1199" spans="1:13" x14ac:dyDescent="0.15">
      <c r="A1199" t="s">
        <v>7317</v>
      </c>
      <c r="B1199" t="s">
        <v>14</v>
      </c>
      <c r="C1199" t="s">
        <v>118</v>
      </c>
      <c r="D1199" t="s">
        <v>7318</v>
      </c>
      <c r="E1199" t="s">
        <v>7319</v>
      </c>
      <c r="F1199" t="s">
        <v>7320</v>
      </c>
      <c r="G1199" t="s">
        <v>7321</v>
      </c>
      <c r="H1199" t="s">
        <v>7321</v>
      </c>
      <c r="I1199" t="s">
        <v>7322</v>
      </c>
      <c r="J1199" t="s">
        <v>255</v>
      </c>
      <c r="K1199" t="s">
        <v>215</v>
      </c>
      <c r="L1199" t="s">
        <v>7322</v>
      </c>
      <c r="M1199" t="s">
        <v>21</v>
      </c>
    </row>
    <row r="1200" spans="1:13" x14ac:dyDescent="0.15">
      <c r="A1200" t="s">
        <v>7323</v>
      </c>
      <c r="B1200" t="s">
        <v>14</v>
      </c>
      <c r="C1200" t="s">
        <v>118</v>
      </c>
      <c r="D1200" t="s">
        <v>7324</v>
      </c>
      <c r="E1200" t="s">
        <v>7325</v>
      </c>
      <c r="F1200" t="s">
        <v>7326</v>
      </c>
      <c r="G1200" t="s">
        <v>7327</v>
      </c>
      <c r="H1200" t="s">
        <v>7327</v>
      </c>
      <c r="I1200" t="s">
        <v>145</v>
      </c>
      <c r="J1200" t="s">
        <v>2181</v>
      </c>
      <c r="K1200" t="s">
        <v>247</v>
      </c>
      <c r="L1200" t="s">
        <v>7328</v>
      </c>
      <c r="M1200" t="s">
        <v>216</v>
      </c>
    </row>
    <row r="1201" spans="1:13" x14ac:dyDescent="0.15">
      <c r="A1201" t="s">
        <v>7329</v>
      </c>
      <c r="B1201" t="s">
        <v>14</v>
      </c>
      <c r="C1201" t="s">
        <v>118</v>
      </c>
      <c r="D1201" t="s">
        <v>7330</v>
      </c>
      <c r="E1201" t="s">
        <v>7331</v>
      </c>
      <c r="F1201" t="s">
        <v>7332</v>
      </c>
      <c r="G1201" t="s">
        <v>7333</v>
      </c>
      <c r="H1201" t="s">
        <v>7333</v>
      </c>
      <c r="I1201" t="s">
        <v>7334</v>
      </c>
      <c r="J1201" t="s">
        <v>246</v>
      </c>
      <c r="K1201" t="s">
        <v>2674</v>
      </c>
      <c r="L1201" t="s">
        <v>7334</v>
      </c>
      <c r="M1201" t="s">
        <v>432</v>
      </c>
    </row>
    <row r="1202" spans="1:13" x14ac:dyDescent="0.15">
      <c r="A1202" t="s">
        <v>7335</v>
      </c>
      <c r="B1202" t="s">
        <v>14</v>
      </c>
      <c r="C1202" t="s">
        <v>118</v>
      </c>
      <c r="D1202" t="s">
        <v>7336</v>
      </c>
      <c r="E1202" t="s">
        <v>7337</v>
      </c>
      <c r="F1202" t="s">
        <v>7338</v>
      </c>
      <c r="G1202" t="s">
        <v>7339</v>
      </c>
      <c r="H1202" t="s">
        <v>7339</v>
      </c>
      <c r="I1202" t="s">
        <v>7340</v>
      </c>
      <c r="J1202" t="s">
        <v>246</v>
      </c>
      <c r="K1202" t="s">
        <v>2667</v>
      </c>
      <c r="L1202" t="s">
        <v>7340</v>
      </c>
      <c r="M1202" t="s">
        <v>432</v>
      </c>
    </row>
    <row r="1203" spans="1:13" x14ac:dyDescent="0.15">
      <c r="A1203" t="s">
        <v>7341</v>
      </c>
      <c r="B1203" t="s">
        <v>14</v>
      </c>
      <c r="C1203" t="s">
        <v>118</v>
      </c>
      <c r="D1203" t="s">
        <v>7342</v>
      </c>
      <c r="E1203" t="s">
        <v>7343</v>
      </c>
      <c r="F1203" t="s">
        <v>7344</v>
      </c>
      <c r="G1203" t="s">
        <v>7345</v>
      </c>
      <c r="H1203" t="s">
        <v>7345</v>
      </c>
      <c r="I1203" t="s">
        <v>7346</v>
      </c>
      <c r="J1203" t="s">
        <v>352</v>
      </c>
      <c r="K1203" t="s">
        <v>1946</v>
      </c>
      <c r="L1203" t="s">
        <v>7346</v>
      </c>
      <c r="M1203" t="s">
        <v>432</v>
      </c>
    </row>
    <row r="1204" spans="1:13" x14ac:dyDescent="0.15">
      <c r="A1204" t="s">
        <v>7347</v>
      </c>
      <c r="B1204" t="s">
        <v>14</v>
      </c>
      <c r="C1204" t="s">
        <v>118</v>
      </c>
      <c r="D1204" t="s">
        <v>7348</v>
      </c>
      <c r="E1204" t="s">
        <v>7349</v>
      </c>
      <c r="F1204" t="s">
        <v>7350</v>
      </c>
      <c r="G1204" t="s">
        <v>7351</v>
      </c>
      <c r="H1204" t="s">
        <v>7351</v>
      </c>
      <c r="I1204" t="s">
        <v>7352</v>
      </c>
      <c r="J1204" t="s">
        <v>246</v>
      </c>
      <c r="K1204" t="s">
        <v>6388</v>
      </c>
      <c r="L1204" t="s">
        <v>7352</v>
      </c>
      <c r="M1204" t="s">
        <v>432</v>
      </c>
    </row>
    <row r="1205" spans="1:13" x14ac:dyDescent="0.15">
      <c r="A1205" t="s">
        <v>7353</v>
      </c>
      <c r="B1205" t="s">
        <v>14</v>
      </c>
      <c r="C1205" t="s">
        <v>23</v>
      </c>
      <c r="D1205" t="s">
        <v>7354</v>
      </c>
      <c r="E1205" t="s">
        <v>7355</v>
      </c>
      <c r="F1205" t="s">
        <v>7356</v>
      </c>
      <c r="G1205" t="s">
        <v>7357</v>
      </c>
      <c r="H1205" t="s">
        <v>7357</v>
      </c>
      <c r="I1205" t="s">
        <v>7358</v>
      </c>
      <c r="J1205" t="s">
        <v>415</v>
      </c>
      <c r="K1205" t="s">
        <v>709</v>
      </c>
      <c r="L1205" t="s">
        <v>1831</v>
      </c>
      <c r="M1205" t="s">
        <v>41</v>
      </c>
    </row>
    <row r="1206" spans="1:13" x14ac:dyDescent="0.15">
      <c r="A1206" t="s">
        <v>7359</v>
      </c>
      <c r="B1206" t="s">
        <v>14</v>
      </c>
      <c r="C1206" t="s">
        <v>23</v>
      </c>
      <c r="D1206" t="s">
        <v>7360</v>
      </c>
      <c r="E1206" t="s">
        <v>7361</v>
      </c>
      <c r="F1206" t="s">
        <v>7362</v>
      </c>
      <c r="G1206" t="s">
        <v>1103</v>
      </c>
      <c r="H1206" t="s">
        <v>1103</v>
      </c>
      <c r="I1206" t="s">
        <v>7363</v>
      </c>
      <c r="J1206" t="s">
        <v>2698</v>
      </c>
      <c r="K1206" t="s">
        <v>263</v>
      </c>
      <c r="L1206" t="s">
        <v>7364</v>
      </c>
      <c r="M1206" t="s">
        <v>41</v>
      </c>
    </row>
    <row r="1207" spans="1:13" x14ac:dyDescent="0.15">
      <c r="A1207" t="s">
        <v>7365</v>
      </c>
      <c r="B1207" t="s">
        <v>14</v>
      </c>
      <c r="C1207" t="s">
        <v>118</v>
      </c>
      <c r="D1207" t="s">
        <v>7366</v>
      </c>
      <c r="E1207" t="s">
        <v>7367</v>
      </c>
      <c r="F1207" t="s">
        <v>7368</v>
      </c>
      <c r="G1207" t="s">
        <v>6404</v>
      </c>
      <c r="H1207" t="s">
        <v>6404</v>
      </c>
      <c r="I1207" t="s">
        <v>145</v>
      </c>
      <c r="J1207" t="s">
        <v>2181</v>
      </c>
      <c r="K1207" t="s">
        <v>6901</v>
      </c>
      <c r="L1207" t="s">
        <v>7369</v>
      </c>
      <c r="M1207" t="s">
        <v>126</v>
      </c>
    </row>
    <row r="1208" spans="1:13" x14ac:dyDescent="0.15">
      <c r="A1208" t="s">
        <v>7370</v>
      </c>
      <c r="B1208" t="s">
        <v>14</v>
      </c>
      <c r="C1208" t="s">
        <v>118</v>
      </c>
      <c r="D1208" t="s">
        <v>7371</v>
      </c>
      <c r="E1208" t="s">
        <v>7372</v>
      </c>
      <c r="F1208" t="s">
        <v>7373</v>
      </c>
      <c r="G1208" t="s">
        <v>4491</v>
      </c>
      <c r="H1208" t="s">
        <v>4491</v>
      </c>
      <c r="I1208" t="s">
        <v>7374</v>
      </c>
      <c r="J1208" t="s">
        <v>138</v>
      </c>
      <c r="K1208" t="s">
        <v>2598</v>
      </c>
      <c r="L1208" t="s">
        <v>7374</v>
      </c>
      <c r="M1208" t="s">
        <v>313</v>
      </c>
    </row>
    <row r="1209" spans="1:13" x14ac:dyDescent="0.15">
      <c r="A1209" t="s">
        <v>7375</v>
      </c>
      <c r="B1209" t="s">
        <v>14</v>
      </c>
      <c r="C1209" t="s">
        <v>15</v>
      </c>
      <c r="D1209" t="s">
        <v>5338</v>
      </c>
      <c r="E1209" t="s">
        <v>7376</v>
      </c>
      <c r="F1209" t="s">
        <v>7377</v>
      </c>
      <c r="G1209" t="s">
        <v>7378</v>
      </c>
      <c r="H1209" t="s">
        <v>7378</v>
      </c>
      <c r="J1209" t="s">
        <v>415</v>
      </c>
      <c r="M1209" t="s">
        <v>21</v>
      </c>
    </row>
    <row r="1210" spans="1:13" x14ac:dyDescent="0.15">
      <c r="A1210" t="s">
        <v>7379</v>
      </c>
      <c r="B1210" t="s">
        <v>14</v>
      </c>
      <c r="C1210" t="s">
        <v>118</v>
      </c>
      <c r="D1210" t="s">
        <v>7380</v>
      </c>
      <c r="E1210" t="s">
        <v>7381</v>
      </c>
      <c r="F1210" t="s">
        <v>7382</v>
      </c>
      <c r="G1210" t="s">
        <v>7383</v>
      </c>
      <c r="H1210" t="s">
        <v>7383</v>
      </c>
      <c r="I1210" t="s">
        <v>7384</v>
      </c>
      <c r="J1210" t="s">
        <v>2698</v>
      </c>
      <c r="K1210" t="s">
        <v>1216</v>
      </c>
      <c r="L1210" t="s">
        <v>7384</v>
      </c>
      <c r="M1210" t="s">
        <v>21</v>
      </c>
    </row>
    <row r="1211" spans="1:13" x14ac:dyDescent="0.15">
      <c r="A1211" t="s">
        <v>7385</v>
      </c>
      <c r="B1211" t="s">
        <v>14</v>
      </c>
      <c r="C1211" t="s">
        <v>2593</v>
      </c>
      <c r="D1211" t="s">
        <v>7386</v>
      </c>
      <c r="E1211" t="s">
        <v>7387</v>
      </c>
      <c r="F1211" t="s">
        <v>7388</v>
      </c>
      <c r="H1211" t="s">
        <v>145</v>
      </c>
      <c r="J1211" t="s">
        <v>2597</v>
      </c>
      <c r="K1211" t="s">
        <v>2598</v>
      </c>
      <c r="L1211" t="s">
        <v>7389</v>
      </c>
      <c r="M1211" t="s">
        <v>139</v>
      </c>
    </row>
    <row r="1212" spans="1:13" x14ac:dyDescent="0.15">
      <c r="A1212" t="s">
        <v>7390</v>
      </c>
      <c r="B1212" t="s">
        <v>14</v>
      </c>
      <c r="C1212" t="s">
        <v>23</v>
      </c>
      <c r="D1212" t="s">
        <v>7391</v>
      </c>
      <c r="E1212" t="s">
        <v>7392</v>
      </c>
      <c r="F1212" t="s">
        <v>7393</v>
      </c>
      <c r="H1212" t="s">
        <v>145</v>
      </c>
      <c r="I1212" t="s">
        <v>7394</v>
      </c>
      <c r="J1212" t="s">
        <v>626</v>
      </c>
      <c r="K1212" t="s">
        <v>5186</v>
      </c>
      <c r="L1212" t="s">
        <v>466</v>
      </c>
      <c r="M1212" t="s">
        <v>104</v>
      </c>
    </row>
    <row r="1213" spans="1:13" x14ac:dyDescent="0.15">
      <c r="A1213" t="s">
        <v>7395</v>
      </c>
      <c r="B1213" t="s">
        <v>14</v>
      </c>
      <c r="C1213" t="s">
        <v>15</v>
      </c>
      <c r="D1213" t="s">
        <v>7396</v>
      </c>
      <c r="E1213" t="s">
        <v>7397</v>
      </c>
      <c r="F1213" t="s">
        <v>7398</v>
      </c>
      <c r="H1213" t="s">
        <v>145</v>
      </c>
      <c r="J1213" t="s">
        <v>172</v>
      </c>
      <c r="K1213" t="s">
        <v>938</v>
      </c>
      <c r="L1213" t="s">
        <v>7399</v>
      </c>
      <c r="M1213" t="s">
        <v>139</v>
      </c>
    </row>
    <row r="1214" spans="1:13" x14ac:dyDescent="0.15">
      <c r="A1214" t="s">
        <v>7400</v>
      </c>
      <c r="B1214" t="s">
        <v>14</v>
      </c>
      <c r="C1214" t="s">
        <v>118</v>
      </c>
      <c r="D1214" t="s">
        <v>7401</v>
      </c>
      <c r="E1214" t="s">
        <v>7402</v>
      </c>
      <c r="F1214" t="s">
        <v>7403</v>
      </c>
      <c r="G1214" t="s">
        <v>7404</v>
      </c>
      <c r="H1214" t="s">
        <v>7404</v>
      </c>
      <c r="I1214" t="s">
        <v>7405</v>
      </c>
      <c r="J1214" t="s">
        <v>352</v>
      </c>
      <c r="K1214" t="s">
        <v>7406</v>
      </c>
      <c r="L1214" t="s">
        <v>7407</v>
      </c>
      <c r="M1214" t="s">
        <v>104</v>
      </c>
    </row>
    <row r="1215" spans="1:13" x14ac:dyDescent="0.15">
      <c r="A1215" t="s">
        <v>7408</v>
      </c>
      <c r="B1215" t="s">
        <v>14</v>
      </c>
      <c r="C1215" t="s">
        <v>23</v>
      </c>
      <c r="D1215" t="s">
        <v>7409</v>
      </c>
      <c r="E1215" t="s">
        <v>7410</v>
      </c>
      <c r="F1215" t="s">
        <v>7411</v>
      </c>
      <c r="G1215" t="s">
        <v>7412</v>
      </c>
      <c r="H1215" t="s">
        <v>7412</v>
      </c>
      <c r="I1215" t="s">
        <v>7413</v>
      </c>
      <c r="J1215" t="s">
        <v>514</v>
      </c>
      <c r="K1215" t="s">
        <v>2499</v>
      </c>
      <c r="L1215" t="s">
        <v>7413</v>
      </c>
      <c r="M1215" t="s">
        <v>31</v>
      </c>
    </row>
    <row r="1216" spans="1:13" x14ac:dyDescent="0.15">
      <c r="A1216" t="s">
        <v>7414</v>
      </c>
      <c r="B1216" t="s">
        <v>14</v>
      </c>
      <c r="C1216" t="s">
        <v>23</v>
      </c>
      <c r="D1216" t="s">
        <v>7415</v>
      </c>
      <c r="E1216" t="s">
        <v>7416</v>
      </c>
      <c r="F1216" t="s">
        <v>7417</v>
      </c>
      <c r="G1216" t="s">
        <v>6937</v>
      </c>
      <c r="H1216" t="s">
        <v>6937</v>
      </c>
      <c r="I1216" t="s">
        <v>7418</v>
      </c>
      <c r="J1216" t="s">
        <v>514</v>
      </c>
      <c r="K1216" t="s">
        <v>853</v>
      </c>
      <c r="L1216" t="s">
        <v>7418</v>
      </c>
      <c r="M1216" t="s">
        <v>31</v>
      </c>
    </row>
    <row r="1217" spans="1:13" x14ac:dyDescent="0.15">
      <c r="A1217" t="s">
        <v>7419</v>
      </c>
      <c r="B1217" t="s">
        <v>14</v>
      </c>
      <c r="C1217" t="s">
        <v>23</v>
      </c>
      <c r="D1217" t="s">
        <v>7420</v>
      </c>
      <c r="E1217" t="s">
        <v>7421</v>
      </c>
      <c r="F1217" t="s">
        <v>7422</v>
      </c>
      <c r="G1217" t="s">
        <v>7423</v>
      </c>
      <c r="H1217" t="s">
        <v>7423</v>
      </c>
      <c r="I1217" t="s">
        <v>7424</v>
      </c>
      <c r="J1217" t="s">
        <v>394</v>
      </c>
      <c r="K1217" t="s">
        <v>48</v>
      </c>
      <c r="L1217" t="s">
        <v>7425</v>
      </c>
      <c r="M1217" t="s">
        <v>41</v>
      </c>
    </row>
    <row r="1218" spans="1:13" x14ac:dyDescent="0.15">
      <c r="A1218" t="s">
        <v>7426</v>
      </c>
      <c r="B1218" t="s">
        <v>14</v>
      </c>
      <c r="C1218" t="s">
        <v>118</v>
      </c>
      <c r="D1218" t="s">
        <v>7427</v>
      </c>
      <c r="E1218" t="s">
        <v>7428</v>
      </c>
      <c r="F1218" t="s">
        <v>7429</v>
      </c>
      <c r="G1218" t="s">
        <v>7430</v>
      </c>
      <c r="H1218" t="s">
        <v>7430</v>
      </c>
      <c r="I1218" t="s">
        <v>785</v>
      </c>
      <c r="J1218" t="s">
        <v>626</v>
      </c>
      <c r="K1218" t="s">
        <v>239</v>
      </c>
      <c r="L1218" t="s">
        <v>785</v>
      </c>
      <c r="M1218" t="s">
        <v>1015</v>
      </c>
    </row>
    <row r="1219" spans="1:13" x14ac:dyDescent="0.15">
      <c r="A1219" t="s">
        <v>7431</v>
      </c>
      <c r="B1219" t="s">
        <v>14</v>
      </c>
      <c r="C1219" t="s">
        <v>23</v>
      </c>
      <c r="D1219" t="s">
        <v>7432</v>
      </c>
      <c r="E1219" t="s">
        <v>7433</v>
      </c>
      <c r="F1219" t="s">
        <v>7434</v>
      </c>
      <c r="G1219" t="s">
        <v>7435</v>
      </c>
      <c r="H1219" t="s">
        <v>7435</v>
      </c>
      <c r="I1219" t="s">
        <v>7436</v>
      </c>
      <c r="J1219" t="s">
        <v>206</v>
      </c>
      <c r="K1219" t="s">
        <v>431</v>
      </c>
      <c r="L1219" t="s">
        <v>7436</v>
      </c>
      <c r="M1219" t="s">
        <v>104</v>
      </c>
    </row>
    <row r="1220" spans="1:13" x14ac:dyDescent="0.15">
      <c r="A1220" t="s">
        <v>7437</v>
      </c>
      <c r="B1220" t="s">
        <v>14</v>
      </c>
      <c r="C1220" t="s">
        <v>23</v>
      </c>
      <c r="D1220" t="s">
        <v>7438</v>
      </c>
      <c r="E1220" t="s">
        <v>7439</v>
      </c>
      <c r="F1220" t="s">
        <v>7440</v>
      </c>
      <c r="G1220" t="s">
        <v>7441</v>
      </c>
      <c r="H1220" t="s">
        <v>7441</v>
      </c>
      <c r="I1220" t="s">
        <v>7442</v>
      </c>
      <c r="J1220" t="s">
        <v>344</v>
      </c>
      <c r="K1220" t="s">
        <v>1022</v>
      </c>
      <c r="L1220" t="s">
        <v>7443</v>
      </c>
      <c r="M1220" t="s">
        <v>80</v>
      </c>
    </row>
    <row r="1221" spans="1:13" x14ac:dyDescent="0.15">
      <c r="A1221" t="s">
        <v>7444</v>
      </c>
      <c r="B1221" t="s">
        <v>14</v>
      </c>
      <c r="C1221" t="s">
        <v>15</v>
      </c>
      <c r="D1221" t="s">
        <v>7445</v>
      </c>
      <c r="E1221" t="s">
        <v>7446</v>
      </c>
      <c r="F1221" t="s">
        <v>7447</v>
      </c>
      <c r="G1221" t="s">
        <v>7448</v>
      </c>
      <c r="H1221" t="s">
        <v>7448</v>
      </c>
      <c r="J1221" t="s">
        <v>124</v>
      </c>
      <c r="M1221" t="s">
        <v>139</v>
      </c>
    </row>
    <row r="1222" spans="1:13" x14ac:dyDescent="0.15">
      <c r="A1222" t="s">
        <v>7449</v>
      </c>
      <c r="B1222" t="s">
        <v>14</v>
      </c>
      <c r="C1222" t="s">
        <v>23</v>
      </c>
      <c r="D1222" t="s">
        <v>7450</v>
      </c>
      <c r="E1222" t="s">
        <v>7451</v>
      </c>
      <c r="F1222" t="s">
        <v>7452</v>
      </c>
      <c r="G1222" t="s">
        <v>7453</v>
      </c>
      <c r="H1222" t="s">
        <v>7453</v>
      </c>
      <c r="I1222" t="s">
        <v>7454</v>
      </c>
      <c r="J1222" t="s">
        <v>124</v>
      </c>
      <c r="K1222" t="s">
        <v>723</v>
      </c>
      <c r="L1222" t="s">
        <v>7455</v>
      </c>
      <c r="M1222" t="s">
        <v>104</v>
      </c>
    </row>
    <row r="1223" spans="1:13" x14ac:dyDescent="0.15">
      <c r="A1223" t="s">
        <v>7456</v>
      </c>
      <c r="B1223" t="s">
        <v>14</v>
      </c>
      <c r="C1223" t="s">
        <v>23</v>
      </c>
      <c r="D1223" t="s">
        <v>7457</v>
      </c>
      <c r="E1223" t="s">
        <v>7458</v>
      </c>
      <c r="F1223" t="s">
        <v>7459</v>
      </c>
      <c r="G1223" t="s">
        <v>7460</v>
      </c>
      <c r="H1223" t="s">
        <v>7460</v>
      </c>
      <c r="I1223" t="s">
        <v>7461</v>
      </c>
      <c r="J1223" t="s">
        <v>138</v>
      </c>
      <c r="K1223" t="s">
        <v>980</v>
      </c>
      <c r="L1223" t="s">
        <v>7461</v>
      </c>
      <c r="M1223" t="s">
        <v>41</v>
      </c>
    </row>
    <row r="1224" spans="1:13" x14ac:dyDescent="0.15">
      <c r="A1224" t="s">
        <v>7462</v>
      </c>
      <c r="B1224" t="s">
        <v>14</v>
      </c>
      <c r="C1224" t="s">
        <v>118</v>
      </c>
      <c r="D1224" t="s">
        <v>7463</v>
      </c>
      <c r="E1224" t="s">
        <v>7464</v>
      </c>
      <c r="F1224" t="s">
        <v>7465</v>
      </c>
      <c r="G1224" t="s">
        <v>7466</v>
      </c>
      <c r="H1224" t="s">
        <v>7466</v>
      </c>
      <c r="I1224" t="s">
        <v>7467</v>
      </c>
      <c r="J1224" t="s">
        <v>124</v>
      </c>
      <c r="K1224" t="s">
        <v>5693</v>
      </c>
      <c r="L1224" t="s">
        <v>7467</v>
      </c>
      <c r="M1224" t="s">
        <v>232</v>
      </c>
    </row>
    <row r="1225" spans="1:13" x14ac:dyDescent="0.15">
      <c r="A1225" t="s">
        <v>7468</v>
      </c>
      <c r="B1225" t="s">
        <v>14</v>
      </c>
      <c r="C1225" t="s">
        <v>23</v>
      </c>
      <c r="D1225" t="s">
        <v>7469</v>
      </c>
      <c r="E1225" t="s">
        <v>7470</v>
      </c>
      <c r="F1225" t="s">
        <v>7471</v>
      </c>
      <c r="G1225" t="s">
        <v>7472</v>
      </c>
      <c r="H1225" t="s">
        <v>7472</v>
      </c>
      <c r="I1225" t="s">
        <v>7473</v>
      </c>
      <c r="J1225" t="s">
        <v>473</v>
      </c>
      <c r="K1225" t="s">
        <v>263</v>
      </c>
      <c r="L1225" t="s">
        <v>7474</v>
      </c>
      <c r="M1225" t="s">
        <v>41</v>
      </c>
    </row>
    <row r="1226" spans="1:13" x14ac:dyDescent="0.15">
      <c r="A1226" t="s">
        <v>7475</v>
      </c>
      <c r="B1226" t="s">
        <v>14</v>
      </c>
      <c r="C1226" t="s">
        <v>23</v>
      </c>
      <c r="D1226" t="s">
        <v>7476</v>
      </c>
      <c r="E1226" t="s">
        <v>7477</v>
      </c>
      <c r="F1226" t="s">
        <v>7478</v>
      </c>
      <c r="G1226" t="s">
        <v>7479</v>
      </c>
      <c r="H1226" t="s">
        <v>7479</v>
      </c>
      <c r="I1226" t="s">
        <v>7480</v>
      </c>
      <c r="J1226" t="s">
        <v>38</v>
      </c>
      <c r="K1226" t="s">
        <v>72</v>
      </c>
      <c r="L1226" t="s">
        <v>745</v>
      </c>
      <c r="M1226" t="s">
        <v>41</v>
      </c>
    </row>
    <row r="1227" spans="1:13" x14ac:dyDescent="0.15">
      <c r="A1227" t="s">
        <v>7481</v>
      </c>
      <c r="B1227" t="s">
        <v>14</v>
      </c>
      <c r="C1227" t="s">
        <v>23</v>
      </c>
      <c r="D1227" t="s">
        <v>7482</v>
      </c>
      <c r="E1227" t="s">
        <v>7483</v>
      </c>
      <c r="F1227" t="s">
        <v>7484</v>
      </c>
      <c r="H1227" t="s">
        <v>145</v>
      </c>
      <c r="I1227" t="s">
        <v>7485</v>
      </c>
      <c r="J1227" t="s">
        <v>626</v>
      </c>
      <c r="K1227" t="s">
        <v>608</v>
      </c>
      <c r="L1227" t="s">
        <v>101</v>
      </c>
      <c r="M1227" t="s">
        <v>104</v>
      </c>
    </row>
    <row r="1228" spans="1:13" x14ac:dyDescent="0.15">
      <c r="A1228" t="s">
        <v>7486</v>
      </c>
      <c r="B1228" t="s">
        <v>14</v>
      </c>
      <c r="C1228" t="s">
        <v>118</v>
      </c>
      <c r="D1228" t="s">
        <v>7487</v>
      </c>
      <c r="E1228" t="s">
        <v>7488</v>
      </c>
      <c r="F1228" t="s">
        <v>7489</v>
      </c>
      <c r="G1228" t="s">
        <v>7490</v>
      </c>
      <c r="H1228" t="s">
        <v>7490</v>
      </c>
      <c r="I1228" t="s">
        <v>6052</v>
      </c>
      <c r="J1228" t="s">
        <v>214</v>
      </c>
      <c r="K1228" t="s">
        <v>1915</v>
      </c>
      <c r="L1228" t="s">
        <v>6052</v>
      </c>
      <c r="M1228" t="s">
        <v>765</v>
      </c>
    </row>
    <row r="1229" spans="1:13" x14ac:dyDescent="0.15">
      <c r="A1229" t="s">
        <v>7491</v>
      </c>
      <c r="B1229" t="s">
        <v>14</v>
      </c>
      <c r="C1229" t="s">
        <v>118</v>
      </c>
      <c r="D1229" t="s">
        <v>7492</v>
      </c>
      <c r="E1229" t="s">
        <v>7493</v>
      </c>
      <c r="F1229" t="s">
        <v>7494</v>
      </c>
      <c r="G1229" t="s">
        <v>7495</v>
      </c>
      <c r="H1229" t="s">
        <v>7495</v>
      </c>
      <c r="I1229" t="s">
        <v>7496</v>
      </c>
      <c r="J1229" t="s">
        <v>214</v>
      </c>
      <c r="K1229" t="s">
        <v>1485</v>
      </c>
      <c r="L1229" t="s">
        <v>7496</v>
      </c>
      <c r="M1229" t="s">
        <v>765</v>
      </c>
    </row>
    <row r="1230" spans="1:13" x14ac:dyDescent="0.15">
      <c r="A1230" t="s">
        <v>7497</v>
      </c>
      <c r="B1230" t="s">
        <v>14</v>
      </c>
      <c r="C1230" t="s">
        <v>118</v>
      </c>
      <c r="D1230" t="s">
        <v>7498</v>
      </c>
      <c r="E1230" t="s">
        <v>7499</v>
      </c>
      <c r="F1230" t="s">
        <v>7500</v>
      </c>
      <c r="G1230" t="s">
        <v>7501</v>
      </c>
      <c r="H1230" t="s">
        <v>7501</v>
      </c>
      <c r="I1230" t="s">
        <v>7502</v>
      </c>
      <c r="J1230" t="s">
        <v>214</v>
      </c>
      <c r="K1230" t="s">
        <v>1377</v>
      </c>
      <c r="L1230" t="s">
        <v>7502</v>
      </c>
      <c r="M1230" t="s">
        <v>765</v>
      </c>
    </row>
    <row r="1231" spans="1:13" x14ac:dyDescent="0.15">
      <c r="A1231" t="s">
        <v>7503</v>
      </c>
      <c r="B1231" t="s">
        <v>14</v>
      </c>
      <c r="C1231" t="s">
        <v>118</v>
      </c>
      <c r="D1231" t="s">
        <v>7504</v>
      </c>
      <c r="E1231" t="s">
        <v>7505</v>
      </c>
      <c r="F1231" t="s">
        <v>7506</v>
      </c>
      <c r="G1231" t="s">
        <v>7507</v>
      </c>
      <c r="H1231" t="s">
        <v>7507</v>
      </c>
      <c r="I1231" t="s">
        <v>7508</v>
      </c>
      <c r="J1231" t="s">
        <v>255</v>
      </c>
      <c r="K1231" t="s">
        <v>190</v>
      </c>
      <c r="L1231" t="s">
        <v>7509</v>
      </c>
      <c r="M1231" t="s">
        <v>80</v>
      </c>
    </row>
    <row r="1232" spans="1:13" x14ac:dyDescent="0.15">
      <c r="A1232" t="s">
        <v>7510</v>
      </c>
      <c r="B1232" t="s">
        <v>14</v>
      </c>
      <c r="C1232" t="s">
        <v>118</v>
      </c>
      <c r="D1232" t="s">
        <v>7511</v>
      </c>
      <c r="E1232" t="s">
        <v>7512</v>
      </c>
      <c r="F1232" t="s">
        <v>7513</v>
      </c>
      <c r="G1232" t="s">
        <v>7514</v>
      </c>
      <c r="H1232" t="s">
        <v>7514</v>
      </c>
      <c r="I1232" t="s">
        <v>3345</v>
      </c>
      <c r="J1232" t="s">
        <v>415</v>
      </c>
      <c r="K1232" t="s">
        <v>239</v>
      </c>
      <c r="L1232" t="s">
        <v>3345</v>
      </c>
      <c r="M1232" t="s">
        <v>126</v>
      </c>
    </row>
    <row r="1233" spans="1:13" x14ac:dyDescent="0.15">
      <c r="A1233" t="s">
        <v>7515</v>
      </c>
      <c r="B1233" t="s">
        <v>14</v>
      </c>
      <c r="C1233" t="s">
        <v>23</v>
      </c>
      <c r="D1233" t="s">
        <v>7516</v>
      </c>
      <c r="E1233" t="s">
        <v>7517</v>
      </c>
      <c r="F1233" t="s">
        <v>7518</v>
      </c>
      <c r="G1233" t="s">
        <v>7519</v>
      </c>
      <c r="H1233" t="s">
        <v>7519</v>
      </c>
      <c r="I1233" t="s">
        <v>7520</v>
      </c>
      <c r="J1233" t="s">
        <v>514</v>
      </c>
      <c r="K1233" t="s">
        <v>271</v>
      </c>
      <c r="L1233" t="s">
        <v>7520</v>
      </c>
      <c r="M1233" t="s">
        <v>41</v>
      </c>
    </row>
    <row r="1234" spans="1:13" x14ac:dyDescent="0.15">
      <c r="A1234" t="s">
        <v>7521</v>
      </c>
      <c r="B1234" t="s">
        <v>14</v>
      </c>
      <c r="C1234" t="s">
        <v>23</v>
      </c>
      <c r="D1234" t="s">
        <v>7522</v>
      </c>
      <c r="E1234" t="s">
        <v>7523</v>
      </c>
      <c r="F1234" t="s">
        <v>7524</v>
      </c>
      <c r="G1234" t="s">
        <v>5378</v>
      </c>
      <c r="H1234" t="s">
        <v>5378</v>
      </c>
      <c r="I1234" t="s">
        <v>7525</v>
      </c>
      <c r="J1234" t="s">
        <v>514</v>
      </c>
      <c r="K1234" t="s">
        <v>1321</v>
      </c>
      <c r="L1234" t="s">
        <v>7525</v>
      </c>
      <c r="M1234" t="s">
        <v>104</v>
      </c>
    </row>
    <row r="1235" spans="1:13" x14ac:dyDescent="0.15">
      <c r="A1235" t="s">
        <v>7526</v>
      </c>
      <c r="B1235" t="s">
        <v>14</v>
      </c>
      <c r="C1235" t="s">
        <v>118</v>
      </c>
      <c r="D1235" t="s">
        <v>7527</v>
      </c>
      <c r="E1235" t="s">
        <v>7528</v>
      </c>
      <c r="F1235" t="s">
        <v>7529</v>
      </c>
      <c r="G1235" t="s">
        <v>7530</v>
      </c>
      <c r="H1235" t="s">
        <v>7530</v>
      </c>
      <c r="I1235" t="s">
        <v>7531</v>
      </c>
      <c r="J1235" t="s">
        <v>533</v>
      </c>
      <c r="K1235" t="s">
        <v>554</v>
      </c>
      <c r="L1235" t="s">
        <v>7532</v>
      </c>
      <c r="M1235" t="s">
        <v>1015</v>
      </c>
    </row>
    <row r="1236" spans="1:13" x14ac:dyDescent="0.15">
      <c r="A1236" t="s">
        <v>7533</v>
      </c>
      <c r="B1236" t="s">
        <v>14</v>
      </c>
      <c r="C1236" t="s">
        <v>118</v>
      </c>
      <c r="D1236" t="s">
        <v>2849</v>
      </c>
      <c r="E1236" t="s">
        <v>7534</v>
      </c>
      <c r="F1236" t="s">
        <v>7535</v>
      </c>
      <c r="G1236" t="s">
        <v>7536</v>
      </c>
      <c r="H1236" t="s">
        <v>7536</v>
      </c>
      <c r="I1236" t="s">
        <v>7537</v>
      </c>
      <c r="J1236" t="s">
        <v>20</v>
      </c>
      <c r="K1236" t="s">
        <v>2598</v>
      </c>
      <c r="L1236" t="s">
        <v>7537</v>
      </c>
      <c r="M1236" t="s">
        <v>432</v>
      </c>
    </row>
    <row r="1237" spans="1:13" x14ac:dyDescent="0.15">
      <c r="A1237" t="s">
        <v>7538</v>
      </c>
      <c r="B1237" t="s">
        <v>14</v>
      </c>
      <c r="C1237" t="s">
        <v>118</v>
      </c>
      <c r="D1237" t="s">
        <v>7539</v>
      </c>
      <c r="E1237" t="s">
        <v>7540</v>
      </c>
      <c r="F1237" t="s">
        <v>7541</v>
      </c>
      <c r="G1237" t="s">
        <v>7542</v>
      </c>
      <c r="H1237" t="s">
        <v>7542</v>
      </c>
      <c r="I1237" t="s">
        <v>7543</v>
      </c>
      <c r="J1237" t="s">
        <v>138</v>
      </c>
      <c r="K1237" t="s">
        <v>1078</v>
      </c>
      <c r="L1237" t="s">
        <v>7543</v>
      </c>
      <c r="M1237" t="s">
        <v>773</v>
      </c>
    </row>
    <row r="1238" spans="1:13" x14ac:dyDescent="0.15">
      <c r="A1238" t="s">
        <v>7544</v>
      </c>
      <c r="B1238" t="s">
        <v>14</v>
      </c>
      <c r="C1238" t="s">
        <v>118</v>
      </c>
      <c r="D1238" t="s">
        <v>7545</v>
      </c>
      <c r="E1238" t="s">
        <v>7546</v>
      </c>
      <c r="F1238" t="s">
        <v>7547</v>
      </c>
      <c r="G1238" t="s">
        <v>7548</v>
      </c>
      <c r="H1238" t="s">
        <v>7548</v>
      </c>
      <c r="I1238" t="s">
        <v>1574</v>
      </c>
      <c r="J1238" t="s">
        <v>138</v>
      </c>
      <c r="K1238" t="s">
        <v>1979</v>
      </c>
      <c r="L1238" t="s">
        <v>1574</v>
      </c>
      <c r="M1238" t="s">
        <v>765</v>
      </c>
    </row>
    <row r="1239" spans="1:13" x14ac:dyDescent="0.15">
      <c r="A1239" t="s">
        <v>7549</v>
      </c>
      <c r="B1239" t="s">
        <v>14</v>
      </c>
      <c r="C1239" t="s">
        <v>118</v>
      </c>
      <c r="D1239" t="s">
        <v>7550</v>
      </c>
      <c r="E1239" t="s">
        <v>7551</v>
      </c>
      <c r="F1239" t="s">
        <v>7552</v>
      </c>
      <c r="G1239" t="s">
        <v>936</v>
      </c>
      <c r="H1239" t="s">
        <v>936</v>
      </c>
      <c r="I1239" t="s">
        <v>7553</v>
      </c>
      <c r="J1239" t="s">
        <v>138</v>
      </c>
      <c r="K1239" t="s">
        <v>1526</v>
      </c>
      <c r="L1239" t="s">
        <v>7553</v>
      </c>
      <c r="M1239" t="s">
        <v>232</v>
      </c>
    </row>
    <row r="1240" spans="1:13" x14ac:dyDescent="0.15">
      <c r="A1240" t="s">
        <v>7554</v>
      </c>
      <c r="B1240" t="s">
        <v>14</v>
      </c>
      <c r="C1240" t="s">
        <v>118</v>
      </c>
      <c r="D1240" t="s">
        <v>7555</v>
      </c>
      <c r="E1240" t="s">
        <v>7556</v>
      </c>
      <c r="F1240" t="s">
        <v>7557</v>
      </c>
      <c r="G1240" t="s">
        <v>4291</v>
      </c>
      <c r="H1240" t="s">
        <v>4291</v>
      </c>
      <c r="I1240" t="s">
        <v>7558</v>
      </c>
      <c r="J1240" t="s">
        <v>138</v>
      </c>
      <c r="K1240" t="s">
        <v>2122</v>
      </c>
      <c r="L1240" t="s">
        <v>7558</v>
      </c>
      <c r="M1240" t="s">
        <v>232</v>
      </c>
    </row>
    <row r="1241" spans="1:13" x14ac:dyDescent="0.15">
      <c r="A1241" t="s">
        <v>7559</v>
      </c>
      <c r="B1241" t="s">
        <v>14</v>
      </c>
      <c r="C1241" t="s">
        <v>118</v>
      </c>
      <c r="D1241" t="s">
        <v>7560</v>
      </c>
      <c r="E1241" t="s">
        <v>7561</v>
      </c>
      <c r="F1241" t="s">
        <v>7562</v>
      </c>
      <c r="G1241" t="s">
        <v>7563</v>
      </c>
      <c r="H1241" t="s">
        <v>7563</v>
      </c>
      <c r="I1241" t="s">
        <v>7564</v>
      </c>
      <c r="J1241" t="s">
        <v>459</v>
      </c>
      <c r="K1241" t="s">
        <v>4042</v>
      </c>
      <c r="L1241" t="s">
        <v>7564</v>
      </c>
      <c r="M1241" t="s">
        <v>192</v>
      </c>
    </row>
    <row r="1242" spans="1:13" x14ac:dyDescent="0.15">
      <c r="A1242" t="s">
        <v>7565</v>
      </c>
      <c r="B1242" t="s">
        <v>14</v>
      </c>
      <c r="C1242" t="s">
        <v>118</v>
      </c>
      <c r="D1242" t="s">
        <v>7566</v>
      </c>
      <c r="E1242" t="s">
        <v>7567</v>
      </c>
      <c r="F1242" t="s">
        <v>7568</v>
      </c>
      <c r="G1242" t="s">
        <v>7569</v>
      </c>
      <c r="H1242" t="s">
        <v>7569</v>
      </c>
      <c r="I1242" t="s">
        <v>7570</v>
      </c>
      <c r="J1242" t="s">
        <v>124</v>
      </c>
      <c r="K1242" t="s">
        <v>30</v>
      </c>
      <c r="L1242" t="s">
        <v>7570</v>
      </c>
      <c r="M1242" t="s">
        <v>41</v>
      </c>
    </row>
    <row r="1243" spans="1:13" x14ac:dyDescent="0.15">
      <c r="A1243" t="s">
        <v>7571</v>
      </c>
      <c r="B1243" t="s">
        <v>14</v>
      </c>
      <c r="C1243" t="s">
        <v>118</v>
      </c>
      <c r="D1243" t="s">
        <v>7572</v>
      </c>
      <c r="E1243" t="s">
        <v>7573</v>
      </c>
      <c r="F1243" t="s">
        <v>7574</v>
      </c>
      <c r="G1243" t="s">
        <v>7575</v>
      </c>
      <c r="H1243" t="s">
        <v>7575</v>
      </c>
      <c r="I1243" t="s">
        <v>7576</v>
      </c>
      <c r="J1243" t="s">
        <v>1037</v>
      </c>
      <c r="K1243" t="s">
        <v>1743</v>
      </c>
      <c r="L1243" t="s">
        <v>7576</v>
      </c>
      <c r="M1243" t="s">
        <v>1015</v>
      </c>
    </row>
    <row r="1244" spans="1:13" x14ac:dyDescent="0.15">
      <c r="A1244" t="s">
        <v>7577</v>
      </c>
      <c r="B1244" t="s">
        <v>14</v>
      </c>
      <c r="C1244" t="s">
        <v>118</v>
      </c>
      <c r="D1244" t="s">
        <v>7578</v>
      </c>
      <c r="E1244" t="s">
        <v>7579</v>
      </c>
      <c r="F1244" t="s">
        <v>7580</v>
      </c>
      <c r="G1244" t="s">
        <v>7581</v>
      </c>
      <c r="H1244" t="s">
        <v>7581</v>
      </c>
      <c r="I1244" t="s">
        <v>7582</v>
      </c>
      <c r="J1244" t="s">
        <v>124</v>
      </c>
      <c r="K1244" t="s">
        <v>424</v>
      </c>
      <c r="L1244" t="s">
        <v>7582</v>
      </c>
      <c r="M1244" t="s">
        <v>41</v>
      </c>
    </row>
    <row r="1245" spans="1:13" x14ac:dyDescent="0.15">
      <c r="A1245" t="s">
        <v>7583</v>
      </c>
      <c r="B1245" t="s">
        <v>14</v>
      </c>
      <c r="C1245" t="s">
        <v>118</v>
      </c>
      <c r="D1245" t="s">
        <v>7584</v>
      </c>
      <c r="E1245" t="s">
        <v>7585</v>
      </c>
      <c r="F1245" t="s">
        <v>7586</v>
      </c>
      <c r="G1245" t="s">
        <v>7587</v>
      </c>
      <c r="H1245" t="s">
        <v>7587</v>
      </c>
      <c r="I1245" t="s">
        <v>7588</v>
      </c>
      <c r="J1245" t="s">
        <v>481</v>
      </c>
      <c r="K1245" t="s">
        <v>1541</v>
      </c>
      <c r="L1245" t="s">
        <v>7588</v>
      </c>
      <c r="M1245" t="s">
        <v>313</v>
      </c>
    </row>
    <row r="1246" spans="1:13" x14ac:dyDescent="0.15">
      <c r="A1246" t="s">
        <v>7589</v>
      </c>
      <c r="B1246" t="s">
        <v>14</v>
      </c>
      <c r="C1246" t="s">
        <v>118</v>
      </c>
      <c r="D1246" t="s">
        <v>7590</v>
      </c>
      <c r="E1246" t="s">
        <v>7591</v>
      </c>
      <c r="F1246" t="s">
        <v>7586</v>
      </c>
      <c r="G1246" t="s">
        <v>7592</v>
      </c>
      <c r="H1246" t="s">
        <v>7592</v>
      </c>
      <c r="I1246" t="s">
        <v>7593</v>
      </c>
      <c r="J1246" t="s">
        <v>124</v>
      </c>
      <c r="K1246" t="s">
        <v>832</v>
      </c>
      <c r="L1246" t="s">
        <v>7593</v>
      </c>
      <c r="M1246" t="s">
        <v>41</v>
      </c>
    </row>
    <row r="1247" spans="1:13" x14ac:dyDescent="0.15">
      <c r="A1247" t="s">
        <v>7594</v>
      </c>
      <c r="B1247" t="s">
        <v>14</v>
      </c>
      <c r="C1247" t="s">
        <v>118</v>
      </c>
      <c r="D1247" t="s">
        <v>7595</v>
      </c>
      <c r="E1247" t="s">
        <v>7596</v>
      </c>
      <c r="F1247" t="s">
        <v>7597</v>
      </c>
      <c r="G1247" t="s">
        <v>7598</v>
      </c>
      <c r="H1247" t="s">
        <v>7598</v>
      </c>
      <c r="I1247" t="s">
        <v>7599</v>
      </c>
      <c r="J1247" t="s">
        <v>124</v>
      </c>
      <c r="K1247" t="s">
        <v>239</v>
      </c>
      <c r="L1247" t="s">
        <v>7599</v>
      </c>
      <c r="M1247" t="s">
        <v>41</v>
      </c>
    </row>
    <row r="1248" spans="1:13" x14ac:dyDescent="0.15">
      <c r="A1248" t="s">
        <v>7600</v>
      </c>
      <c r="B1248" t="s">
        <v>14</v>
      </c>
      <c r="C1248" t="s">
        <v>118</v>
      </c>
      <c r="D1248" t="s">
        <v>7601</v>
      </c>
      <c r="E1248" t="s">
        <v>7602</v>
      </c>
      <c r="F1248" t="s">
        <v>7603</v>
      </c>
      <c r="G1248" t="s">
        <v>7604</v>
      </c>
      <c r="H1248" t="s">
        <v>7604</v>
      </c>
      <c r="I1248" t="s">
        <v>7605</v>
      </c>
      <c r="J1248" t="s">
        <v>124</v>
      </c>
      <c r="K1248" t="s">
        <v>3500</v>
      </c>
      <c r="L1248" t="s">
        <v>7605</v>
      </c>
      <c r="M1248" t="s">
        <v>80</v>
      </c>
    </row>
    <row r="1249" spans="1:13" x14ac:dyDescent="0.15">
      <c r="A1249" t="s">
        <v>7606</v>
      </c>
      <c r="B1249" t="s">
        <v>14</v>
      </c>
      <c r="C1249" t="s">
        <v>118</v>
      </c>
      <c r="D1249" t="s">
        <v>7607</v>
      </c>
      <c r="E1249" t="s">
        <v>7608</v>
      </c>
      <c r="F1249" t="s">
        <v>7609</v>
      </c>
      <c r="G1249" t="s">
        <v>7610</v>
      </c>
      <c r="H1249" t="s">
        <v>7610</v>
      </c>
      <c r="I1249" t="s">
        <v>7611</v>
      </c>
      <c r="J1249" t="s">
        <v>124</v>
      </c>
      <c r="K1249" t="s">
        <v>1846</v>
      </c>
      <c r="L1249" t="s">
        <v>7611</v>
      </c>
      <c r="M1249" t="s">
        <v>80</v>
      </c>
    </row>
    <row r="1250" spans="1:13" x14ac:dyDescent="0.15">
      <c r="A1250" t="s">
        <v>7612</v>
      </c>
      <c r="B1250" t="s">
        <v>14</v>
      </c>
      <c r="C1250" t="s">
        <v>118</v>
      </c>
      <c r="D1250" t="s">
        <v>7613</v>
      </c>
      <c r="E1250" t="s">
        <v>7614</v>
      </c>
      <c r="F1250" t="s">
        <v>7615</v>
      </c>
      <c r="G1250" t="s">
        <v>7616</v>
      </c>
      <c r="H1250" t="s">
        <v>7616</v>
      </c>
      <c r="I1250" t="s">
        <v>4851</v>
      </c>
      <c r="J1250" t="s">
        <v>481</v>
      </c>
      <c r="K1250" t="s">
        <v>5422</v>
      </c>
      <c r="L1250" t="s">
        <v>4851</v>
      </c>
      <c r="M1250" t="s">
        <v>773</v>
      </c>
    </row>
    <row r="1251" spans="1:13" x14ac:dyDescent="0.15">
      <c r="A1251" t="s">
        <v>7617</v>
      </c>
      <c r="B1251" t="s">
        <v>14</v>
      </c>
      <c r="C1251" t="s">
        <v>118</v>
      </c>
      <c r="D1251" t="s">
        <v>7618</v>
      </c>
      <c r="E1251" t="s">
        <v>7619</v>
      </c>
      <c r="F1251" t="s">
        <v>7620</v>
      </c>
      <c r="G1251" t="s">
        <v>7621</v>
      </c>
      <c r="H1251" t="s">
        <v>7621</v>
      </c>
      <c r="I1251" t="s">
        <v>7622</v>
      </c>
      <c r="J1251" t="s">
        <v>38</v>
      </c>
      <c r="K1251" t="s">
        <v>832</v>
      </c>
      <c r="L1251" t="s">
        <v>7623</v>
      </c>
      <c r="M1251" t="s">
        <v>432</v>
      </c>
    </row>
    <row r="1252" spans="1:13" x14ac:dyDescent="0.15">
      <c r="A1252" t="s">
        <v>7624</v>
      </c>
      <c r="B1252" t="s">
        <v>14</v>
      </c>
      <c r="C1252" t="s">
        <v>118</v>
      </c>
      <c r="D1252" t="s">
        <v>7625</v>
      </c>
      <c r="E1252" t="s">
        <v>7626</v>
      </c>
      <c r="F1252" t="s">
        <v>7627</v>
      </c>
      <c r="G1252" t="s">
        <v>7628</v>
      </c>
      <c r="H1252" t="s">
        <v>7628</v>
      </c>
      <c r="I1252" t="s">
        <v>4486</v>
      </c>
      <c r="J1252" t="s">
        <v>481</v>
      </c>
      <c r="K1252" t="s">
        <v>567</v>
      </c>
      <c r="L1252" t="s">
        <v>4486</v>
      </c>
      <c r="M1252" t="s">
        <v>432</v>
      </c>
    </row>
    <row r="1253" spans="1:13" x14ac:dyDescent="0.15">
      <c r="A1253" t="s">
        <v>7629</v>
      </c>
      <c r="B1253" t="s">
        <v>14</v>
      </c>
      <c r="C1253" t="s">
        <v>23</v>
      </c>
      <c r="D1253" t="s">
        <v>7630</v>
      </c>
      <c r="E1253" t="s">
        <v>7631</v>
      </c>
      <c r="F1253" t="s">
        <v>7632</v>
      </c>
      <c r="G1253" t="s">
        <v>7633</v>
      </c>
      <c r="H1253" t="s">
        <v>7633</v>
      </c>
      <c r="I1253" t="s">
        <v>7634</v>
      </c>
      <c r="J1253" t="s">
        <v>29</v>
      </c>
      <c r="K1253" t="s">
        <v>661</v>
      </c>
      <c r="L1253" t="s">
        <v>1534</v>
      </c>
      <c r="M1253" t="s">
        <v>192</v>
      </c>
    </row>
    <row r="1254" spans="1:13" x14ac:dyDescent="0.15">
      <c r="A1254" t="s">
        <v>7635</v>
      </c>
      <c r="B1254" t="s">
        <v>14</v>
      </c>
      <c r="C1254" t="s">
        <v>118</v>
      </c>
      <c r="D1254" t="s">
        <v>7636</v>
      </c>
      <c r="E1254" t="s">
        <v>7637</v>
      </c>
      <c r="F1254" t="s">
        <v>7638</v>
      </c>
      <c r="G1254" t="s">
        <v>4189</v>
      </c>
      <c r="H1254" t="s">
        <v>4189</v>
      </c>
      <c r="I1254" t="s">
        <v>7639</v>
      </c>
      <c r="J1254" t="s">
        <v>206</v>
      </c>
      <c r="K1254" t="s">
        <v>903</v>
      </c>
      <c r="L1254" t="s">
        <v>7639</v>
      </c>
      <c r="M1254" t="s">
        <v>353</v>
      </c>
    </row>
    <row r="1255" spans="1:13" x14ac:dyDescent="0.15">
      <c r="A1255" t="s">
        <v>7640</v>
      </c>
      <c r="B1255" t="s">
        <v>14</v>
      </c>
      <c r="C1255" t="s">
        <v>23</v>
      </c>
      <c r="D1255" t="s">
        <v>7641</v>
      </c>
      <c r="E1255" t="s">
        <v>7642</v>
      </c>
      <c r="F1255" t="s">
        <v>7638</v>
      </c>
      <c r="G1255" t="s">
        <v>7643</v>
      </c>
      <c r="H1255" t="s">
        <v>7643</v>
      </c>
      <c r="I1255" t="s">
        <v>7644</v>
      </c>
      <c r="J1255" t="s">
        <v>29</v>
      </c>
      <c r="K1255" t="s">
        <v>173</v>
      </c>
      <c r="L1255" t="s">
        <v>7644</v>
      </c>
      <c r="M1255" t="s">
        <v>104</v>
      </c>
    </row>
    <row r="1256" spans="1:13" x14ac:dyDescent="0.15">
      <c r="A1256" t="s">
        <v>7645</v>
      </c>
      <c r="B1256" t="s">
        <v>14</v>
      </c>
      <c r="C1256" t="s">
        <v>118</v>
      </c>
      <c r="D1256" t="s">
        <v>7646</v>
      </c>
      <c r="E1256" t="s">
        <v>7647</v>
      </c>
      <c r="F1256" t="s">
        <v>7648</v>
      </c>
      <c r="G1256" t="s">
        <v>7039</v>
      </c>
      <c r="H1256" t="s">
        <v>7039</v>
      </c>
      <c r="I1256" t="s">
        <v>7649</v>
      </c>
      <c r="J1256" t="s">
        <v>138</v>
      </c>
      <c r="K1256" t="s">
        <v>1262</v>
      </c>
      <c r="L1256" t="s">
        <v>7649</v>
      </c>
      <c r="M1256" t="s">
        <v>126</v>
      </c>
    </row>
    <row r="1257" spans="1:13" x14ac:dyDescent="0.15">
      <c r="A1257" t="s">
        <v>7650</v>
      </c>
      <c r="B1257" t="s">
        <v>14</v>
      </c>
      <c r="C1257" t="s">
        <v>118</v>
      </c>
      <c r="D1257" t="s">
        <v>7265</v>
      </c>
      <c r="E1257" t="s">
        <v>7651</v>
      </c>
      <c r="F1257" t="s">
        <v>7652</v>
      </c>
      <c r="G1257" t="s">
        <v>7268</v>
      </c>
      <c r="H1257" t="s">
        <v>7268</v>
      </c>
      <c r="I1257" t="s">
        <v>7269</v>
      </c>
      <c r="J1257" t="s">
        <v>1194</v>
      </c>
      <c r="M1257" t="s">
        <v>183</v>
      </c>
    </row>
    <row r="1258" spans="1:13" x14ac:dyDescent="0.15">
      <c r="A1258" t="s">
        <v>7653</v>
      </c>
      <c r="B1258" t="s">
        <v>14</v>
      </c>
      <c r="C1258" t="s">
        <v>118</v>
      </c>
      <c r="D1258" t="s">
        <v>7654</v>
      </c>
      <c r="E1258" t="s">
        <v>7655</v>
      </c>
      <c r="F1258" t="s">
        <v>7656</v>
      </c>
      <c r="G1258" t="s">
        <v>7657</v>
      </c>
      <c r="H1258" t="s">
        <v>7657</v>
      </c>
      <c r="I1258" t="s">
        <v>7658</v>
      </c>
      <c r="J1258" t="s">
        <v>1194</v>
      </c>
      <c r="K1258" t="s">
        <v>2667</v>
      </c>
      <c r="L1258" t="s">
        <v>7659</v>
      </c>
      <c r="M1258" t="s">
        <v>126</v>
      </c>
    </row>
    <row r="1259" spans="1:13" x14ac:dyDescent="0.15">
      <c r="A1259" t="s">
        <v>7660</v>
      </c>
      <c r="B1259" t="s">
        <v>14</v>
      </c>
      <c r="C1259" t="s">
        <v>23</v>
      </c>
      <c r="D1259" t="s">
        <v>7661</v>
      </c>
      <c r="E1259" t="s">
        <v>7662</v>
      </c>
      <c r="F1259" t="s">
        <v>7656</v>
      </c>
      <c r="G1259" t="s">
        <v>7663</v>
      </c>
      <c r="H1259" t="s">
        <v>7663</v>
      </c>
      <c r="I1259" t="s">
        <v>7664</v>
      </c>
      <c r="J1259" t="s">
        <v>297</v>
      </c>
      <c r="K1259" t="s">
        <v>554</v>
      </c>
      <c r="L1259" t="s">
        <v>7664</v>
      </c>
      <c r="M1259" t="s">
        <v>41</v>
      </c>
    </row>
    <row r="1260" spans="1:13" x14ac:dyDescent="0.15">
      <c r="A1260" t="s">
        <v>7665</v>
      </c>
      <c r="B1260" t="s">
        <v>14</v>
      </c>
      <c r="C1260" t="s">
        <v>23</v>
      </c>
      <c r="D1260" t="s">
        <v>7666</v>
      </c>
      <c r="E1260" t="s">
        <v>7667</v>
      </c>
      <c r="F1260" t="s">
        <v>7668</v>
      </c>
      <c r="G1260" t="s">
        <v>7663</v>
      </c>
      <c r="H1260" t="s">
        <v>7663</v>
      </c>
      <c r="I1260" t="s">
        <v>7664</v>
      </c>
      <c r="J1260" t="s">
        <v>297</v>
      </c>
      <c r="K1260" t="s">
        <v>608</v>
      </c>
      <c r="L1260" t="s">
        <v>7664</v>
      </c>
      <c r="M1260" t="s">
        <v>41</v>
      </c>
    </row>
    <row r="1261" spans="1:13" x14ac:dyDescent="0.15">
      <c r="A1261" t="s">
        <v>7669</v>
      </c>
      <c r="B1261" t="s">
        <v>14</v>
      </c>
      <c r="C1261" t="s">
        <v>118</v>
      </c>
      <c r="D1261" t="s">
        <v>7670</v>
      </c>
      <c r="E1261" t="s">
        <v>7671</v>
      </c>
      <c r="F1261" t="s">
        <v>7672</v>
      </c>
      <c r="G1261" t="s">
        <v>7673</v>
      </c>
      <c r="H1261" t="s">
        <v>7673</v>
      </c>
      <c r="I1261" t="s">
        <v>7674</v>
      </c>
      <c r="J1261" t="s">
        <v>20</v>
      </c>
      <c r="K1261" t="s">
        <v>2499</v>
      </c>
      <c r="L1261" t="s">
        <v>7674</v>
      </c>
      <c r="M1261" t="s">
        <v>594</v>
      </c>
    </row>
    <row r="1262" spans="1:13" x14ac:dyDescent="0.15">
      <c r="A1262" t="s">
        <v>7675</v>
      </c>
      <c r="B1262" t="s">
        <v>14</v>
      </c>
      <c r="C1262" t="s">
        <v>23</v>
      </c>
      <c r="D1262" t="s">
        <v>7676</v>
      </c>
      <c r="E1262" t="s">
        <v>7677</v>
      </c>
      <c r="F1262" t="s">
        <v>7678</v>
      </c>
      <c r="G1262" t="s">
        <v>7679</v>
      </c>
      <c r="H1262" t="s">
        <v>7679</v>
      </c>
      <c r="I1262" t="s">
        <v>7680</v>
      </c>
      <c r="J1262" t="s">
        <v>473</v>
      </c>
      <c r="K1262" t="s">
        <v>5751</v>
      </c>
      <c r="L1262" t="s">
        <v>5711</v>
      </c>
      <c r="M1262" t="s">
        <v>41</v>
      </c>
    </row>
    <row r="1263" spans="1:13" x14ac:dyDescent="0.15">
      <c r="A1263" t="s">
        <v>7681</v>
      </c>
      <c r="B1263" t="s">
        <v>14</v>
      </c>
      <c r="C1263" t="s">
        <v>23</v>
      </c>
      <c r="D1263" t="s">
        <v>7682</v>
      </c>
      <c r="E1263" t="s">
        <v>7683</v>
      </c>
      <c r="F1263" t="s">
        <v>7684</v>
      </c>
      <c r="G1263" t="s">
        <v>7685</v>
      </c>
      <c r="H1263" t="s">
        <v>7685</v>
      </c>
      <c r="I1263" t="s">
        <v>7686</v>
      </c>
      <c r="J1263" t="s">
        <v>297</v>
      </c>
      <c r="K1263" t="s">
        <v>387</v>
      </c>
      <c r="L1263" t="s">
        <v>7686</v>
      </c>
      <c r="M1263" t="s">
        <v>41</v>
      </c>
    </row>
    <row r="1264" spans="1:13" x14ac:dyDescent="0.15">
      <c r="A1264" t="s">
        <v>7687</v>
      </c>
      <c r="B1264" t="s">
        <v>14</v>
      </c>
      <c r="C1264" t="s">
        <v>118</v>
      </c>
      <c r="D1264" t="s">
        <v>7688</v>
      </c>
      <c r="E1264" t="s">
        <v>7689</v>
      </c>
      <c r="F1264" t="s">
        <v>7690</v>
      </c>
      <c r="G1264" t="s">
        <v>7691</v>
      </c>
      <c r="H1264" t="s">
        <v>7691</v>
      </c>
      <c r="I1264" t="s">
        <v>7692</v>
      </c>
      <c r="J1264" t="s">
        <v>1194</v>
      </c>
      <c r="K1264" t="s">
        <v>567</v>
      </c>
      <c r="L1264" t="s">
        <v>7692</v>
      </c>
      <c r="M1264" t="s">
        <v>126</v>
      </c>
    </row>
    <row r="1265" spans="1:13" x14ac:dyDescent="0.15">
      <c r="A1265" t="s">
        <v>7693</v>
      </c>
      <c r="B1265" t="s">
        <v>14</v>
      </c>
      <c r="C1265" t="s">
        <v>23</v>
      </c>
      <c r="D1265" t="s">
        <v>7694</v>
      </c>
      <c r="E1265" t="s">
        <v>7695</v>
      </c>
      <c r="F1265" t="s">
        <v>7696</v>
      </c>
      <c r="G1265" t="s">
        <v>7697</v>
      </c>
      <c r="H1265" t="s">
        <v>7697</v>
      </c>
      <c r="I1265" t="s">
        <v>7698</v>
      </c>
      <c r="J1265" t="s">
        <v>297</v>
      </c>
      <c r="K1265" t="s">
        <v>554</v>
      </c>
      <c r="L1265" t="s">
        <v>7698</v>
      </c>
      <c r="M1265" t="s">
        <v>41</v>
      </c>
    </row>
    <row r="1266" spans="1:13" x14ac:dyDescent="0.15">
      <c r="A1266" t="s">
        <v>7699</v>
      </c>
      <c r="B1266" t="s">
        <v>14</v>
      </c>
      <c r="C1266" t="s">
        <v>118</v>
      </c>
      <c r="D1266" t="s">
        <v>7700</v>
      </c>
      <c r="E1266" t="s">
        <v>7701</v>
      </c>
      <c r="F1266" t="s">
        <v>7702</v>
      </c>
      <c r="G1266" t="s">
        <v>7703</v>
      </c>
      <c r="H1266" t="s">
        <v>7703</v>
      </c>
      <c r="I1266" t="s">
        <v>7704</v>
      </c>
      <c r="J1266" t="s">
        <v>20</v>
      </c>
      <c r="K1266" t="s">
        <v>4761</v>
      </c>
      <c r="L1266" t="s">
        <v>7704</v>
      </c>
      <c r="M1266" t="s">
        <v>3389</v>
      </c>
    </row>
    <row r="1267" spans="1:13" x14ac:dyDescent="0.15">
      <c r="A1267" t="s">
        <v>7705</v>
      </c>
      <c r="B1267" t="s">
        <v>14</v>
      </c>
      <c r="C1267" t="s">
        <v>118</v>
      </c>
      <c r="D1267" t="s">
        <v>7706</v>
      </c>
      <c r="E1267" t="s">
        <v>7707</v>
      </c>
      <c r="F1267" t="s">
        <v>7708</v>
      </c>
      <c r="H1267" t="s">
        <v>7709</v>
      </c>
      <c r="I1267" t="s">
        <v>7710</v>
      </c>
      <c r="J1267" t="s">
        <v>3118</v>
      </c>
      <c r="M1267" t="s">
        <v>183</v>
      </c>
    </row>
    <row r="1268" spans="1:13" x14ac:dyDescent="0.15">
      <c r="A1268" t="s">
        <v>7711</v>
      </c>
      <c r="B1268" t="s">
        <v>14</v>
      </c>
      <c r="C1268" t="s">
        <v>23</v>
      </c>
      <c r="D1268" t="s">
        <v>7712</v>
      </c>
      <c r="E1268" t="s">
        <v>7713</v>
      </c>
      <c r="F1268" t="s">
        <v>7714</v>
      </c>
      <c r="G1268" t="s">
        <v>4140</v>
      </c>
      <c r="H1268" t="s">
        <v>4140</v>
      </c>
      <c r="I1268" t="s">
        <v>4128</v>
      </c>
      <c r="J1268" t="s">
        <v>95</v>
      </c>
      <c r="K1268" t="s">
        <v>72</v>
      </c>
      <c r="L1268" t="s">
        <v>3700</v>
      </c>
      <c r="M1268" t="s">
        <v>104</v>
      </c>
    </row>
    <row r="1269" spans="1:13" x14ac:dyDescent="0.15">
      <c r="A1269" t="s">
        <v>7715</v>
      </c>
      <c r="B1269" t="s">
        <v>14</v>
      </c>
      <c r="C1269" t="s">
        <v>23</v>
      </c>
      <c r="D1269" t="s">
        <v>7716</v>
      </c>
      <c r="E1269" t="s">
        <v>7717</v>
      </c>
      <c r="F1269" t="s">
        <v>7718</v>
      </c>
      <c r="G1269" t="s">
        <v>7719</v>
      </c>
      <c r="H1269" t="s">
        <v>7719</v>
      </c>
      <c r="I1269" t="s">
        <v>7720</v>
      </c>
      <c r="J1269" t="s">
        <v>124</v>
      </c>
      <c r="K1269" t="s">
        <v>506</v>
      </c>
      <c r="L1269" t="s">
        <v>7720</v>
      </c>
      <c r="M1269" t="s">
        <v>41</v>
      </c>
    </row>
    <row r="1270" spans="1:13" x14ac:dyDescent="0.15">
      <c r="A1270" t="s">
        <v>7721</v>
      </c>
      <c r="B1270" t="s">
        <v>14</v>
      </c>
      <c r="C1270" t="s">
        <v>23</v>
      </c>
      <c r="D1270" t="s">
        <v>7722</v>
      </c>
      <c r="E1270" t="s">
        <v>7723</v>
      </c>
      <c r="F1270" t="s">
        <v>7724</v>
      </c>
      <c r="G1270" t="s">
        <v>4378</v>
      </c>
      <c r="H1270" t="s">
        <v>4378</v>
      </c>
      <c r="I1270" t="s">
        <v>4379</v>
      </c>
      <c r="J1270" t="s">
        <v>124</v>
      </c>
      <c r="K1270" t="s">
        <v>903</v>
      </c>
      <c r="L1270" t="s">
        <v>4379</v>
      </c>
      <c r="M1270" t="s">
        <v>41</v>
      </c>
    </row>
    <row r="1271" spans="1:13" x14ac:dyDescent="0.15">
      <c r="A1271" t="s">
        <v>7725</v>
      </c>
      <c r="B1271" t="s">
        <v>14</v>
      </c>
      <c r="C1271" t="s">
        <v>118</v>
      </c>
      <c r="D1271" t="s">
        <v>7726</v>
      </c>
      <c r="E1271" t="s">
        <v>7727</v>
      </c>
      <c r="F1271" t="s">
        <v>7728</v>
      </c>
      <c r="G1271" t="s">
        <v>7729</v>
      </c>
      <c r="H1271" t="s">
        <v>7729</v>
      </c>
      <c r="I1271" t="s">
        <v>7730</v>
      </c>
      <c r="J1271" t="s">
        <v>124</v>
      </c>
      <c r="K1271" t="s">
        <v>1915</v>
      </c>
      <c r="L1271" t="s">
        <v>7730</v>
      </c>
      <c r="M1271" t="s">
        <v>773</v>
      </c>
    </row>
    <row r="1272" spans="1:13" x14ac:dyDescent="0.15">
      <c r="A1272" t="s">
        <v>7731</v>
      </c>
      <c r="B1272" t="s">
        <v>14</v>
      </c>
      <c r="C1272" t="s">
        <v>194</v>
      </c>
      <c r="D1272" t="s">
        <v>7732</v>
      </c>
      <c r="E1272" t="s">
        <v>7733</v>
      </c>
      <c r="F1272" t="s">
        <v>7734</v>
      </c>
      <c r="H1272" t="s">
        <v>7735</v>
      </c>
      <c r="J1272" t="s">
        <v>214</v>
      </c>
      <c r="M1272" t="s">
        <v>139</v>
      </c>
    </row>
    <row r="1273" spans="1:13" x14ac:dyDescent="0.15">
      <c r="A1273" t="s">
        <v>7736</v>
      </c>
      <c r="B1273" t="s">
        <v>14</v>
      </c>
      <c r="C1273" t="s">
        <v>23</v>
      </c>
      <c r="D1273" t="s">
        <v>7737</v>
      </c>
      <c r="E1273" t="s">
        <v>7738</v>
      </c>
      <c r="F1273" t="s">
        <v>7739</v>
      </c>
      <c r="G1273" t="s">
        <v>7740</v>
      </c>
      <c r="H1273" t="s">
        <v>7740</v>
      </c>
      <c r="I1273" t="s">
        <v>7741</v>
      </c>
      <c r="J1273" t="s">
        <v>246</v>
      </c>
      <c r="K1273" t="s">
        <v>1321</v>
      </c>
      <c r="L1273" t="s">
        <v>7742</v>
      </c>
      <c r="M1273" t="s">
        <v>880</v>
      </c>
    </row>
    <row r="1274" spans="1:13" x14ac:dyDescent="0.15">
      <c r="A1274" t="s">
        <v>7743</v>
      </c>
      <c r="B1274" t="s">
        <v>14</v>
      </c>
      <c r="C1274" t="s">
        <v>23</v>
      </c>
      <c r="D1274" t="s">
        <v>7744</v>
      </c>
      <c r="E1274" t="s">
        <v>7745</v>
      </c>
      <c r="F1274" t="s">
        <v>7746</v>
      </c>
      <c r="G1274" t="s">
        <v>7747</v>
      </c>
      <c r="H1274" t="s">
        <v>7747</v>
      </c>
      <c r="I1274" t="s">
        <v>7748</v>
      </c>
      <c r="J1274" t="s">
        <v>344</v>
      </c>
      <c r="K1274" t="s">
        <v>1281</v>
      </c>
      <c r="L1274" t="s">
        <v>7749</v>
      </c>
      <c r="M1274" t="s">
        <v>80</v>
      </c>
    </row>
    <row r="1275" spans="1:13" x14ac:dyDescent="0.15">
      <c r="A1275" t="s">
        <v>7750</v>
      </c>
      <c r="B1275" t="s">
        <v>14</v>
      </c>
      <c r="C1275" t="s">
        <v>118</v>
      </c>
      <c r="D1275" t="s">
        <v>7751</v>
      </c>
      <c r="E1275" t="s">
        <v>7752</v>
      </c>
      <c r="F1275" t="s">
        <v>7753</v>
      </c>
      <c r="G1275" t="s">
        <v>7754</v>
      </c>
      <c r="H1275" t="s">
        <v>7754</v>
      </c>
      <c r="I1275" t="s">
        <v>7755</v>
      </c>
      <c r="J1275" t="s">
        <v>2181</v>
      </c>
      <c r="K1275" t="s">
        <v>6041</v>
      </c>
      <c r="L1275" t="s">
        <v>7755</v>
      </c>
      <c r="M1275" t="s">
        <v>1015</v>
      </c>
    </row>
    <row r="1276" spans="1:13" x14ac:dyDescent="0.15">
      <c r="A1276" t="s">
        <v>7756</v>
      </c>
      <c r="B1276" t="s">
        <v>14</v>
      </c>
      <c r="C1276" t="s">
        <v>23</v>
      </c>
      <c r="D1276" t="s">
        <v>7757</v>
      </c>
      <c r="E1276" t="s">
        <v>7758</v>
      </c>
      <c r="F1276" t="s">
        <v>7759</v>
      </c>
      <c r="G1276" t="s">
        <v>7760</v>
      </c>
      <c r="H1276" t="s">
        <v>7760</v>
      </c>
      <c r="I1276" t="s">
        <v>7761</v>
      </c>
      <c r="J1276" t="s">
        <v>214</v>
      </c>
      <c r="K1276" t="s">
        <v>452</v>
      </c>
      <c r="L1276" t="s">
        <v>7761</v>
      </c>
      <c r="M1276" t="s">
        <v>104</v>
      </c>
    </row>
    <row r="1277" spans="1:13" x14ac:dyDescent="0.15">
      <c r="A1277" t="s">
        <v>7762</v>
      </c>
      <c r="B1277" t="s">
        <v>14</v>
      </c>
      <c r="C1277" t="s">
        <v>23</v>
      </c>
      <c r="D1277" t="s">
        <v>7763</v>
      </c>
      <c r="E1277" t="s">
        <v>7764</v>
      </c>
      <c r="F1277" t="s">
        <v>7765</v>
      </c>
      <c r="G1277" t="s">
        <v>7766</v>
      </c>
      <c r="H1277" t="s">
        <v>7766</v>
      </c>
      <c r="I1277" t="s">
        <v>7767</v>
      </c>
      <c r="J1277" t="s">
        <v>214</v>
      </c>
      <c r="K1277" t="s">
        <v>271</v>
      </c>
      <c r="L1277" t="s">
        <v>2149</v>
      </c>
      <c r="M1277" t="s">
        <v>104</v>
      </c>
    </row>
    <row r="1278" spans="1:13" x14ac:dyDescent="0.15">
      <c r="A1278" t="s">
        <v>7768</v>
      </c>
      <c r="B1278" t="s">
        <v>14</v>
      </c>
      <c r="C1278" t="s">
        <v>118</v>
      </c>
      <c r="D1278" t="s">
        <v>7769</v>
      </c>
      <c r="E1278" t="s">
        <v>7770</v>
      </c>
      <c r="F1278" t="s">
        <v>7771</v>
      </c>
      <c r="G1278" t="s">
        <v>7772</v>
      </c>
      <c r="H1278" t="s">
        <v>7772</v>
      </c>
      <c r="I1278" t="s">
        <v>7773</v>
      </c>
      <c r="J1278" t="s">
        <v>214</v>
      </c>
      <c r="K1278" t="s">
        <v>1321</v>
      </c>
      <c r="L1278" t="s">
        <v>7773</v>
      </c>
      <c r="M1278" t="s">
        <v>3944</v>
      </c>
    </row>
    <row r="1279" spans="1:13" x14ac:dyDescent="0.15">
      <c r="A1279" t="s">
        <v>7774</v>
      </c>
      <c r="B1279" t="s">
        <v>14</v>
      </c>
      <c r="C1279" t="s">
        <v>118</v>
      </c>
      <c r="D1279" t="s">
        <v>7775</v>
      </c>
      <c r="E1279" t="s">
        <v>7776</v>
      </c>
      <c r="F1279" t="s">
        <v>7777</v>
      </c>
      <c r="G1279" t="s">
        <v>7778</v>
      </c>
      <c r="H1279" t="s">
        <v>7778</v>
      </c>
      <c r="I1279" t="s">
        <v>7779</v>
      </c>
      <c r="J1279" t="s">
        <v>2181</v>
      </c>
      <c r="K1279" t="s">
        <v>2122</v>
      </c>
      <c r="L1279" t="s">
        <v>7779</v>
      </c>
      <c r="M1279" t="s">
        <v>1015</v>
      </c>
    </row>
    <row r="1280" spans="1:13" x14ac:dyDescent="0.15">
      <c r="A1280" t="s">
        <v>7780</v>
      </c>
      <c r="B1280" t="s">
        <v>14</v>
      </c>
      <c r="C1280" t="s">
        <v>118</v>
      </c>
      <c r="D1280" t="s">
        <v>7781</v>
      </c>
      <c r="E1280" t="s">
        <v>7782</v>
      </c>
      <c r="F1280" t="s">
        <v>7783</v>
      </c>
      <c r="G1280" t="s">
        <v>7784</v>
      </c>
      <c r="H1280" t="s">
        <v>7784</v>
      </c>
      <c r="I1280" t="s">
        <v>7785</v>
      </c>
      <c r="J1280" t="s">
        <v>514</v>
      </c>
      <c r="K1280" t="s">
        <v>839</v>
      </c>
      <c r="L1280" t="s">
        <v>7785</v>
      </c>
      <c r="M1280" t="s">
        <v>432</v>
      </c>
    </row>
    <row r="1281" spans="1:13" x14ac:dyDescent="0.15">
      <c r="A1281" t="s">
        <v>7786</v>
      </c>
      <c r="B1281" t="s">
        <v>14</v>
      </c>
      <c r="C1281" t="s">
        <v>118</v>
      </c>
      <c r="D1281" t="s">
        <v>7787</v>
      </c>
      <c r="E1281" t="s">
        <v>7788</v>
      </c>
      <c r="F1281" t="s">
        <v>7789</v>
      </c>
      <c r="G1281" t="s">
        <v>7790</v>
      </c>
      <c r="H1281" t="s">
        <v>7790</v>
      </c>
      <c r="I1281" t="s">
        <v>7791</v>
      </c>
      <c r="J1281" t="s">
        <v>415</v>
      </c>
      <c r="K1281" t="s">
        <v>30</v>
      </c>
      <c r="L1281" t="s">
        <v>7791</v>
      </c>
      <c r="M1281" t="s">
        <v>165</v>
      </c>
    </row>
    <row r="1282" spans="1:13" x14ac:dyDescent="0.15">
      <c r="A1282" t="s">
        <v>7792</v>
      </c>
      <c r="B1282" t="s">
        <v>14</v>
      </c>
      <c r="C1282" t="s">
        <v>118</v>
      </c>
      <c r="D1282" t="s">
        <v>7793</v>
      </c>
      <c r="E1282" t="s">
        <v>7794</v>
      </c>
      <c r="F1282" t="s">
        <v>7795</v>
      </c>
      <c r="G1282" t="s">
        <v>7796</v>
      </c>
      <c r="H1282" t="s">
        <v>7796</v>
      </c>
      <c r="I1282" t="s">
        <v>7797</v>
      </c>
      <c r="J1282" t="s">
        <v>1065</v>
      </c>
      <c r="K1282" t="s">
        <v>731</v>
      </c>
      <c r="L1282" t="s">
        <v>7797</v>
      </c>
      <c r="M1282" t="s">
        <v>165</v>
      </c>
    </row>
    <row r="1283" spans="1:13" x14ac:dyDescent="0.15">
      <c r="A1283" t="s">
        <v>7798</v>
      </c>
      <c r="B1283" t="s">
        <v>14</v>
      </c>
      <c r="C1283" t="s">
        <v>118</v>
      </c>
      <c r="D1283" t="s">
        <v>7799</v>
      </c>
      <c r="E1283" t="s">
        <v>7800</v>
      </c>
      <c r="F1283" t="s">
        <v>7801</v>
      </c>
      <c r="G1283" t="s">
        <v>7802</v>
      </c>
      <c r="H1283" t="s">
        <v>7802</v>
      </c>
      <c r="I1283" t="s">
        <v>7803</v>
      </c>
      <c r="J1283" t="s">
        <v>514</v>
      </c>
      <c r="K1283" t="s">
        <v>190</v>
      </c>
      <c r="L1283" t="s">
        <v>7803</v>
      </c>
      <c r="M1283" t="s">
        <v>165</v>
      </c>
    </row>
    <row r="1284" spans="1:13" x14ac:dyDescent="0.15">
      <c r="A1284" t="s">
        <v>7804</v>
      </c>
      <c r="B1284" t="s">
        <v>14</v>
      </c>
      <c r="C1284" t="s">
        <v>118</v>
      </c>
      <c r="D1284" t="s">
        <v>7805</v>
      </c>
      <c r="E1284" t="s">
        <v>7806</v>
      </c>
      <c r="F1284" t="s">
        <v>7807</v>
      </c>
      <c r="G1284" t="s">
        <v>7808</v>
      </c>
      <c r="H1284" t="s">
        <v>7808</v>
      </c>
      <c r="I1284" t="s">
        <v>7809</v>
      </c>
      <c r="J1284" t="s">
        <v>246</v>
      </c>
      <c r="K1284" t="s">
        <v>786</v>
      </c>
      <c r="L1284" t="s">
        <v>7809</v>
      </c>
      <c r="M1284" t="s">
        <v>482</v>
      </c>
    </row>
    <row r="1285" spans="1:13" x14ac:dyDescent="0.15">
      <c r="A1285" t="s">
        <v>7810</v>
      </c>
      <c r="B1285" t="s">
        <v>14</v>
      </c>
      <c r="C1285" t="s">
        <v>118</v>
      </c>
      <c r="D1285" t="s">
        <v>7811</v>
      </c>
      <c r="E1285" t="s">
        <v>7812</v>
      </c>
      <c r="F1285" t="s">
        <v>7813</v>
      </c>
      <c r="G1285" t="s">
        <v>7814</v>
      </c>
      <c r="H1285" t="s">
        <v>7814</v>
      </c>
      <c r="I1285" t="s">
        <v>7815</v>
      </c>
      <c r="J1285" t="s">
        <v>246</v>
      </c>
      <c r="K1285" t="s">
        <v>263</v>
      </c>
      <c r="L1285" t="s">
        <v>7815</v>
      </c>
      <c r="M1285" t="s">
        <v>313</v>
      </c>
    </row>
    <row r="1286" spans="1:13" x14ac:dyDescent="0.15">
      <c r="A1286" t="s">
        <v>7816</v>
      </c>
      <c r="B1286" t="s">
        <v>14</v>
      </c>
      <c r="C1286" t="s">
        <v>118</v>
      </c>
      <c r="D1286" t="s">
        <v>7817</v>
      </c>
      <c r="E1286" t="s">
        <v>7818</v>
      </c>
      <c r="F1286" t="s">
        <v>7819</v>
      </c>
      <c r="G1286" t="s">
        <v>7820</v>
      </c>
      <c r="H1286" t="s">
        <v>7820</v>
      </c>
      <c r="I1286" t="s">
        <v>7821</v>
      </c>
      <c r="J1286" t="s">
        <v>246</v>
      </c>
      <c r="K1286" t="s">
        <v>6388</v>
      </c>
      <c r="L1286" t="s">
        <v>7821</v>
      </c>
      <c r="M1286" t="s">
        <v>482</v>
      </c>
    </row>
    <row r="1287" spans="1:13" x14ac:dyDescent="0.15">
      <c r="A1287" t="s">
        <v>7822</v>
      </c>
      <c r="B1287" t="s">
        <v>14</v>
      </c>
      <c r="C1287" t="s">
        <v>23</v>
      </c>
      <c r="D1287" t="s">
        <v>7823</v>
      </c>
      <c r="E1287" t="s">
        <v>7824</v>
      </c>
      <c r="F1287" t="s">
        <v>7825</v>
      </c>
      <c r="G1287" t="s">
        <v>7826</v>
      </c>
      <c r="H1287" t="s">
        <v>7826</v>
      </c>
      <c r="I1287" t="s">
        <v>7827</v>
      </c>
      <c r="J1287" t="s">
        <v>29</v>
      </c>
      <c r="K1287" t="s">
        <v>1679</v>
      </c>
      <c r="L1287" t="s">
        <v>7828</v>
      </c>
      <c r="M1287" t="s">
        <v>41</v>
      </c>
    </row>
    <row r="1288" spans="1:13" x14ac:dyDescent="0.15">
      <c r="A1288" t="s">
        <v>7829</v>
      </c>
      <c r="B1288" t="s">
        <v>14</v>
      </c>
      <c r="C1288" t="s">
        <v>118</v>
      </c>
      <c r="D1288" t="s">
        <v>7830</v>
      </c>
      <c r="E1288" t="s">
        <v>7831</v>
      </c>
      <c r="F1288" t="s">
        <v>7832</v>
      </c>
      <c r="G1288" t="s">
        <v>7833</v>
      </c>
      <c r="H1288" t="s">
        <v>7833</v>
      </c>
      <c r="I1288" t="s">
        <v>7834</v>
      </c>
      <c r="J1288" t="s">
        <v>246</v>
      </c>
      <c r="K1288" t="s">
        <v>567</v>
      </c>
      <c r="L1288" t="s">
        <v>7834</v>
      </c>
      <c r="M1288" t="s">
        <v>313</v>
      </c>
    </row>
    <row r="1289" spans="1:13" x14ac:dyDescent="0.15">
      <c r="A1289" t="s">
        <v>7835</v>
      </c>
      <c r="B1289" t="s">
        <v>14</v>
      </c>
      <c r="C1289" t="s">
        <v>23</v>
      </c>
      <c r="D1289" t="s">
        <v>7836</v>
      </c>
      <c r="E1289" t="s">
        <v>7837</v>
      </c>
      <c r="F1289" t="s">
        <v>7838</v>
      </c>
      <c r="G1289" t="s">
        <v>7839</v>
      </c>
      <c r="H1289" t="s">
        <v>7839</v>
      </c>
      <c r="I1289" t="s">
        <v>5537</v>
      </c>
      <c r="J1289" t="s">
        <v>29</v>
      </c>
      <c r="K1289" t="s">
        <v>661</v>
      </c>
      <c r="L1289" t="s">
        <v>88</v>
      </c>
      <c r="M1289" t="s">
        <v>41</v>
      </c>
    </row>
    <row r="1290" spans="1:13" x14ac:dyDescent="0.15">
      <c r="A1290" t="s">
        <v>7840</v>
      </c>
      <c r="B1290" t="s">
        <v>14</v>
      </c>
      <c r="C1290" t="s">
        <v>118</v>
      </c>
      <c r="D1290" t="s">
        <v>7841</v>
      </c>
      <c r="E1290" t="s">
        <v>7842</v>
      </c>
      <c r="F1290" t="s">
        <v>7843</v>
      </c>
      <c r="G1290" t="s">
        <v>7844</v>
      </c>
      <c r="H1290" t="s">
        <v>7844</v>
      </c>
      <c r="I1290" t="s">
        <v>7845</v>
      </c>
      <c r="J1290" t="s">
        <v>29</v>
      </c>
      <c r="K1290" t="s">
        <v>1604</v>
      </c>
      <c r="L1290" t="s">
        <v>7845</v>
      </c>
      <c r="M1290" t="s">
        <v>1725</v>
      </c>
    </row>
    <row r="1291" spans="1:13" x14ac:dyDescent="0.15">
      <c r="A1291" t="s">
        <v>7846</v>
      </c>
      <c r="B1291" t="s">
        <v>14</v>
      </c>
      <c r="C1291" t="s">
        <v>118</v>
      </c>
      <c r="D1291" t="s">
        <v>7847</v>
      </c>
      <c r="E1291" t="s">
        <v>7848</v>
      </c>
      <c r="F1291" t="s">
        <v>7849</v>
      </c>
      <c r="G1291" t="s">
        <v>7850</v>
      </c>
      <c r="H1291" t="s">
        <v>7850</v>
      </c>
      <c r="I1291" t="s">
        <v>7851</v>
      </c>
      <c r="J1291" t="s">
        <v>1724</v>
      </c>
      <c r="K1291" t="s">
        <v>7070</v>
      </c>
      <c r="L1291" t="s">
        <v>7852</v>
      </c>
      <c r="M1291" t="s">
        <v>432</v>
      </c>
    </row>
    <row r="1292" spans="1:13" x14ac:dyDescent="0.15">
      <c r="A1292" t="s">
        <v>7853</v>
      </c>
      <c r="B1292" t="s">
        <v>14</v>
      </c>
      <c r="C1292" t="s">
        <v>23</v>
      </c>
      <c r="D1292" t="s">
        <v>7854</v>
      </c>
      <c r="E1292" t="s">
        <v>7855</v>
      </c>
      <c r="F1292" t="s">
        <v>7849</v>
      </c>
      <c r="G1292" t="s">
        <v>1936</v>
      </c>
      <c r="H1292" t="s">
        <v>1936</v>
      </c>
      <c r="I1292" t="s">
        <v>7856</v>
      </c>
      <c r="J1292" t="s">
        <v>138</v>
      </c>
      <c r="K1292" t="s">
        <v>1922</v>
      </c>
      <c r="L1292" t="s">
        <v>7857</v>
      </c>
      <c r="M1292" t="s">
        <v>104</v>
      </c>
    </row>
    <row r="1293" spans="1:13" x14ac:dyDescent="0.15">
      <c r="A1293" t="s">
        <v>7858</v>
      </c>
      <c r="B1293" t="s">
        <v>14</v>
      </c>
      <c r="C1293" t="s">
        <v>23</v>
      </c>
      <c r="D1293" t="s">
        <v>7859</v>
      </c>
      <c r="E1293" t="s">
        <v>7860</v>
      </c>
      <c r="F1293" t="s">
        <v>7861</v>
      </c>
      <c r="G1293" t="s">
        <v>7862</v>
      </c>
      <c r="H1293" t="s">
        <v>7862</v>
      </c>
      <c r="I1293" t="s">
        <v>7863</v>
      </c>
      <c r="J1293" t="s">
        <v>230</v>
      </c>
      <c r="K1293" t="s">
        <v>3258</v>
      </c>
      <c r="L1293" t="s">
        <v>7863</v>
      </c>
      <c r="M1293" t="s">
        <v>104</v>
      </c>
    </row>
    <row r="1294" spans="1:13" x14ac:dyDescent="0.15">
      <c r="A1294" t="s">
        <v>7864</v>
      </c>
      <c r="B1294" t="s">
        <v>14</v>
      </c>
      <c r="C1294" t="s">
        <v>23</v>
      </c>
      <c r="D1294" t="s">
        <v>7865</v>
      </c>
      <c r="E1294" t="s">
        <v>7866</v>
      </c>
      <c r="F1294" t="s">
        <v>7867</v>
      </c>
      <c r="G1294" t="s">
        <v>7868</v>
      </c>
      <c r="H1294" t="s">
        <v>7868</v>
      </c>
      <c r="I1294" t="s">
        <v>7869</v>
      </c>
      <c r="J1294" t="s">
        <v>230</v>
      </c>
      <c r="K1294" t="s">
        <v>1632</v>
      </c>
      <c r="L1294" t="s">
        <v>7869</v>
      </c>
      <c r="M1294" t="s">
        <v>41</v>
      </c>
    </row>
    <row r="1295" spans="1:13" x14ac:dyDescent="0.15">
      <c r="A1295" t="s">
        <v>7870</v>
      </c>
      <c r="B1295" t="s">
        <v>14</v>
      </c>
      <c r="C1295" t="s">
        <v>118</v>
      </c>
      <c r="D1295" t="s">
        <v>7871</v>
      </c>
      <c r="E1295" t="s">
        <v>7872</v>
      </c>
      <c r="F1295" t="s">
        <v>7873</v>
      </c>
      <c r="G1295" t="s">
        <v>7874</v>
      </c>
      <c r="H1295" t="s">
        <v>7874</v>
      </c>
      <c r="I1295" t="s">
        <v>7875</v>
      </c>
      <c r="J1295" t="s">
        <v>246</v>
      </c>
      <c r="K1295" t="s">
        <v>30</v>
      </c>
      <c r="L1295" t="s">
        <v>7875</v>
      </c>
      <c r="M1295" t="s">
        <v>482</v>
      </c>
    </row>
    <row r="1296" spans="1:13" x14ac:dyDescent="0.15">
      <c r="A1296" t="s">
        <v>7876</v>
      </c>
      <c r="B1296" t="s">
        <v>14</v>
      </c>
      <c r="C1296" t="s">
        <v>118</v>
      </c>
      <c r="D1296" t="s">
        <v>7877</v>
      </c>
      <c r="E1296" t="s">
        <v>7878</v>
      </c>
      <c r="F1296" t="s">
        <v>7879</v>
      </c>
      <c r="G1296" t="s">
        <v>7880</v>
      </c>
      <c r="H1296" t="s">
        <v>7880</v>
      </c>
      <c r="I1296" t="s">
        <v>7881</v>
      </c>
      <c r="J1296" t="s">
        <v>246</v>
      </c>
      <c r="K1296" t="s">
        <v>247</v>
      </c>
      <c r="L1296" t="s">
        <v>7881</v>
      </c>
      <c r="M1296" t="s">
        <v>482</v>
      </c>
    </row>
    <row r="1297" spans="1:13" x14ac:dyDescent="0.15">
      <c r="A1297" t="s">
        <v>7882</v>
      </c>
      <c r="B1297" t="s">
        <v>14</v>
      </c>
      <c r="C1297" t="s">
        <v>118</v>
      </c>
      <c r="D1297" t="s">
        <v>7883</v>
      </c>
      <c r="E1297" t="s">
        <v>7884</v>
      </c>
      <c r="F1297" t="s">
        <v>7885</v>
      </c>
      <c r="G1297" t="s">
        <v>7886</v>
      </c>
      <c r="H1297" t="s">
        <v>7886</v>
      </c>
      <c r="I1297" t="s">
        <v>7887</v>
      </c>
      <c r="J1297" t="s">
        <v>20</v>
      </c>
      <c r="K1297" t="s">
        <v>554</v>
      </c>
      <c r="L1297" t="s">
        <v>7887</v>
      </c>
      <c r="M1297" t="s">
        <v>165</v>
      </c>
    </row>
    <row r="1298" spans="1:13" x14ac:dyDescent="0.15">
      <c r="A1298" t="s">
        <v>7888</v>
      </c>
      <c r="B1298" t="s">
        <v>14</v>
      </c>
      <c r="C1298" t="s">
        <v>23</v>
      </c>
      <c r="D1298" t="s">
        <v>7889</v>
      </c>
      <c r="E1298" t="s">
        <v>7890</v>
      </c>
      <c r="F1298" t="s">
        <v>7891</v>
      </c>
      <c r="G1298" t="s">
        <v>715</v>
      </c>
      <c r="H1298" t="s">
        <v>715</v>
      </c>
      <c r="I1298" t="s">
        <v>7892</v>
      </c>
      <c r="J1298" t="s">
        <v>124</v>
      </c>
      <c r="K1298" t="s">
        <v>1281</v>
      </c>
      <c r="L1298" t="s">
        <v>7893</v>
      </c>
      <c r="M1298" t="s">
        <v>41</v>
      </c>
    </row>
    <row r="1299" spans="1:13" x14ac:dyDescent="0.15">
      <c r="A1299" t="s">
        <v>7894</v>
      </c>
      <c r="B1299" t="s">
        <v>14</v>
      </c>
      <c r="C1299" t="s">
        <v>15</v>
      </c>
      <c r="D1299" t="s">
        <v>2207</v>
      </c>
      <c r="E1299" t="s">
        <v>7895</v>
      </c>
      <c r="F1299" t="s">
        <v>7896</v>
      </c>
      <c r="G1299" t="s">
        <v>7897</v>
      </c>
      <c r="H1299" t="s">
        <v>145</v>
      </c>
      <c r="J1299" t="s">
        <v>2205</v>
      </c>
      <c r="M1299" t="s">
        <v>139</v>
      </c>
    </row>
    <row r="1300" spans="1:13" x14ac:dyDescent="0.15">
      <c r="A1300" t="s">
        <v>7898</v>
      </c>
      <c r="B1300" t="s">
        <v>14</v>
      </c>
      <c r="C1300" t="s">
        <v>23</v>
      </c>
      <c r="D1300" t="s">
        <v>7899</v>
      </c>
      <c r="E1300" t="s">
        <v>7900</v>
      </c>
      <c r="F1300" t="s">
        <v>7901</v>
      </c>
      <c r="G1300" t="s">
        <v>7902</v>
      </c>
      <c r="H1300" t="s">
        <v>7902</v>
      </c>
      <c r="I1300" t="s">
        <v>7903</v>
      </c>
      <c r="J1300" t="s">
        <v>344</v>
      </c>
      <c r="K1300" t="s">
        <v>2043</v>
      </c>
      <c r="L1300" t="s">
        <v>7904</v>
      </c>
      <c r="M1300" t="s">
        <v>41</v>
      </c>
    </row>
    <row r="1301" spans="1:13" x14ac:dyDescent="0.15">
      <c r="A1301" t="s">
        <v>7905</v>
      </c>
      <c r="B1301" t="s">
        <v>14</v>
      </c>
      <c r="C1301" t="s">
        <v>118</v>
      </c>
      <c r="D1301" t="s">
        <v>7906</v>
      </c>
      <c r="E1301" t="s">
        <v>7907</v>
      </c>
      <c r="F1301" t="s">
        <v>7908</v>
      </c>
      <c r="G1301" t="s">
        <v>7909</v>
      </c>
      <c r="H1301" t="s">
        <v>7909</v>
      </c>
      <c r="I1301" t="s">
        <v>7910</v>
      </c>
      <c r="J1301" t="s">
        <v>2181</v>
      </c>
      <c r="K1301" t="s">
        <v>1541</v>
      </c>
      <c r="L1301" t="s">
        <v>7910</v>
      </c>
      <c r="M1301" t="s">
        <v>126</v>
      </c>
    </row>
    <row r="1302" spans="1:13" x14ac:dyDescent="0.15">
      <c r="A1302" t="s">
        <v>7911</v>
      </c>
      <c r="B1302" t="s">
        <v>14</v>
      </c>
      <c r="C1302" t="s">
        <v>23</v>
      </c>
      <c r="D1302" t="s">
        <v>7912</v>
      </c>
      <c r="E1302" t="s">
        <v>7913</v>
      </c>
      <c r="F1302" t="s">
        <v>7914</v>
      </c>
      <c r="G1302" t="s">
        <v>7102</v>
      </c>
      <c r="H1302" t="s">
        <v>7102</v>
      </c>
      <c r="I1302" t="s">
        <v>7915</v>
      </c>
      <c r="J1302" t="s">
        <v>214</v>
      </c>
      <c r="K1302" t="s">
        <v>6670</v>
      </c>
      <c r="L1302" t="s">
        <v>7916</v>
      </c>
      <c r="M1302" t="s">
        <v>80</v>
      </c>
    </row>
    <row r="1303" spans="1:13" x14ac:dyDescent="0.15">
      <c r="A1303" t="s">
        <v>7917</v>
      </c>
      <c r="B1303" t="s">
        <v>14</v>
      </c>
      <c r="C1303" t="s">
        <v>118</v>
      </c>
      <c r="D1303" t="s">
        <v>7918</v>
      </c>
      <c r="E1303" t="s">
        <v>7919</v>
      </c>
      <c r="F1303" t="s">
        <v>7920</v>
      </c>
      <c r="H1303" t="s">
        <v>7921</v>
      </c>
      <c r="I1303" t="s">
        <v>7922</v>
      </c>
      <c r="J1303" t="s">
        <v>147</v>
      </c>
      <c r="K1303" t="s">
        <v>786</v>
      </c>
      <c r="L1303" t="s">
        <v>7922</v>
      </c>
      <c r="M1303" t="s">
        <v>183</v>
      </c>
    </row>
    <row r="1304" spans="1:13" x14ac:dyDescent="0.15">
      <c r="A1304" t="s">
        <v>7923</v>
      </c>
      <c r="B1304" t="s">
        <v>14</v>
      </c>
      <c r="C1304" t="s">
        <v>118</v>
      </c>
      <c r="D1304" t="s">
        <v>7924</v>
      </c>
      <c r="E1304" t="s">
        <v>7925</v>
      </c>
      <c r="F1304" t="s">
        <v>7926</v>
      </c>
      <c r="H1304" t="s">
        <v>7927</v>
      </c>
      <c r="I1304" t="s">
        <v>145</v>
      </c>
      <c r="J1304" t="s">
        <v>2181</v>
      </c>
      <c r="K1304" t="s">
        <v>263</v>
      </c>
      <c r="L1304" t="s">
        <v>1084</v>
      </c>
      <c r="M1304" t="s">
        <v>192</v>
      </c>
    </row>
    <row r="1305" spans="1:13" x14ac:dyDescent="0.15">
      <c r="A1305" t="s">
        <v>7928</v>
      </c>
      <c r="B1305" t="s">
        <v>14</v>
      </c>
      <c r="C1305" t="s">
        <v>118</v>
      </c>
      <c r="D1305" t="s">
        <v>7929</v>
      </c>
      <c r="E1305" t="s">
        <v>7930</v>
      </c>
      <c r="F1305" t="s">
        <v>7931</v>
      </c>
      <c r="G1305" t="s">
        <v>7932</v>
      </c>
      <c r="H1305" t="s">
        <v>7932</v>
      </c>
      <c r="I1305" t="s">
        <v>7933</v>
      </c>
      <c r="J1305" t="s">
        <v>1194</v>
      </c>
      <c r="K1305" t="s">
        <v>263</v>
      </c>
      <c r="L1305" t="s">
        <v>7934</v>
      </c>
      <c r="M1305" t="s">
        <v>41</v>
      </c>
    </row>
    <row r="1306" spans="1:13" x14ac:dyDescent="0.15">
      <c r="A1306" t="s">
        <v>7935</v>
      </c>
      <c r="B1306" t="s">
        <v>14</v>
      </c>
      <c r="C1306" t="s">
        <v>118</v>
      </c>
      <c r="D1306" t="s">
        <v>7936</v>
      </c>
      <c r="E1306" t="s">
        <v>7937</v>
      </c>
      <c r="F1306" t="s">
        <v>7938</v>
      </c>
      <c r="G1306" t="s">
        <v>7939</v>
      </c>
      <c r="H1306" t="s">
        <v>7939</v>
      </c>
      <c r="I1306" t="s">
        <v>7940</v>
      </c>
      <c r="J1306" t="s">
        <v>1194</v>
      </c>
      <c r="K1306" t="s">
        <v>1541</v>
      </c>
      <c r="L1306" t="s">
        <v>7940</v>
      </c>
      <c r="M1306" t="s">
        <v>104</v>
      </c>
    </row>
    <row r="1307" spans="1:13" x14ac:dyDescent="0.15">
      <c r="A1307" t="s">
        <v>7941</v>
      </c>
      <c r="B1307" t="s">
        <v>14</v>
      </c>
      <c r="C1307" t="s">
        <v>118</v>
      </c>
      <c r="D1307" t="s">
        <v>7942</v>
      </c>
      <c r="E1307" t="s">
        <v>7943</v>
      </c>
      <c r="F1307" t="s">
        <v>7944</v>
      </c>
      <c r="H1307" t="s">
        <v>145</v>
      </c>
      <c r="I1307" t="s">
        <v>2797</v>
      </c>
      <c r="J1307" t="s">
        <v>172</v>
      </c>
      <c r="K1307" t="s">
        <v>832</v>
      </c>
      <c r="L1307" t="s">
        <v>2797</v>
      </c>
      <c r="M1307" t="s">
        <v>31</v>
      </c>
    </row>
    <row r="1308" spans="1:13" x14ac:dyDescent="0.15">
      <c r="A1308" t="s">
        <v>7945</v>
      </c>
      <c r="B1308" t="s">
        <v>14</v>
      </c>
      <c r="C1308" t="s">
        <v>118</v>
      </c>
      <c r="D1308" t="s">
        <v>7946</v>
      </c>
      <c r="E1308" t="s">
        <v>7947</v>
      </c>
      <c r="F1308" t="s">
        <v>7948</v>
      </c>
      <c r="H1308" t="s">
        <v>145</v>
      </c>
      <c r="I1308" t="s">
        <v>7949</v>
      </c>
      <c r="J1308" t="s">
        <v>172</v>
      </c>
      <c r="K1308" t="s">
        <v>839</v>
      </c>
      <c r="L1308" t="s">
        <v>7949</v>
      </c>
      <c r="M1308" t="s">
        <v>126</v>
      </c>
    </row>
    <row r="1309" spans="1:13" x14ac:dyDescent="0.15">
      <c r="A1309" t="s">
        <v>7950</v>
      </c>
      <c r="B1309" t="s">
        <v>14</v>
      </c>
      <c r="C1309" t="s">
        <v>118</v>
      </c>
      <c r="D1309" t="s">
        <v>7951</v>
      </c>
      <c r="E1309" t="s">
        <v>7952</v>
      </c>
      <c r="F1309" t="s">
        <v>7953</v>
      </c>
      <c r="G1309" t="s">
        <v>2192</v>
      </c>
      <c r="H1309" t="s">
        <v>2192</v>
      </c>
      <c r="I1309" t="s">
        <v>5940</v>
      </c>
      <c r="J1309" t="s">
        <v>415</v>
      </c>
      <c r="K1309" t="s">
        <v>772</v>
      </c>
      <c r="L1309" t="s">
        <v>5940</v>
      </c>
      <c r="M1309" t="s">
        <v>2979</v>
      </c>
    </row>
    <row r="1310" spans="1:13" x14ac:dyDescent="0.15">
      <c r="A1310" t="s">
        <v>7954</v>
      </c>
      <c r="B1310" t="s">
        <v>14</v>
      </c>
      <c r="C1310" t="s">
        <v>118</v>
      </c>
      <c r="D1310" t="s">
        <v>7955</v>
      </c>
      <c r="E1310" t="s">
        <v>7956</v>
      </c>
      <c r="F1310" t="s">
        <v>7957</v>
      </c>
      <c r="G1310" t="s">
        <v>7958</v>
      </c>
      <c r="H1310" t="s">
        <v>7958</v>
      </c>
      <c r="I1310" t="s">
        <v>7959</v>
      </c>
      <c r="J1310" t="s">
        <v>415</v>
      </c>
      <c r="K1310" t="s">
        <v>2122</v>
      </c>
      <c r="L1310" t="s">
        <v>7959</v>
      </c>
      <c r="M1310" t="s">
        <v>2979</v>
      </c>
    </row>
    <row r="1311" spans="1:13" x14ac:dyDescent="0.15">
      <c r="A1311" t="s">
        <v>7960</v>
      </c>
      <c r="B1311" t="s">
        <v>14</v>
      </c>
      <c r="C1311" t="s">
        <v>118</v>
      </c>
      <c r="D1311" t="s">
        <v>7961</v>
      </c>
      <c r="E1311" t="s">
        <v>7962</v>
      </c>
      <c r="F1311" t="s">
        <v>7963</v>
      </c>
      <c r="G1311" t="s">
        <v>4013</v>
      </c>
      <c r="H1311" t="s">
        <v>4013</v>
      </c>
      <c r="I1311" t="s">
        <v>1830</v>
      </c>
      <c r="J1311" t="s">
        <v>415</v>
      </c>
      <c r="K1311" t="s">
        <v>601</v>
      </c>
      <c r="L1311" t="s">
        <v>1830</v>
      </c>
      <c r="M1311" t="s">
        <v>2979</v>
      </c>
    </row>
    <row r="1312" spans="1:13" x14ac:dyDescent="0.15">
      <c r="A1312" t="s">
        <v>7964</v>
      </c>
      <c r="B1312" t="s">
        <v>14</v>
      </c>
      <c r="C1312" t="s">
        <v>15</v>
      </c>
      <c r="D1312" t="s">
        <v>7965</v>
      </c>
      <c r="E1312" t="s">
        <v>7966</v>
      </c>
      <c r="F1312" t="s">
        <v>7967</v>
      </c>
      <c r="G1312" t="s">
        <v>7968</v>
      </c>
      <c r="H1312" t="s">
        <v>7968</v>
      </c>
      <c r="J1312" t="s">
        <v>514</v>
      </c>
      <c r="M1312" t="s">
        <v>139</v>
      </c>
    </row>
    <row r="1313" spans="1:13" x14ac:dyDescent="0.15">
      <c r="A1313" t="s">
        <v>7969</v>
      </c>
      <c r="B1313" t="s">
        <v>14</v>
      </c>
      <c r="C1313" t="s">
        <v>118</v>
      </c>
      <c r="D1313" t="s">
        <v>7970</v>
      </c>
      <c r="E1313" t="s">
        <v>7971</v>
      </c>
      <c r="F1313" t="s">
        <v>7972</v>
      </c>
      <c r="G1313" t="s">
        <v>7973</v>
      </c>
      <c r="H1313" t="s">
        <v>7973</v>
      </c>
      <c r="I1313" t="s">
        <v>7974</v>
      </c>
      <c r="J1313" t="s">
        <v>1194</v>
      </c>
      <c r="K1313" t="s">
        <v>231</v>
      </c>
      <c r="L1313" t="s">
        <v>7974</v>
      </c>
      <c r="M1313" t="s">
        <v>482</v>
      </c>
    </row>
    <row r="1314" spans="1:13" x14ac:dyDescent="0.15">
      <c r="A1314" t="s">
        <v>7975</v>
      </c>
      <c r="B1314" t="s">
        <v>14</v>
      </c>
      <c r="C1314" t="s">
        <v>118</v>
      </c>
      <c r="D1314" t="s">
        <v>7976</v>
      </c>
      <c r="E1314" t="s">
        <v>7977</v>
      </c>
      <c r="F1314" t="s">
        <v>7978</v>
      </c>
      <c r="H1314" t="s">
        <v>7979</v>
      </c>
      <c r="I1314" t="s">
        <v>7980</v>
      </c>
      <c r="J1314" t="s">
        <v>3118</v>
      </c>
      <c r="K1314" t="s">
        <v>1458</v>
      </c>
      <c r="L1314" t="s">
        <v>5159</v>
      </c>
      <c r="M1314" t="s">
        <v>21</v>
      </c>
    </row>
    <row r="1315" spans="1:13" x14ac:dyDescent="0.15">
      <c r="A1315" t="s">
        <v>7981</v>
      </c>
      <c r="B1315" t="s">
        <v>14</v>
      </c>
      <c r="C1315" t="s">
        <v>23</v>
      </c>
      <c r="D1315" t="s">
        <v>7982</v>
      </c>
      <c r="E1315" t="s">
        <v>7983</v>
      </c>
      <c r="F1315" t="s">
        <v>7984</v>
      </c>
      <c r="G1315" t="s">
        <v>7697</v>
      </c>
      <c r="H1315" t="s">
        <v>7697</v>
      </c>
      <c r="I1315" t="s">
        <v>7985</v>
      </c>
      <c r="J1315" t="s">
        <v>352</v>
      </c>
      <c r="K1315" t="s">
        <v>271</v>
      </c>
      <c r="L1315" t="s">
        <v>7985</v>
      </c>
      <c r="M1315" t="s">
        <v>41</v>
      </c>
    </row>
    <row r="1316" spans="1:13" x14ac:dyDescent="0.15">
      <c r="A1316" t="s">
        <v>7986</v>
      </c>
      <c r="B1316" t="s">
        <v>14</v>
      </c>
      <c r="C1316" t="s">
        <v>23</v>
      </c>
      <c r="D1316" t="s">
        <v>7987</v>
      </c>
      <c r="E1316" t="s">
        <v>7988</v>
      </c>
      <c r="F1316" t="s">
        <v>7989</v>
      </c>
      <c r="G1316" t="s">
        <v>7990</v>
      </c>
      <c r="H1316" t="s">
        <v>7990</v>
      </c>
      <c r="I1316" t="s">
        <v>7991</v>
      </c>
      <c r="J1316" t="s">
        <v>352</v>
      </c>
      <c r="K1316" t="s">
        <v>431</v>
      </c>
      <c r="L1316" t="s">
        <v>7991</v>
      </c>
      <c r="M1316" t="s">
        <v>104</v>
      </c>
    </row>
    <row r="1317" spans="1:13" x14ac:dyDescent="0.15">
      <c r="A1317" t="s">
        <v>7992</v>
      </c>
      <c r="B1317" t="s">
        <v>14</v>
      </c>
      <c r="C1317" t="s">
        <v>23</v>
      </c>
      <c r="D1317" t="s">
        <v>7993</v>
      </c>
      <c r="E1317" t="s">
        <v>7994</v>
      </c>
      <c r="F1317" t="s">
        <v>7995</v>
      </c>
      <c r="G1317" t="s">
        <v>5812</v>
      </c>
      <c r="H1317" t="s">
        <v>5812</v>
      </c>
      <c r="I1317" t="s">
        <v>7996</v>
      </c>
      <c r="J1317" t="s">
        <v>29</v>
      </c>
      <c r="K1317" t="s">
        <v>1679</v>
      </c>
      <c r="L1317" t="s">
        <v>3000</v>
      </c>
      <c r="M1317" t="s">
        <v>104</v>
      </c>
    </row>
    <row r="1318" spans="1:13" x14ac:dyDescent="0.15">
      <c r="A1318" t="s">
        <v>7997</v>
      </c>
      <c r="B1318" t="s">
        <v>14</v>
      </c>
      <c r="C1318" t="s">
        <v>118</v>
      </c>
      <c r="D1318" t="s">
        <v>7998</v>
      </c>
      <c r="E1318" t="s">
        <v>7999</v>
      </c>
      <c r="F1318" t="s">
        <v>8000</v>
      </c>
      <c r="G1318" t="s">
        <v>8001</v>
      </c>
      <c r="H1318" t="s">
        <v>8001</v>
      </c>
      <c r="I1318" t="s">
        <v>8002</v>
      </c>
      <c r="J1318" t="s">
        <v>29</v>
      </c>
      <c r="K1318" t="s">
        <v>1896</v>
      </c>
      <c r="L1318" t="s">
        <v>8002</v>
      </c>
      <c r="M1318" t="s">
        <v>232</v>
      </c>
    </row>
    <row r="1319" spans="1:13" x14ac:dyDescent="0.15">
      <c r="A1319" t="s">
        <v>8003</v>
      </c>
      <c r="B1319" t="s">
        <v>14</v>
      </c>
      <c r="C1319" t="s">
        <v>15</v>
      </c>
      <c r="D1319" t="s">
        <v>8004</v>
      </c>
      <c r="E1319" t="s">
        <v>8005</v>
      </c>
      <c r="F1319" t="s">
        <v>8006</v>
      </c>
      <c r="G1319" t="s">
        <v>5744</v>
      </c>
      <c r="H1319" t="s">
        <v>5744</v>
      </c>
      <c r="J1319" t="s">
        <v>481</v>
      </c>
      <c r="M1319" t="s">
        <v>139</v>
      </c>
    </row>
    <row r="1320" spans="1:13" x14ac:dyDescent="0.15">
      <c r="A1320" t="s">
        <v>8007</v>
      </c>
      <c r="B1320" t="s">
        <v>14</v>
      </c>
      <c r="C1320" t="s">
        <v>118</v>
      </c>
      <c r="D1320" t="s">
        <v>8008</v>
      </c>
      <c r="E1320" t="s">
        <v>8009</v>
      </c>
      <c r="F1320" t="s">
        <v>8010</v>
      </c>
      <c r="G1320" t="s">
        <v>8011</v>
      </c>
      <c r="H1320" t="s">
        <v>8011</v>
      </c>
      <c r="I1320" t="s">
        <v>8012</v>
      </c>
      <c r="J1320" t="s">
        <v>246</v>
      </c>
      <c r="K1320" t="s">
        <v>3258</v>
      </c>
      <c r="L1320" t="s">
        <v>8012</v>
      </c>
      <c r="M1320" t="s">
        <v>290</v>
      </c>
    </row>
    <row r="1321" spans="1:13" x14ac:dyDescent="0.15">
      <c r="A1321" t="s">
        <v>8013</v>
      </c>
      <c r="B1321" t="s">
        <v>14</v>
      </c>
      <c r="C1321" t="s">
        <v>118</v>
      </c>
      <c r="D1321" t="s">
        <v>8014</v>
      </c>
      <c r="E1321" t="s">
        <v>8015</v>
      </c>
      <c r="F1321" t="s">
        <v>8016</v>
      </c>
      <c r="G1321" t="s">
        <v>8017</v>
      </c>
      <c r="H1321" t="s">
        <v>8017</v>
      </c>
      <c r="I1321" t="s">
        <v>8018</v>
      </c>
      <c r="J1321" t="s">
        <v>246</v>
      </c>
      <c r="K1321" t="s">
        <v>1541</v>
      </c>
      <c r="L1321" t="s">
        <v>8018</v>
      </c>
      <c r="M1321" t="s">
        <v>880</v>
      </c>
    </row>
    <row r="1322" spans="1:13" x14ac:dyDescent="0.15">
      <c r="A1322" t="s">
        <v>8019</v>
      </c>
      <c r="B1322" t="s">
        <v>14</v>
      </c>
      <c r="C1322" t="s">
        <v>118</v>
      </c>
      <c r="D1322" t="s">
        <v>2952</v>
      </c>
      <c r="E1322" t="s">
        <v>8020</v>
      </c>
      <c r="F1322" t="s">
        <v>8021</v>
      </c>
      <c r="G1322" t="s">
        <v>8022</v>
      </c>
      <c r="H1322" t="s">
        <v>8022</v>
      </c>
      <c r="I1322" t="s">
        <v>8023</v>
      </c>
      <c r="J1322" t="s">
        <v>297</v>
      </c>
      <c r="K1322" t="s">
        <v>772</v>
      </c>
      <c r="L1322" t="s">
        <v>8023</v>
      </c>
      <c r="M1322" t="s">
        <v>4035</v>
      </c>
    </row>
    <row r="1323" spans="1:13" x14ac:dyDescent="0.15">
      <c r="A1323" t="s">
        <v>8024</v>
      </c>
      <c r="B1323" t="s">
        <v>14</v>
      </c>
      <c r="C1323" t="s">
        <v>118</v>
      </c>
      <c r="D1323" t="s">
        <v>8025</v>
      </c>
      <c r="E1323" t="s">
        <v>8026</v>
      </c>
      <c r="F1323" t="s">
        <v>8027</v>
      </c>
      <c r="G1323" t="s">
        <v>8028</v>
      </c>
      <c r="H1323" t="s">
        <v>8028</v>
      </c>
      <c r="I1323" t="s">
        <v>8029</v>
      </c>
      <c r="J1323" t="s">
        <v>246</v>
      </c>
      <c r="K1323" t="s">
        <v>5693</v>
      </c>
      <c r="L1323" t="s">
        <v>8029</v>
      </c>
      <c r="M1323" t="s">
        <v>1725</v>
      </c>
    </row>
    <row r="1324" spans="1:13" x14ac:dyDescent="0.15">
      <c r="A1324" t="s">
        <v>8030</v>
      </c>
      <c r="B1324" t="s">
        <v>14</v>
      </c>
      <c r="C1324" t="s">
        <v>118</v>
      </c>
      <c r="D1324" t="s">
        <v>8031</v>
      </c>
      <c r="E1324" t="s">
        <v>8032</v>
      </c>
      <c r="F1324" t="s">
        <v>8033</v>
      </c>
      <c r="G1324" t="s">
        <v>8034</v>
      </c>
      <c r="H1324" t="s">
        <v>8034</v>
      </c>
      <c r="I1324" t="s">
        <v>8035</v>
      </c>
      <c r="J1324" t="s">
        <v>20</v>
      </c>
      <c r="K1324" t="s">
        <v>772</v>
      </c>
      <c r="L1324" t="s">
        <v>8035</v>
      </c>
      <c r="M1324" t="s">
        <v>812</v>
      </c>
    </row>
    <row r="1325" spans="1:13" x14ac:dyDescent="0.15">
      <c r="A1325" t="s">
        <v>8036</v>
      </c>
      <c r="B1325" t="s">
        <v>14</v>
      </c>
      <c r="C1325" t="s">
        <v>118</v>
      </c>
      <c r="D1325" t="s">
        <v>8037</v>
      </c>
      <c r="E1325" t="s">
        <v>8038</v>
      </c>
      <c r="F1325" t="s">
        <v>8039</v>
      </c>
      <c r="G1325" t="s">
        <v>8040</v>
      </c>
      <c r="H1325" t="s">
        <v>8040</v>
      </c>
      <c r="I1325" t="s">
        <v>8041</v>
      </c>
      <c r="J1325" t="s">
        <v>2181</v>
      </c>
      <c r="K1325" t="s">
        <v>247</v>
      </c>
      <c r="L1325" t="s">
        <v>3419</v>
      </c>
      <c r="M1325" t="s">
        <v>104</v>
      </c>
    </row>
    <row r="1326" spans="1:13" x14ac:dyDescent="0.15">
      <c r="A1326" t="s">
        <v>8042</v>
      </c>
      <c r="B1326" t="s">
        <v>14</v>
      </c>
      <c r="C1326" t="s">
        <v>118</v>
      </c>
      <c r="D1326" t="s">
        <v>8043</v>
      </c>
      <c r="E1326" t="s">
        <v>8044</v>
      </c>
      <c r="F1326" t="s">
        <v>8045</v>
      </c>
      <c r="G1326" t="s">
        <v>8046</v>
      </c>
      <c r="H1326" t="s">
        <v>8046</v>
      </c>
      <c r="I1326" t="s">
        <v>8047</v>
      </c>
      <c r="J1326" t="s">
        <v>270</v>
      </c>
      <c r="K1326" t="s">
        <v>2667</v>
      </c>
      <c r="L1326" t="s">
        <v>8047</v>
      </c>
      <c r="M1326" t="s">
        <v>353</v>
      </c>
    </row>
    <row r="1327" spans="1:13" x14ac:dyDescent="0.15">
      <c r="A1327" t="s">
        <v>8048</v>
      </c>
      <c r="B1327" t="s">
        <v>14</v>
      </c>
      <c r="C1327" t="s">
        <v>118</v>
      </c>
      <c r="D1327" t="s">
        <v>8049</v>
      </c>
      <c r="E1327" t="s">
        <v>8050</v>
      </c>
      <c r="F1327" t="s">
        <v>8051</v>
      </c>
      <c r="G1327" t="s">
        <v>8052</v>
      </c>
      <c r="H1327" t="s">
        <v>8052</v>
      </c>
      <c r="I1327" t="s">
        <v>145</v>
      </c>
      <c r="J1327" t="s">
        <v>2181</v>
      </c>
      <c r="K1327" t="s">
        <v>2122</v>
      </c>
      <c r="L1327" t="s">
        <v>8053</v>
      </c>
      <c r="M1327" t="s">
        <v>104</v>
      </c>
    </row>
    <row r="1328" spans="1:13" x14ac:dyDescent="0.15">
      <c r="A1328" t="s">
        <v>8054</v>
      </c>
      <c r="B1328" t="s">
        <v>14</v>
      </c>
      <c r="C1328" t="s">
        <v>118</v>
      </c>
      <c r="D1328" t="s">
        <v>8055</v>
      </c>
      <c r="E1328" t="s">
        <v>8056</v>
      </c>
      <c r="F1328" t="s">
        <v>8057</v>
      </c>
      <c r="G1328" t="s">
        <v>8058</v>
      </c>
      <c r="H1328" t="s">
        <v>8058</v>
      </c>
      <c r="I1328" t="s">
        <v>8059</v>
      </c>
      <c r="J1328" t="s">
        <v>1717</v>
      </c>
      <c r="K1328" t="s">
        <v>431</v>
      </c>
      <c r="L1328" t="s">
        <v>8059</v>
      </c>
      <c r="M1328" t="s">
        <v>353</v>
      </c>
    </row>
    <row r="1329" spans="1:13" x14ac:dyDescent="0.15">
      <c r="A1329" t="s">
        <v>8060</v>
      </c>
      <c r="B1329" t="s">
        <v>14</v>
      </c>
      <c r="C1329" t="s">
        <v>118</v>
      </c>
      <c r="D1329" t="s">
        <v>8061</v>
      </c>
      <c r="E1329" t="s">
        <v>8062</v>
      </c>
      <c r="F1329" t="s">
        <v>8063</v>
      </c>
      <c r="G1329" t="s">
        <v>8064</v>
      </c>
      <c r="H1329" t="s">
        <v>8064</v>
      </c>
      <c r="I1329" t="s">
        <v>8065</v>
      </c>
      <c r="J1329" t="s">
        <v>246</v>
      </c>
      <c r="K1329" t="s">
        <v>2037</v>
      </c>
      <c r="L1329" t="s">
        <v>8065</v>
      </c>
      <c r="M1329" t="s">
        <v>165</v>
      </c>
    </row>
    <row r="1330" spans="1:13" x14ac:dyDescent="0.15">
      <c r="A1330" t="s">
        <v>8066</v>
      </c>
      <c r="B1330" t="s">
        <v>14</v>
      </c>
      <c r="C1330" t="s">
        <v>23</v>
      </c>
      <c r="D1330" t="s">
        <v>8067</v>
      </c>
      <c r="E1330" t="s">
        <v>8068</v>
      </c>
      <c r="F1330" t="s">
        <v>8069</v>
      </c>
      <c r="H1330" t="s">
        <v>8070</v>
      </c>
      <c r="I1330" t="s">
        <v>8071</v>
      </c>
      <c r="J1330" t="s">
        <v>270</v>
      </c>
      <c r="K1330" t="s">
        <v>3321</v>
      </c>
      <c r="L1330" t="s">
        <v>8072</v>
      </c>
      <c r="M1330" t="s">
        <v>41</v>
      </c>
    </row>
    <row r="1331" spans="1:13" x14ac:dyDescent="0.15">
      <c r="A1331" t="s">
        <v>8073</v>
      </c>
      <c r="B1331" t="s">
        <v>14</v>
      </c>
      <c r="C1331" t="s">
        <v>118</v>
      </c>
      <c r="D1331" t="s">
        <v>8074</v>
      </c>
      <c r="E1331" t="s">
        <v>8075</v>
      </c>
      <c r="F1331" t="s">
        <v>8076</v>
      </c>
      <c r="G1331" t="s">
        <v>8077</v>
      </c>
      <c r="H1331" t="s">
        <v>8077</v>
      </c>
      <c r="I1331" t="s">
        <v>8078</v>
      </c>
      <c r="J1331" t="s">
        <v>132</v>
      </c>
      <c r="K1331" t="s">
        <v>540</v>
      </c>
      <c r="L1331" t="s">
        <v>8079</v>
      </c>
      <c r="M1331" t="s">
        <v>432</v>
      </c>
    </row>
    <row r="1332" spans="1:13" x14ac:dyDescent="0.15">
      <c r="A1332" t="s">
        <v>8080</v>
      </c>
      <c r="B1332" t="s">
        <v>14</v>
      </c>
      <c r="C1332" t="s">
        <v>118</v>
      </c>
      <c r="D1332" t="s">
        <v>8081</v>
      </c>
      <c r="E1332" t="s">
        <v>8082</v>
      </c>
      <c r="F1332" t="s">
        <v>8083</v>
      </c>
      <c r="G1332" t="s">
        <v>8084</v>
      </c>
      <c r="H1332" t="s">
        <v>8084</v>
      </c>
      <c r="I1332" t="s">
        <v>8085</v>
      </c>
      <c r="J1332" t="s">
        <v>352</v>
      </c>
      <c r="K1332" t="s">
        <v>1236</v>
      </c>
      <c r="L1332" t="s">
        <v>8085</v>
      </c>
      <c r="M1332" t="s">
        <v>183</v>
      </c>
    </row>
    <row r="1333" spans="1:13" x14ac:dyDescent="0.15">
      <c r="A1333" t="s">
        <v>8086</v>
      </c>
      <c r="B1333" t="s">
        <v>14</v>
      </c>
      <c r="C1333" t="s">
        <v>23</v>
      </c>
      <c r="D1333" t="s">
        <v>8087</v>
      </c>
      <c r="E1333" t="s">
        <v>8088</v>
      </c>
      <c r="F1333" t="s">
        <v>8089</v>
      </c>
      <c r="G1333" t="s">
        <v>3123</v>
      </c>
      <c r="H1333" t="s">
        <v>3123</v>
      </c>
      <c r="I1333" t="s">
        <v>8090</v>
      </c>
      <c r="J1333" t="s">
        <v>214</v>
      </c>
      <c r="K1333" t="s">
        <v>4450</v>
      </c>
      <c r="L1333" t="s">
        <v>3168</v>
      </c>
      <c r="M1333" t="s">
        <v>104</v>
      </c>
    </row>
    <row r="1334" spans="1:13" x14ac:dyDescent="0.15">
      <c r="A1334" t="s">
        <v>8091</v>
      </c>
      <c r="B1334" t="s">
        <v>14</v>
      </c>
      <c r="C1334" t="s">
        <v>23</v>
      </c>
      <c r="D1334" t="s">
        <v>8092</v>
      </c>
      <c r="E1334" t="s">
        <v>8093</v>
      </c>
      <c r="F1334" t="s">
        <v>8094</v>
      </c>
      <c r="G1334" t="s">
        <v>5503</v>
      </c>
      <c r="H1334" t="s">
        <v>5503</v>
      </c>
      <c r="I1334" t="s">
        <v>8095</v>
      </c>
      <c r="J1334" t="s">
        <v>214</v>
      </c>
      <c r="K1334" t="s">
        <v>1170</v>
      </c>
      <c r="L1334" t="s">
        <v>8095</v>
      </c>
      <c r="M1334" t="s">
        <v>104</v>
      </c>
    </row>
    <row r="1335" spans="1:13" x14ac:dyDescent="0.15">
      <c r="A1335" t="s">
        <v>8096</v>
      </c>
      <c r="B1335" t="s">
        <v>14</v>
      </c>
      <c r="C1335" t="s">
        <v>23</v>
      </c>
      <c r="D1335" t="s">
        <v>8097</v>
      </c>
      <c r="E1335" t="s">
        <v>8098</v>
      </c>
      <c r="F1335" t="s">
        <v>8099</v>
      </c>
      <c r="G1335" t="s">
        <v>8100</v>
      </c>
      <c r="H1335" t="s">
        <v>8100</v>
      </c>
      <c r="I1335" t="s">
        <v>8101</v>
      </c>
      <c r="J1335" t="s">
        <v>1194</v>
      </c>
      <c r="K1335" t="s">
        <v>853</v>
      </c>
      <c r="L1335" t="s">
        <v>8101</v>
      </c>
      <c r="M1335" t="s">
        <v>279</v>
      </c>
    </row>
    <row r="1336" spans="1:13" x14ac:dyDescent="0.15">
      <c r="A1336" t="s">
        <v>8102</v>
      </c>
      <c r="B1336" t="s">
        <v>14</v>
      </c>
      <c r="C1336" t="s">
        <v>118</v>
      </c>
      <c r="D1336" t="s">
        <v>7572</v>
      </c>
      <c r="E1336" t="s">
        <v>8103</v>
      </c>
      <c r="F1336" t="s">
        <v>8104</v>
      </c>
      <c r="G1336" t="s">
        <v>7575</v>
      </c>
      <c r="H1336" t="s">
        <v>7575</v>
      </c>
      <c r="I1336" t="s">
        <v>7576</v>
      </c>
      <c r="J1336" t="s">
        <v>1037</v>
      </c>
      <c r="M1336" t="s">
        <v>183</v>
      </c>
    </row>
    <row r="1337" spans="1:13" x14ac:dyDescent="0.15">
      <c r="A1337" t="s">
        <v>8105</v>
      </c>
      <c r="B1337" t="s">
        <v>14</v>
      </c>
      <c r="C1337" t="s">
        <v>23</v>
      </c>
      <c r="D1337" t="s">
        <v>8106</v>
      </c>
      <c r="E1337" t="s">
        <v>8107</v>
      </c>
      <c r="F1337" t="s">
        <v>8108</v>
      </c>
      <c r="G1337" t="s">
        <v>8109</v>
      </c>
      <c r="H1337" t="s">
        <v>8109</v>
      </c>
      <c r="I1337" t="s">
        <v>8110</v>
      </c>
      <c r="J1337" t="s">
        <v>29</v>
      </c>
      <c r="K1337" t="s">
        <v>846</v>
      </c>
      <c r="L1337" t="s">
        <v>8110</v>
      </c>
      <c r="M1337" t="s">
        <v>104</v>
      </c>
    </row>
    <row r="1338" spans="1:13" x14ac:dyDescent="0.15">
      <c r="A1338" t="s">
        <v>8111</v>
      </c>
      <c r="B1338" t="s">
        <v>14</v>
      </c>
      <c r="C1338" t="s">
        <v>118</v>
      </c>
      <c r="D1338" t="s">
        <v>8112</v>
      </c>
      <c r="E1338" t="s">
        <v>8113</v>
      </c>
      <c r="F1338" t="s">
        <v>8114</v>
      </c>
      <c r="G1338" t="s">
        <v>8115</v>
      </c>
      <c r="H1338" t="s">
        <v>8115</v>
      </c>
      <c r="I1338" t="s">
        <v>8116</v>
      </c>
      <c r="J1338" t="s">
        <v>230</v>
      </c>
      <c r="K1338" t="s">
        <v>540</v>
      </c>
      <c r="L1338" t="s">
        <v>8116</v>
      </c>
      <c r="M1338" t="s">
        <v>3852</v>
      </c>
    </row>
    <row r="1339" spans="1:13" x14ac:dyDescent="0.15">
      <c r="A1339" t="s">
        <v>8117</v>
      </c>
      <c r="B1339" t="s">
        <v>14</v>
      </c>
      <c r="C1339" t="s">
        <v>23</v>
      </c>
      <c r="D1339" t="s">
        <v>8118</v>
      </c>
      <c r="E1339" t="s">
        <v>8119</v>
      </c>
      <c r="F1339" t="s">
        <v>8120</v>
      </c>
      <c r="G1339" t="s">
        <v>5878</v>
      </c>
      <c r="H1339" t="s">
        <v>5878</v>
      </c>
      <c r="I1339" t="s">
        <v>8121</v>
      </c>
      <c r="J1339" t="s">
        <v>1037</v>
      </c>
      <c r="K1339" t="s">
        <v>1743</v>
      </c>
      <c r="L1339" t="s">
        <v>8122</v>
      </c>
      <c r="M1339" t="s">
        <v>80</v>
      </c>
    </row>
    <row r="1340" spans="1:13" x14ac:dyDescent="0.15">
      <c r="A1340" t="s">
        <v>8123</v>
      </c>
      <c r="B1340" t="s">
        <v>14</v>
      </c>
      <c r="C1340" t="s">
        <v>118</v>
      </c>
      <c r="D1340" t="s">
        <v>8124</v>
      </c>
      <c r="E1340" t="s">
        <v>8125</v>
      </c>
      <c r="F1340" t="s">
        <v>8126</v>
      </c>
      <c r="G1340" t="s">
        <v>8115</v>
      </c>
      <c r="H1340" t="s">
        <v>8115</v>
      </c>
      <c r="I1340" t="s">
        <v>8116</v>
      </c>
      <c r="J1340" t="s">
        <v>230</v>
      </c>
      <c r="K1340" t="s">
        <v>312</v>
      </c>
      <c r="L1340" t="s">
        <v>8116</v>
      </c>
      <c r="M1340" t="s">
        <v>3852</v>
      </c>
    </row>
    <row r="1341" spans="1:13" x14ac:dyDescent="0.15">
      <c r="A1341" t="s">
        <v>8127</v>
      </c>
      <c r="B1341" t="s">
        <v>14</v>
      </c>
      <c r="C1341" t="s">
        <v>118</v>
      </c>
      <c r="D1341" t="s">
        <v>2933</v>
      </c>
      <c r="E1341" t="s">
        <v>8128</v>
      </c>
      <c r="F1341" t="s">
        <v>8129</v>
      </c>
      <c r="G1341" t="s">
        <v>8130</v>
      </c>
      <c r="H1341" t="s">
        <v>8130</v>
      </c>
      <c r="I1341" t="s">
        <v>8053</v>
      </c>
      <c r="J1341" t="s">
        <v>473</v>
      </c>
      <c r="K1341" t="s">
        <v>39</v>
      </c>
      <c r="L1341" t="s">
        <v>8053</v>
      </c>
      <c r="M1341" t="s">
        <v>2979</v>
      </c>
    </row>
    <row r="1342" spans="1:13" x14ac:dyDescent="0.15">
      <c r="A1342" t="s">
        <v>8131</v>
      </c>
      <c r="B1342" t="s">
        <v>14</v>
      </c>
      <c r="C1342" t="s">
        <v>118</v>
      </c>
      <c r="D1342" t="s">
        <v>8132</v>
      </c>
      <c r="E1342" t="s">
        <v>8133</v>
      </c>
      <c r="F1342" t="s">
        <v>8134</v>
      </c>
      <c r="G1342" t="s">
        <v>8135</v>
      </c>
      <c r="H1342" t="s">
        <v>8135</v>
      </c>
      <c r="I1342" t="s">
        <v>115</v>
      </c>
      <c r="J1342" t="s">
        <v>230</v>
      </c>
      <c r="K1342" t="s">
        <v>1946</v>
      </c>
      <c r="L1342" t="s">
        <v>115</v>
      </c>
      <c r="M1342" t="s">
        <v>31</v>
      </c>
    </row>
    <row r="1343" spans="1:13" x14ac:dyDescent="0.15">
      <c r="A1343" t="s">
        <v>8136</v>
      </c>
      <c r="B1343" t="s">
        <v>14</v>
      </c>
      <c r="C1343" t="s">
        <v>23</v>
      </c>
      <c r="D1343" t="s">
        <v>8137</v>
      </c>
      <c r="E1343" t="s">
        <v>8138</v>
      </c>
      <c r="F1343" t="s">
        <v>8139</v>
      </c>
      <c r="G1343" t="s">
        <v>8140</v>
      </c>
      <c r="H1343" t="s">
        <v>8140</v>
      </c>
      <c r="I1343" t="s">
        <v>8141</v>
      </c>
      <c r="J1343" t="s">
        <v>1037</v>
      </c>
      <c r="K1343" t="s">
        <v>1743</v>
      </c>
      <c r="L1343" t="s">
        <v>8142</v>
      </c>
      <c r="M1343" t="s">
        <v>80</v>
      </c>
    </row>
    <row r="1344" spans="1:13" x14ac:dyDescent="0.15">
      <c r="A1344" t="s">
        <v>8143</v>
      </c>
      <c r="B1344" t="s">
        <v>14</v>
      </c>
      <c r="C1344" t="s">
        <v>118</v>
      </c>
      <c r="D1344" t="s">
        <v>2952</v>
      </c>
      <c r="E1344" t="s">
        <v>8144</v>
      </c>
      <c r="F1344" t="s">
        <v>8145</v>
      </c>
      <c r="G1344" t="s">
        <v>8146</v>
      </c>
      <c r="H1344" t="s">
        <v>8146</v>
      </c>
      <c r="I1344" t="s">
        <v>4766</v>
      </c>
      <c r="J1344" t="s">
        <v>473</v>
      </c>
      <c r="K1344" t="s">
        <v>231</v>
      </c>
      <c r="L1344" t="s">
        <v>4766</v>
      </c>
      <c r="M1344" t="s">
        <v>2979</v>
      </c>
    </row>
    <row r="1345" spans="1:13" x14ac:dyDescent="0.15">
      <c r="A1345" t="s">
        <v>8147</v>
      </c>
      <c r="B1345" t="s">
        <v>14</v>
      </c>
      <c r="C1345" t="s">
        <v>23</v>
      </c>
      <c r="D1345" t="s">
        <v>8148</v>
      </c>
      <c r="E1345" t="s">
        <v>8149</v>
      </c>
      <c r="F1345" t="s">
        <v>8150</v>
      </c>
      <c r="G1345" t="s">
        <v>8151</v>
      </c>
      <c r="H1345" t="s">
        <v>8151</v>
      </c>
      <c r="I1345" t="s">
        <v>8152</v>
      </c>
      <c r="J1345" t="s">
        <v>394</v>
      </c>
      <c r="K1345" t="s">
        <v>48</v>
      </c>
      <c r="L1345" t="s">
        <v>62</v>
      </c>
      <c r="M1345" t="s">
        <v>41</v>
      </c>
    </row>
    <row r="1346" spans="1:13" x14ac:dyDescent="0.15">
      <c r="A1346" t="s">
        <v>8153</v>
      </c>
      <c r="B1346" t="s">
        <v>14</v>
      </c>
      <c r="C1346" t="s">
        <v>118</v>
      </c>
      <c r="D1346" t="s">
        <v>8154</v>
      </c>
      <c r="E1346" t="s">
        <v>8155</v>
      </c>
      <c r="F1346" t="s">
        <v>8156</v>
      </c>
      <c r="G1346" t="s">
        <v>8157</v>
      </c>
      <c r="H1346" t="s">
        <v>8157</v>
      </c>
      <c r="I1346" t="s">
        <v>8158</v>
      </c>
      <c r="J1346" t="s">
        <v>400</v>
      </c>
      <c r="K1346" t="s">
        <v>3578</v>
      </c>
      <c r="L1346" t="s">
        <v>8159</v>
      </c>
      <c r="M1346" t="s">
        <v>165</v>
      </c>
    </row>
    <row r="1347" spans="1:13" x14ac:dyDescent="0.15">
      <c r="A1347" t="s">
        <v>8160</v>
      </c>
      <c r="B1347" t="s">
        <v>14</v>
      </c>
      <c r="C1347" t="s">
        <v>118</v>
      </c>
      <c r="D1347" t="s">
        <v>8161</v>
      </c>
      <c r="E1347" t="s">
        <v>8162</v>
      </c>
      <c r="F1347" t="s">
        <v>8163</v>
      </c>
      <c r="H1347" t="s">
        <v>8164</v>
      </c>
      <c r="I1347" t="s">
        <v>8165</v>
      </c>
      <c r="J1347" t="s">
        <v>270</v>
      </c>
      <c r="K1347" t="s">
        <v>3258</v>
      </c>
      <c r="L1347" t="s">
        <v>8165</v>
      </c>
      <c r="M1347" t="s">
        <v>165</v>
      </c>
    </row>
    <row r="1348" spans="1:13" x14ac:dyDescent="0.15">
      <c r="A1348" t="s">
        <v>8166</v>
      </c>
      <c r="B1348" t="s">
        <v>14</v>
      </c>
      <c r="C1348" t="s">
        <v>23</v>
      </c>
      <c r="D1348" t="s">
        <v>8167</v>
      </c>
      <c r="E1348" t="s">
        <v>8168</v>
      </c>
      <c r="F1348" t="s">
        <v>8169</v>
      </c>
      <c r="G1348" t="s">
        <v>8170</v>
      </c>
      <c r="H1348" t="s">
        <v>8170</v>
      </c>
      <c r="I1348" t="s">
        <v>8171</v>
      </c>
      <c r="J1348" t="s">
        <v>124</v>
      </c>
      <c r="K1348" t="s">
        <v>1208</v>
      </c>
      <c r="L1348" t="s">
        <v>8172</v>
      </c>
      <c r="M1348" t="s">
        <v>104</v>
      </c>
    </row>
    <row r="1349" spans="1:13" x14ac:dyDescent="0.15">
      <c r="A1349" t="s">
        <v>8173</v>
      </c>
      <c r="B1349" t="s">
        <v>14</v>
      </c>
      <c r="C1349" t="s">
        <v>23</v>
      </c>
      <c r="D1349" t="s">
        <v>8174</v>
      </c>
      <c r="E1349" t="s">
        <v>8175</v>
      </c>
      <c r="F1349" t="s">
        <v>8176</v>
      </c>
      <c r="G1349" t="s">
        <v>8177</v>
      </c>
      <c r="H1349" t="s">
        <v>8177</v>
      </c>
      <c r="I1349" t="s">
        <v>8178</v>
      </c>
      <c r="J1349" t="s">
        <v>344</v>
      </c>
      <c r="K1349" t="s">
        <v>1281</v>
      </c>
      <c r="L1349" t="s">
        <v>8179</v>
      </c>
      <c r="M1349" t="s">
        <v>80</v>
      </c>
    </row>
    <row r="1350" spans="1:13" x14ac:dyDescent="0.15">
      <c r="A1350" t="s">
        <v>8180</v>
      </c>
      <c r="B1350" t="s">
        <v>14</v>
      </c>
      <c r="C1350" t="s">
        <v>118</v>
      </c>
      <c r="D1350" t="s">
        <v>6815</v>
      </c>
      <c r="E1350" t="s">
        <v>8181</v>
      </c>
      <c r="F1350" t="s">
        <v>8182</v>
      </c>
      <c r="G1350" t="s">
        <v>8183</v>
      </c>
      <c r="H1350" t="s">
        <v>8183</v>
      </c>
      <c r="I1350" t="s">
        <v>8184</v>
      </c>
      <c r="J1350" t="s">
        <v>344</v>
      </c>
      <c r="K1350" t="s">
        <v>424</v>
      </c>
      <c r="L1350" t="s">
        <v>8184</v>
      </c>
      <c r="M1350" t="s">
        <v>126</v>
      </c>
    </row>
    <row r="1351" spans="1:13" x14ac:dyDescent="0.15">
      <c r="A1351" t="s">
        <v>8185</v>
      </c>
      <c r="B1351" t="s">
        <v>14</v>
      </c>
      <c r="C1351" t="s">
        <v>118</v>
      </c>
      <c r="D1351" t="s">
        <v>8186</v>
      </c>
      <c r="E1351" t="s">
        <v>8187</v>
      </c>
      <c r="F1351" t="s">
        <v>8188</v>
      </c>
      <c r="G1351" t="s">
        <v>8189</v>
      </c>
      <c r="H1351" t="s">
        <v>8189</v>
      </c>
      <c r="I1351" t="s">
        <v>8190</v>
      </c>
      <c r="J1351" t="s">
        <v>230</v>
      </c>
      <c r="K1351" t="s">
        <v>360</v>
      </c>
      <c r="L1351" t="s">
        <v>8190</v>
      </c>
      <c r="M1351" t="s">
        <v>1972</v>
      </c>
    </row>
    <row r="1352" spans="1:13" x14ac:dyDescent="0.15">
      <c r="A1352" t="s">
        <v>8191</v>
      </c>
      <c r="B1352" t="s">
        <v>14</v>
      </c>
      <c r="C1352" t="s">
        <v>118</v>
      </c>
      <c r="D1352" t="s">
        <v>8192</v>
      </c>
      <c r="E1352" t="s">
        <v>8193</v>
      </c>
      <c r="F1352" t="s">
        <v>8194</v>
      </c>
      <c r="G1352" t="s">
        <v>8189</v>
      </c>
      <c r="H1352" t="s">
        <v>8189</v>
      </c>
      <c r="I1352" t="s">
        <v>8190</v>
      </c>
      <c r="J1352" t="s">
        <v>230</v>
      </c>
      <c r="K1352" t="s">
        <v>387</v>
      </c>
      <c r="L1352" t="s">
        <v>8190</v>
      </c>
      <c r="M1352" t="s">
        <v>1972</v>
      </c>
    </row>
    <row r="1353" spans="1:13" x14ac:dyDescent="0.15">
      <c r="A1353" t="s">
        <v>8195</v>
      </c>
      <c r="B1353" t="s">
        <v>14</v>
      </c>
      <c r="C1353" t="s">
        <v>118</v>
      </c>
      <c r="D1353" t="s">
        <v>8196</v>
      </c>
      <c r="E1353" t="s">
        <v>8197</v>
      </c>
      <c r="F1353" t="s">
        <v>8198</v>
      </c>
      <c r="G1353" t="s">
        <v>8189</v>
      </c>
      <c r="H1353" t="s">
        <v>8189</v>
      </c>
      <c r="I1353" t="s">
        <v>8190</v>
      </c>
      <c r="J1353" t="s">
        <v>230</v>
      </c>
      <c r="K1353" t="s">
        <v>819</v>
      </c>
      <c r="L1353" t="s">
        <v>8190</v>
      </c>
      <c r="M1353" t="s">
        <v>1972</v>
      </c>
    </row>
    <row r="1354" spans="1:13" x14ac:dyDescent="0.15">
      <c r="A1354" t="s">
        <v>8199</v>
      </c>
      <c r="B1354" t="s">
        <v>14</v>
      </c>
      <c r="C1354" t="s">
        <v>118</v>
      </c>
      <c r="D1354" t="s">
        <v>8200</v>
      </c>
      <c r="E1354" t="s">
        <v>8201</v>
      </c>
      <c r="F1354" t="s">
        <v>8202</v>
      </c>
      <c r="G1354" t="s">
        <v>8203</v>
      </c>
      <c r="H1354" t="s">
        <v>8203</v>
      </c>
      <c r="I1354" t="s">
        <v>8204</v>
      </c>
      <c r="J1354" t="s">
        <v>255</v>
      </c>
      <c r="K1354" t="s">
        <v>3607</v>
      </c>
      <c r="L1354" t="s">
        <v>8204</v>
      </c>
      <c r="M1354" t="s">
        <v>165</v>
      </c>
    </row>
    <row r="1355" spans="1:13" x14ac:dyDescent="0.15">
      <c r="A1355" t="s">
        <v>8205</v>
      </c>
      <c r="B1355" t="s">
        <v>14</v>
      </c>
      <c r="C1355" t="s">
        <v>118</v>
      </c>
      <c r="D1355" t="s">
        <v>8206</v>
      </c>
      <c r="E1355" t="s">
        <v>8207</v>
      </c>
      <c r="F1355" t="s">
        <v>8208</v>
      </c>
      <c r="G1355" t="s">
        <v>8209</v>
      </c>
      <c r="H1355" t="s">
        <v>8209</v>
      </c>
      <c r="I1355" t="s">
        <v>8210</v>
      </c>
      <c r="J1355" t="s">
        <v>8211</v>
      </c>
      <c r="K1355" t="s">
        <v>1604</v>
      </c>
      <c r="L1355" t="s">
        <v>8210</v>
      </c>
      <c r="M1355" t="s">
        <v>139</v>
      </c>
    </row>
    <row r="1356" spans="1:13" x14ac:dyDescent="0.15">
      <c r="A1356" t="s">
        <v>8212</v>
      </c>
      <c r="B1356" t="s">
        <v>14</v>
      </c>
      <c r="C1356" t="s">
        <v>118</v>
      </c>
      <c r="D1356" t="s">
        <v>8213</v>
      </c>
      <c r="E1356" t="s">
        <v>8214</v>
      </c>
      <c r="F1356" t="s">
        <v>8215</v>
      </c>
      <c r="G1356" t="s">
        <v>8216</v>
      </c>
      <c r="H1356" t="s">
        <v>8216</v>
      </c>
      <c r="I1356" t="s">
        <v>8217</v>
      </c>
      <c r="J1356" t="s">
        <v>181</v>
      </c>
      <c r="K1356" t="s">
        <v>182</v>
      </c>
      <c r="L1356" t="s">
        <v>8217</v>
      </c>
      <c r="M1356" t="s">
        <v>1015</v>
      </c>
    </row>
    <row r="1357" spans="1:13" x14ac:dyDescent="0.15">
      <c r="A1357" t="s">
        <v>8218</v>
      </c>
      <c r="B1357" t="s">
        <v>14</v>
      </c>
      <c r="C1357" t="s">
        <v>118</v>
      </c>
      <c r="D1357" t="s">
        <v>8219</v>
      </c>
      <c r="E1357" t="s">
        <v>8220</v>
      </c>
      <c r="F1357" t="s">
        <v>8221</v>
      </c>
      <c r="G1357" t="s">
        <v>7436</v>
      </c>
      <c r="H1357" t="s">
        <v>7436</v>
      </c>
      <c r="I1357" t="s">
        <v>8222</v>
      </c>
      <c r="J1357" t="s">
        <v>3761</v>
      </c>
      <c r="K1357" t="s">
        <v>8223</v>
      </c>
      <c r="L1357" t="s">
        <v>345</v>
      </c>
      <c r="M1357" t="s">
        <v>21</v>
      </c>
    </row>
    <row r="1358" spans="1:13" x14ac:dyDescent="0.15">
      <c r="A1358" t="s">
        <v>8224</v>
      </c>
      <c r="B1358" t="s">
        <v>14</v>
      </c>
      <c r="C1358" t="s">
        <v>23</v>
      </c>
      <c r="D1358" t="s">
        <v>8225</v>
      </c>
      <c r="E1358" t="s">
        <v>8226</v>
      </c>
      <c r="F1358" t="s">
        <v>8227</v>
      </c>
      <c r="G1358" t="s">
        <v>8228</v>
      </c>
      <c r="H1358" t="s">
        <v>8228</v>
      </c>
      <c r="I1358" t="s">
        <v>8229</v>
      </c>
      <c r="J1358" t="s">
        <v>29</v>
      </c>
      <c r="K1358" t="s">
        <v>1679</v>
      </c>
      <c r="L1358" t="s">
        <v>4027</v>
      </c>
      <c r="M1358" t="s">
        <v>104</v>
      </c>
    </row>
    <row r="1359" spans="1:13" x14ac:dyDescent="0.15">
      <c r="A1359" t="s">
        <v>8230</v>
      </c>
      <c r="B1359" t="s">
        <v>14</v>
      </c>
      <c r="C1359" t="s">
        <v>23</v>
      </c>
      <c r="D1359" t="s">
        <v>8231</v>
      </c>
      <c r="E1359" t="s">
        <v>8232</v>
      </c>
      <c r="F1359" t="s">
        <v>8233</v>
      </c>
      <c r="G1359" t="s">
        <v>4871</v>
      </c>
      <c r="H1359" t="s">
        <v>4871</v>
      </c>
      <c r="I1359" t="s">
        <v>8234</v>
      </c>
      <c r="J1359" t="s">
        <v>29</v>
      </c>
      <c r="K1359" t="s">
        <v>2499</v>
      </c>
      <c r="L1359" t="s">
        <v>8234</v>
      </c>
      <c r="M1359" t="s">
        <v>216</v>
      </c>
    </row>
    <row r="1360" spans="1:13" x14ac:dyDescent="0.15">
      <c r="A1360" t="s">
        <v>8235</v>
      </c>
      <c r="B1360" t="s">
        <v>14</v>
      </c>
      <c r="C1360" t="s">
        <v>23</v>
      </c>
      <c r="D1360" t="s">
        <v>8236</v>
      </c>
      <c r="E1360" t="s">
        <v>8237</v>
      </c>
      <c r="F1360" t="s">
        <v>8238</v>
      </c>
      <c r="G1360" t="s">
        <v>1563</v>
      </c>
      <c r="H1360" t="s">
        <v>1563</v>
      </c>
      <c r="I1360" t="s">
        <v>8239</v>
      </c>
      <c r="J1360" t="s">
        <v>29</v>
      </c>
      <c r="K1360" t="s">
        <v>2729</v>
      </c>
      <c r="L1360" t="s">
        <v>8239</v>
      </c>
      <c r="M1360" t="s">
        <v>216</v>
      </c>
    </row>
    <row r="1361" spans="1:13" x14ac:dyDescent="0.15">
      <c r="A1361" t="s">
        <v>8240</v>
      </c>
      <c r="B1361" t="s">
        <v>14</v>
      </c>
      <c r="C1361" t="s">
        <v>118</v>
      </c>
      <c r="D1361" t="s">
        <v>3391</v>
      </c>
      <c r="E1361" t="s">
        <v>8241</v>
      </c>
      <c r="F1361" t="s">
        <v>8242</v>
      </c>
      <c r="G1361" t="s">
        <v>8243</v>
      </c>
      <c r="H1361" t="s">
        <v>8243</v>
      </c>
      <c r="I1361" t="s">
        <v>5996</v>
      </c>
      <c r="J1361" t="s">
        <v>29</v>
      </c>
      <c r="K1361" t="s">
        <v>853</v>
      </c>
      <c r="L1361" t="s">
        <v>5996</v>
      </c>
      <c r="M1361" t="s">
        <v>1411</v>
      </c>
    </row>
    <row r="1362" spans="1:13" x14ac:dyDescent="0.15">
      <c r="A1362" t="s">
        <v>8244</v>
      </c>
      <c r="B1362" t="s">
        <v>14</v>
      </c>
      <c r="C1362" t="s">
        <v>118</v>
      </c>
      <c r="D1362" t="s">
        <v>8245</v>
      </c>
      <c r="E1362" t="s">
        <v>8246</v>
      </c>
      <c r="F1362" t="s">
        <v>8247</v>
      </c>
      <c r="G1362" t="s">
        <v>4170</v>
      </c>
      <c r="H1362" t="s">
        <v>4170</v>
      </c>
      <c r="I1362" t="s">
        <v>8248</v>
      </c>
      <c r="J1362" t="s">
        <v>230</v>
      </c>
      <c r="K1362" t="s">
        <v>772</v>
      </c>
      <c r="L1362" t="s">
        <v>8248</v>
      </c>
      <c r="M1362" t="s">
        <v>2979</v>
      </c>
    </row>
    <row r="1363" spans="1:13" x14ac:dyDescent="0.15">
      <c r="A1363" t="s">
        <v>8249</v>
      </c>
      <c r="B1363" t="s">
        <v>14</v>
      </c>
      <c r="C1363" t="s">
        <v>118</v>
      </c>
      <c r="D1363" t="s">
        <v>8250</v>
      </c>
      <c r="E1363" t="s">
        <v>8251</v>
      </c>
      <c r="F1363" t="s">
        <v>8252</v>
      </c>
      <c r="G1363" t="s">
        <v>6532</v>
      </c>
      <c r="H1363" t="s">
        <v>6532</v>
      </c>
      <c r="I1363" t="s">
        <v>2656</v>
      </c>
      <c r="J1363" t="s">
        <v>230</v>
      </c>
      <c r="K1363" t="s">
        <v>1158</v>
      </c>
      <c r="L1363" t="s">
        <v>2656</v>
      </c>
      <c r="M1363" t="s">
        <v>2579</v>
      </c>
    </row>
    <row r="1364" spans="1:13" x14ac:dyDescent="0.15">
      <c r="A1364" t="s">
        <v>8253</v>
      </c>
      <c r="B1364" t="s">
        <v>14</v>
      </c>
      <c r="C1364" t="s">
        <v>118</v>
      </c>
      <c r="D1364" t="s">
        <v>8254</v>
      </c>
      <c r="E1364" t="s">
        <v>8255</v>
      </c>
      <c r="F1364" t="s">
        <v>8256</v>
      </c>
      <c r="G1364" t="s">
        <v>8257</v>
      </c>
      <c r="H1364" t="s">
        <v>8257</v>
      </c>
      <c r="I1364" t="s">
        <v>8258</v>
      </c>
      <c r="J1364" t="s">
        <v>20</v>
      </c>
      <c r="K1364" t="s">
        <v>339</v>
      </c>
      <c r="L1364" t="s">
        <v>8258</v>
      </c>
      <c r="M1364" t="s">
        <v>104</v>
      </c>
    </row>
    <row r="1365" spans="1:13" x14ac:dyDescent="0.15">
      <c r="A1365" t="s">
        <v>8259</v>
      </c>
      <c r="B1365" t="s">
        <v>14</v>
      </c>
      <c r="C1365" t="s">
        <v>118</v>
      </c>
      <c r="D1365" t="s">
        <v>8260</v>
      </c>
      <c r="E1365" t="s">
        <v>8261</v>
      </c>
      <c r="F1365" t="s">
        <v>8262</v>
      </c>
      <c r="G1365" t="s">
        <v>8263</v>
      </c>
      <c r="H1365" t="s">
        <v>8263</v>
      </c>
      <c r="I1365" t="s">
        <v>8264</v>
      </c>
      <c r="J1365" t="s">
        <v>297</v>
      </c>
      <c r="K1365" t="s">
        <v>2030</v>
      </c>
      <c r="L1365" t="s">
        <v>8264</v>
      </c>
      <c r="M1365" t="s">
        <v>3852</v>
      </c>
    </row>
    <row r="1366" spans="1:13" x14ac:dyDescent="0.15">
      <c r="A1366" t="s">
        <v>8265</v>
      </c>
      <c r="B1366" t="s">
        <v>14</v>
      </c>
      <c r="C1366" t="s">
        <v>118</v>
      </c>
      <c r="D1366" t="s">
        <v>8266</v>
      </c>
      <c r="E1366" t="s">
        <v>8267</v>
      </c>
      <c r="F1366" t="s">
        <v>8268</v>
      </c>
      <c r="G1366" t="s">
        <v>8263</v>
      </c>
      <c r="H1366" t="s">
        <v>8263</v>
      </c>
      <c r="I1366" t="s">
        <v>8264</v>
      </c>
      <c r="J1366" t="s">
        <v>297</v>
      </c>
      <c r="K1366" t="s">
        <v>5693</v>
      </c>
      <c r="L1366" t="s">
        <v>8264</v>
      </c>
      <c r="M1366" t="s">
        <v>1972</v>
      </c>
    </row>
    <row r="1367" spans="1:13" x14ac:dyDescent="0.15">
      <c r="A1367" t="s">
        <v>8269</v>
      </c>
      <c r="B1367" t="s">
        <v>14</v>
      </c>
      <c r="C1367" t="s">
        <v>23</v>
      </c>
      <c r="D1367" t="s">
        <v>8270</v>
      </c>
      <c r="E1367" t="s">
        <v>8271</v>
      </c>
      <c r="F1367" t="s">
        <v>8272</v>
      </c>
      <c r="G1367" t="s">
        <v>8273</v>
      </c>
      <c r="H1367" t="s">
        <v>8273</v>
      </c>
      <c r="I1367" t="s">
        <v>4266</v>
      </c>
      <c r="J1367" t="s">
        <v>124</v>
      </c>
      <c r="K1367" t="s">
        <v>439</v>
      </c>
      <c r="L1367" t="s">
        <v>4266</v>
      </c>
      <c r="M1367" t="s">
        <v>104</v>
      </c>
    </row>
    <row r="1368" spans="1:13" x14ac:dyDescent="0.15">
      <c r="A1368" t="s">
        <v>8274</v>
      </c>
      <c r="B1368" t="s">
        <v>14</v>
      </c>
      <c r="C1368" t="s">
        <v>118</v>
      </c>
      <c r="D1368" t="s">
        <v>8275</v>
      </c>
      <c r="E1368" t="s">
        <v>8276</v>
      </c>
      <c r="F1368" t="s">
        <v>8277</v>
      </c>
      <c r="G1368" t="s">
        <v>1116</v>
      </c>
      <c r="H1368" t="s">
        <v>1116</v>
      </c>
      <c r="I1368" t="s">
        <v>6878</v>
      </c>
      <c r="J1368" t="s">
        <v>124</v>
      </c>
      <c r="K1368" t="s">
        <v>239</v>
      </c>
      <c r="L1368" t="s">
        <v>6878</v>
      </c>
      <c r="M1368" t="s">
        <v>3382</v>
      </c>
    </row>
    <row r="1369" spans="1:13" x14ac:dyDescent="0.15">
      <c r="A1369" t="s">
        <v>8278</v>
      </c>
      <c r="B1369" t="s">
        <v>14</v>
      </c>
      <c r="C1369" t="s">
        <v>118</v>
      </c>
      <c r="D1369" t="s">
        <v>8279</v>
      </c>
      <c r="E1369" t="s">
        <v>8280</v>
      </c>
      <c r="F1369" t="s">
        <v>8281</v>
      </c>
      <c r="G1369" t="s">
        <v>8282</v>
      </c>
      <c r="H1369" t="s">
        <v>8282</v>
      </c>
      <c r="I1369" t="s">
        <v>8283</v>
      </c>
      <c r="J1369" t="s">
        <v>124</v>
      </c>
      <c r="K1369" t="s">
        <v>271</v>
      </c>
      <c r="L1369" t="s">
        <v>8283</v>
      </c>
      <c r="M1369" t="s">
        <v>1118</v>
      </c>
    </row>
    <row r="1370" spans="1:13" x14ac:dyDescent="0.15">
      <c r="A1370" t="s">
        <v>8284</v>
      </c>
      <c r="B1370" t="s">
        <v>14</v>
      </c>
      <c r="C1370" t="s">
        <v>118</v>
      </c>
      <c r="D1370" t="s">
        <v>8285</v>
      </c>
      <c r="E1370" t="s">
        <v>8286</v>
      </c>
      <c r="F1370" t="s">
        <v>8287</v>
      </c>
      <c r="G1370" t="s">
        <v>8288</v>
      </c>
      <c r="H1370" t="s">
        <v>8288</v>
      </c>
      <c r="I1370" t="s">
        <v>4401</v>
      </c>
      <c r="J1370" t="s">
        <v>124</v>
      </c>
      <c r="K1370" t="s">
        <v>339</v>
      </c>
      <c r="L1370" t="s">
        <v>4401</v>
      </c>
      <c r="M1370" t="s">
        <v>3396</v>
      </c>
    </row>
    <row r="1371" spans="1:13" x14ac:dyDescent="0.15">
      <c r="A1371" t="s">
        <v>8289</v>
      </c>
      <c r="B1371" t="s">
        <v>14</v>
      </c>
      <c r="C1371" t="s">
        <v>118</v>
      </c>
      <c r="D1371" t="s">
        <v>8290</v>
      </c>
      <c r="E1371" t="s">
        <v>8291</v>
      </c>
      <c r="F1371" t="s">
        <v>8292</v>
      </c>
      <c r="G1371" t="s">
        <v>1736</v>
      </c>
      <c r="H1371" t="s">
        <v>1736</v>
      </c>
      <c r="I1371" t="s">
        <v>2790</v>
      </c>
      <c r="J1371" t="s">
        <v>521</v>
      </c>
      <c r="K1371" t="s">
        <v>839</v>
      </c>
      <c r="L1371" t="s">
        <v>2790</v>
      </c>
      <c r="M1371" t="s">
        <v>4035</v>
      </c>
    </row>
    <row r="1372" spans="1:13" x14ac:dyDescent="0.15">
      <c r="A1372" t="s">
        <v>8293</v>
      </c>
      <c r="B1372" t="s">
        <v>14</v>
      </c>
      <c r="C1372" t="s">
        <v>118</v>
      </c>
      <c r="D1372" t="s">
        <v>8294</v>
      </c>
      <c r="E1372" t="s">
        <v>8295</v>
      </c>
      <c r="F1372" t="s">
        <v>8296</v>
      </c>
      <c r="G1372" t="s">
        <v>1776</v>
      </c>
      <c r="H1372" t="s">
        <v>1776</v>
      </c>
      <c r="I1372" t="s">
        <v>8297</v>
      </c>
      <c r="J1372" t="s">
        <v>124</v>
      </c>
      <c r="K1372" t="s">
        <v>1582</v>
      </c>
      <c r="L1372" t="s">
        <v>8297</v>
      </c>
      <c r="M1372" t="s">
        <v>1118</v>
      </c>
    </row>
    <row r="1373" spans="1:13" x14ac:dyDescent="0.15">
      <c r="A1373" t="s">
        <v>8298</v>
      </c>
      <c r="B1373" t="s">
        <v>14</v>
      </c>
      <c r="C1373" t="s">
        <v>118</v>
      </c>
      <c r="D1373" t="s">
        <v>8299</v>
      </c>
      <c r="E1373" t="s">
        <v>8300</v>
      </c>
      <c r="F1373" t="s">
        <v>8301</v>
      </c>
      <c r="G1373" t="s">
        <v>8302</v>
      </c>
      <c r="H1373" t="s">
        <v>8302</v>
      </c>
      <c r="I1373" t="s">
        <v>8303</v>
      </c>
      <c r="J1373" t="s">
        <v>521</v>
      </c>
      <c r="K1373" t="s">
        <v>832</v>
      </c>
      <c r="L1373" t="s">
        <v>8303</v>
      </c>
      <c r="M1373" t="s">
        <v>192</v>
      </c>
    </row>
    <row r="1374" spans="1:13" x14ac:dyDescent="0.15">
      <c r="A1374" t="s">
        <v>8304</v>
      </c>
      <c r="B1374" t="s">
        <v>14</v>
      </c>
      <c r="C1374" t="s">
        <v>118</v>
      </c>
      <c r="D1374" t="s">
        <v>8305</v>
      </c>
      <c r="E1374" t="s">
        <v>8306</v>
      </c>
      <c r="F1374" t="s">
        <v>8307</v>
      </c>
      <c r="G1374" t="s">
        <v>8308</v>
      </c>
      <c r="H1374" t="s">
        <v>8308</v>
      </c>
      <c r="I1374" t="s">
        <v>8309</v>
      </c>
      <c r="J1374" t="s">
        <v>481</v>
      </c>
      <c r="K1374" t="s">
        <v>231</v>
      </c>
      <c r="L1374" t="s">
        <v>8309</v>
      </c>
      <c r="M1374" t="s">
        <v>4035</v>
      </c>
    </row>
    <row r="1375" spans="1:13" x14ac:dyDescent="0.15">
      <c r="A1375" t="s">
        <v>8310</v>
      </c>
      <c r="B1375" t="s">
        <v>14</v>
      </c>
      <c r="C1375" t="s">
        <v>23</v>
      </c>
      <c r="D1375" t="s">
        <v>8311</v>
      </c>
      <c r="E1375" t="s">
        <v>8312</v>
      </c>
      <c r="F1375" t="s">
        <v>8313</v>
      </c>
      <c r="G1375" t="s">
        <v>8314</v>
      </c>
      <c r="H1375" t="s">
        <v>8314</v>
      </c>
      <c r="I1375" t="s">
        <v>7852</v>
      </c>
      <c r="J1375" t="s">
        <v>230</v>
      </c>
      <c r="K1375" t="s">
        <v>2598</v>
      </c>
      <c r="L1375" t="s">
        <v>7852</v>
      </c>
      <c r="M1375" t="s">
        <v>41</v>
      </c>
    </row>
    <row r="1376" spans="1:13" x14ac:dyDescent="0.15">
      <c r="A1376" t="s">
        <v>8315</v>
      </c>
      <c r="B1376" t="s">
        <v>14</v>
      </c>
      <c r="C1376" t="s">
        <v>118</v>
      </c>
      <c r="D1376" t="s">
        <v>8316</v>
      </c>
      <c r="E1376" t="s">
        <v>8317</v>
      </c>
      <c r="F1376" t="s">
        <v>8318</v>
      </c>
      <c r="G1376" t="s">
        <v>8319</v>
      </c>
      <c r="H1376" t="s">
        <v>8319</v>
      </c>
      <c r="I1376" t="s">
        <v>8320</v>
      </c>
      <c r="J1376" t="s">
        <v>459</v>
      </c>
      <c r="K1376" t="s">
        <v>256</v>
      </c>
      <c r="L1376" t="s">
        <v>8320</v>
      </c>
      <c r="M1376" t="s">
        <v>248</v>
      </c>
    </row>
    <row r="1377" spans="1:13" x14ac:dyDescent="0.15">
      <c r="A1377" t="s">
        <v>8321</v>
      </c>
      <c r="B1377" t="s">
        <v>14</v>
      </c>
      <c r="C1377" t="s">
        <v>23</v>
      </c>
      <c r="D1377" t="s">
        <v>8322</v>
      </c>
      <c r="E1377" t="s">
        <v>8323</v>
      </c>
      <c r="F1377" t="s">
        <v>8324</v>
      </c>
      <c r="G1377" t="s">
        <v>4227</v>
      </c>
      <c r="H1377" t="s">
        <v>4227</v>
      </c>
      <c r="I1377" t="s">
        <v>8325</v>
      </c>
      <c r="J1377" t="s">
        <v>110</v>
      </c>
      <c r="K1377" t="s">
        <v>647</v>
      </c>
      <c r="L1377" t="s">
        <v>8326</v>
      </c>
      <c r="M1377" t="s">
        <v>290</v>
      </c>
    </row>
    <row r="1378" spans="1:13" x14ac:dyDescent="0.15">
      <c r="A1378" t="s">
        <v>8327</v>
      </c>
      <c r="B1378" t="s">
        <v>14</v>
      </c>
      <c r="C1378" t="s">
        <v>118</v>
      </c>
      <c r="D1378" t="s">
        <v>8328</v>
      </c>
      <c r="E1378" t="s">
        <v>8329</v>
      </c>
      <c r="F1378" t="s">
        <v>8330</v>
      </c>
      <c r="H1378" t="s">
        <v>8331</v>
      </c>
      <c r="I1378" t="s">
        <v>8332</v>
      </c>
      <c r="J1378" t="s">
        <v>270</v>
      </c>
      <c r="K1378" t="s">
        <v>173</v>
      </c>
      <c r="L1378" t="s">
        <v>8332</v>
      </c>
      <c r="M1378" t="s">
        <v>183</v>
      </c>
    </row>
    <row r="1379" spans="1:13" x14ac:dyDescent="0.15">
      <c r="A1379" t="s">
        <v>8333</v>
      </c>
      <c r="B1379" t="s">
        <v>14</v>
      </c>
      <c r="C1379" t="s">
        <v>118</v>
      </c>
      <c r="D1379" t="s">
        <v>8334</v>
      </c>
      <c r="E1379" t="s">
        <v>8335</v>
      </c>
      <c r="F1379" t="s">
        <v>8336</v>
      </c>
      <c r="H1379" t="s">
        <v>8337</v>
      </c>
      <c r="I1379" t="s">
        <v>8338</v>
      </c>
      <c r="J1379" t="s">
        <v>270</v>
      </c>
      <c r="K1379" t="s">
        <v>173</v>
      </c>
      <c r="L1379" t="s">
        <v>8338</v>
      </c>
      <c r="M1379" t="s">
        <v>313</v>
      </c>
    </row>
    <row r="1380" spans="1:13" x14ac:dyDescent="0.15">
      <c r="A1380" t="s">
        <v>8339</v>
      </c>
      <c r="B1380" t="s">
        <v>14</v>
      </c>
      <c r="C1380" t="s">
        <v>194</v>
      </c>
      <c r="D1380" t="s">
        <v>8340</v>
      </c>
      <c r="E1380" t="s">
        <v>8341</v>
      </c>
      <c r="F1380" t="s">
        <v>8342</v>
      </c>
      <c r="H1380" t="s">
        <v>8343</v>
      </c>
      <c r="J1380" t="s">
        <v>481</v>
      </c>
      <c r="M1380" t="s">
        <v>139</v>
      </c>
    </row>
    <row r="1381" spans="1:13" x14ac:dyDescent="0.15">
      <c r="A1381" t="s">
        <v>8344</v>
      </c>
      <c r="B1381" t="s">
        <v>14</v>
      </c>
      <c r="C1381" t="s">
        <v>118</v>
      </c>
      <c r="D1381" t="s">
        <v>8345</v>
      </c>
      <c r="E1381" t="s">
        <v>8346</v>
      </c>
      <c r="F1381" t="s">
        <v>8347</v>
      </c>
      <c r="G1381" t="s">
        <v>8348</v>
      </c>
      <c r="H1381" t="s">
        <v>8348</v>
      </c>
      <c r="I1381" t="s">
        <v>8349</v>
      </c>
      <c r="J1381" t="s">
        <v>270</v>
      </c>
      <c r="K1381" t="s">
        <v>2122</v>
      </c>
      <c r="L1381" t="s">
        <v>8349</v>
      </c>
      <c r="M1381" t="s">
        <v>104</v>
      </c>
    </row>
    <row r="1382" spans="1:13" x14ac:dyDescent="0.15">
      <c r="A1382" t="s">
        <v>8350</v>
      </c>
      <c r="B1382" t="s">
        <v>14</v>
      </c>
      <c r="C1382" t="s">
        <v>118</v>
      </c>
      <c r="D1382" t="s">
        <v>8351</v>
      </c>
      <c r="E1382" t="s">
        <v>8352</v>
      </c>
      <c r="F1382" t="s">
        <v>8353</v>
      </c>
      <c r="G1382" t="s">
        <v>8354</v>
      </c>
      <c r="H1382" t="s">
        <v>8354</v>
      </c>
      <c r="I1382" t="s">
        <v>8355</v>
      </c>
      <c r="J1382" t="s">
        <v>1194</v>
      </c>
      <c r="K1382" t="s">
        <v>540</v>
      </c>
      <c r="L1382" t="s">
        <v>8355</v>
      </c>
      <c r="M1382" t="s">
        <v>165</v>
      </c>
    </row>
    <row r="1383" spans="1:13" x14ac:dyDescent="0.15">
      <c r="A1383" t="s">
        <v>8356</v>
      </c>
      <c r="B1383" t="s">
        <v>14</v>
      </c>
      <c r="C1383" t="s">
        <v>118</v>
      </c>
      <c r="D1383" t="s">
        <v>8357</v>
      </c>
      <c r="E1383" t="s">
        <v>8358</v>
      </c>
      <c r="F1383" t="s">
        <v>8359</v>
      </c>
      <c r="G1383" t="s">
        <v>8360</v>
      </c>
      <c r="H1383" t="s">
        <v>8360</v>
      </c>
      <c r="I1383" t="s">
        <v>8361</v>
      </c>
      <c r="J1383" t="s">
        <v>206</v>
      </c>
      <c r="K1383" t="s">
        <v>339</v>
      </c>
      <c r="L1383" t="s">
        <v>8361</v>
      </c>
      <c r="M1383" t="s">
        <v>165</v>
      </c>
    </row>
    <row r="1384" spans="1:13" x14ac:dyDescent="0.15">
      <c r="A1384" t="s">
        <v>8362</v>
      </c>
      <c r="B1384" t="s">
        <v>14</v>
      </c>
      <c r="C1384" t="s">
        <v>118</v>
      </c>
      <c r="D1384" t="s">
        <v>8363</v>
      </c>
      <c r="E1384" t="s">
        <v>8364</v>
      </c>
      <c r="F1384" t="s">
        <v>8365</v>
      </c>
      <c r="G1384" t="s">
        <v>8366</v>
      </c>
      <c r="H1384" t="s">
        <v>8366</v>
      </c>
      <c r="I1384" t="s">
        <v>8367</v>
      </c>
      <c r="J1384" t="s">
        <v>206</v>
      </c>
      <c r="K1384" t="s">
        <v>839</v>
      </c>
      <c r="L1384" t="s">
        <v>8367</v>
      </c>
      <c r="M1384" t="s">
        <v>482</v>
      </c>
    </row>
    <row r="1385" spans="1:13" x14ac:dyDescent="0.15">
      <c r="A1385" t="s">
        <v>8368</v>
      </c>
      <c r="B1385" t="s">
        <v>14</v>
      </c>
      <c r="C1385" t="s">
        <v>23</v>
      </c>
      <c r="D1385" t="s">
        <v>8369</v>
      </c>
      <c r="E1385" t="s">
        <v>8370</v>
      </c>
      <c r="F1385" t="s">
        <v>8371</v>
      </c>
      <c r="G1385" t="s">
        <v>1920</v>
      </c>
      <c r="H1385" t="s">
        <v>1920</v>
      </c>
      <c r="I1385" t="s">
        <v>8372</v>
      </c>
      <c r="J1385" t="s">
        <v>514</v>
      </c>
      <c r="K1385" t="s">
        <v>832</v>
      </c>
      <c r="L1385" t="s">
        <v>8372</v>
      </c>
      <c r="M1385" t="s">
        <v>104</v>
      </c>
    </row>
    <row r="1386" spans="1:13" x14ac:dyDescent="0.15">
      <c r="A1386" t="s">
        <v>8373</v>
      </c>
      <c r="B1386" t="s">
        <v>14</v>
      </c>
      <c r="C1386" t="s">
        <v>118</v>
      </c>
      <c r="D1386" t="s">
        <v>8374</v>
      </c>
      <c r="E1386" t="s">
        <v>8375</v>
      </c>
      <c r="F1386" t="s">
        <v>8376</v>
      </c>
      <c r="G1386" t="s">
        <v>8377</v>
      </c>
      <c r="H1386" t="s">
        <v>8377</v>
      </c>
      <c r="I1386" t="s">
        <v>8378</v>
      </c>
      <c r="J1386" t="s">
        <v>514</v>
      </c>
      <c r="K1386" t="s">
        <v>48</v>
      </c>
      <c r="L1386" t="s">
        <v>8378</v>
      </c>
      <c r="M1386" t="s">
        <v>594</v>
      </c>
    </row>
    <row r="1387" spans="1:13" x14ac:dyDescent="0.15">
      <c r="A1387" t="s">
        <v>8379</v>
      </c>
      <c r="B1387" t="s">
        <v>14</v>
      </c>
      <c r="C1387" t="s">
        <v>194</v>
      </c>
      <c r="D1387" t="s">
        <v>8380</v>
      </c>
      <c r="E1387" t="s">
        <v>8381</v>
      </c>
      <c r="F1387" t="s">
        <v>8382</v>
      </c>
      <c r="G1387" t="s">
        <v>8383</v>
      </c>
      <c r="H1387" t="s">
        <v>8384</v>
      </c>
      <c r="J1387" t="s">
        <v>1724</v>
      </c>
      <c r="M1387" t="s">
        <v>139</v>
      </c>
    </row>
    <row r="1388" spans="1:13" x14ac:dyDescent="0.15">
      <c r="A1388" t="s">
        <v>8385</v>
      </c>
      <c r="B1388" t="s">
        <v>14</v>
      </c>
      <c r="C1388" t="s">
        <v>118</v>
      </c>
      <c r="D1388" t="s">
        <v>8386</v>
      </c>
      <c r="E1388" t="s">
        <v>8387</v>
      </c>
      <c r="F1388" t="s">
        <v>8388</v>
      </c>
      <c r="G1388" t="s">
        <v>8389</v>
      </c>
      <c r="H1388" t="s">
        <v>8389</v>
      </c>
      <c r="I1388" t="s">
        <v>8390</v>
      </c>
      <c r="J1388" t="s">
        <v>246</v>
      </c>
      <c r="K1388" t="s">
        <v>2687</v>
      </c>
      <c r="L1388" t="s">
        <v>8390</v>
      </c>
      <c r="M1388" t="s">
        <v>126</v>
      </c>
    </row>
    <row r="1389" spans="1:13" x14ac:dyDescent="0.15">
      <c r="A1389" t="s">
        <v>8391</v>
      </c>
      <c r="B1389" t="s">
        <v>14</v>
      </c>
      <c r="C1389" t="s">
        <v>118</v>
      </c>
      <c r="D1389" t="s">
        <v>8392</v>
      </c>
      <c r="E1389" t="s">
        <v>8393</v>
      </c>
      <c r="F1389" t="s">
        <v>8394</v>
      </c>
      <c r="G1389" t="s">
        <v>8395</v>
      </c>
      <c r="H1389" t="s">
        <v>8395</v>
      </c>
      <c r="I1389" t="s">
        <v>8396</v>
      </c>
      <c r="J1389" t="s">
        <v>626</v>
      </c>
      <c r="K1389" t="s">
        <v>271</v>
      </c>
      <c r="L1389" t="s">
        <v>8396</v>
      </c>
      <c r="M1389" t="s">
        <v>290</v>
      </c>
    </row>
    <row r="1390" spans="1:13" x14ac:dyDescent="0.15">
      <c r="A1390" t="s">
        <v>8397</v>
      </c>
      <c r="B1390" t="s">
        <v>14</v>
      </c>
      <c r="C1390" t="s">
        <v>23</v>
      </c>
      <c r="D1390" t="s">
        <v>8398</v>
      </c>
      <c r="E1390" t="s">
        <v>8399</v>
      </c>
      <c r="F1390" t="s">
        <v>8400</v>
      </c>
      <c r="G1390" t="s">
        <v>8401</v>
      </c>
      <c r="H1390" t="s">
        <v>8401</v>
      </c>
      <c r="I1390" t="s">
        <v>8402</v>
      </c>
      <c r="J1390" t="s">
        <v>521</v>
      </c>
      <c r="K1390" t="s">
        <v>231</v>
      </c>
      <c r="L1390" t="s">
        <v>8402</v>
      </c>
      <c r="M1390" t="s">
        <v>41</v>
      </c>
    </row>
    <row r="1391" spans="1:13" x14ac:dyDescent="0.15">
      <c r="A1391" t="s">
        <v>8403</v>
      </c>
      <c r="B1391" t="s">
        <v>14</v>
      </c>
      <c r="C1391" t="s">
        <v>23</v>
      </c>
      <c r="D1391" t="s">
        <v>4263</v>
      </c>
      <c r="E1391" t="s">
        <v>8404</v>
      </c>
      <c r="F1391" t="s">
        <v>8405</v>
      </c>
      <c r="G1391" t="s">
        <v>8406</v>
      </c>
      <c r="H1391" t="s">
        <v>8406</v>
      </c>
      <c r="I1391" t="s">
        <v>8407</v>
      </c>
      <c r="J1391" t="s">
        <v>20</v>
      </c>
      <c r="K1391" t="s">
        <v>1236</v>
      </c>
      <c r="L1391" t="s">
        <v>8407</v>
      </c>
      <c r="M1391" t="s">
        <v>41</v>
      </c>
    </row>
    <row r="1392" spans="1:13" x14ac:dyDescent="0.15">
      <c r="A1392" t="s">
        <v>8408</v>
      </c>
      <c r="B1392" t="s">
        <v>14</v>
      </c>
      <c r="C1392" t="s">
        <v>118</v>
      </c>
      <c r="D1392" t="s">
        <v>8409</v>
      </c>
      <c r="E1392" t="s">
        <v>8410</v>
      </c>
      <c r="F1392" t="s">
        <v>8411</v>
      </c>
      <c r="G1392" t="s">
        <v>4647</v>
      </c>
      <c r="H1392" t="s">
        <v>4647</v>
      </c>
      <c r="I1392" t="s">
        <v>8412</v>
      </c>
      <c r="J1392" t="s">
        <v>297</v>
      </c>
      <c r="K1392" t="s">
        <v>2499</v>
      </c>
      <c r="L1392" t="s">
        <v>8412</v>
      </c>
      <c r="M1392" t="s">
        <v>290</v>
      </c>
    </row>
    <row r="1393" spans="1:13" x14ac:dyDescent="0.15">
      <c r="A1393" t="s">
        <v>8413</v>
      </c>
      <c r="B1393" t="s">
        <v>14</v>
      </c>
      <c r="C1393" t="s">
        <v>118</v>
      </c>
      <c r="D1393" t="s">
        <v>8414</v>
      </c>
      <c r="E1393" t="s">
        <v>8415</v>
      </c>
      <c r="F1393" t="s">
        <v>8416</v>
      </c>
      <c r="G1393" t="s">
        <v>8417</v>
      </c>
      <c r="H1393" t="s">
        <v>8417</v>
      </c>
      <c r="I1393" t="s">
        <v>8418</v>
      </c>
      <c r="J1393" t="s">
        <v>297</v>
      </c>
      <c r="K1393" t="s">
        <v>256</v>
      </c>
      <c r="L1393" t="s">
        <v>8418</v>
      </c>
      <c r="M1393" t="s">
        <v>812</v>
      </c>
    </row>
    <row r="1394" spans="1:13" x14ac:dyDescent="0.15">
      <c r="A1394" t="s">
        <v>8419</v>
      </c>
      <c r="B1394" t="s">
        <v>14</v>
      </c>
      <c r="C1394" t="s">
        <v>118</v>
      </c>
      <c r="D1394" t="s">
        <v>8420</v>
      </c>
      <c r="E1394" t="s">
        <v>8421</v>
      </c>
      <c r="F1394" t="s">
        <v>8422</v>
      </c>
      <c r="G1394" t="s">
        <v>8423</v>
      </c>
      <c r="H1394" t="s">
        <v>8423</v>
      </c>
      <c r="I1394" t="s">
        <v>8424</v>
      </c>
      <c r="J1394" t="s">
        <v>297</v>
      </c>
      <c r="K1394" t="s">
        <v>1718</v>
      </c>
      <c r="L1394" t="s">
        <v>8424</v>
      </c>
      <c r="M1394" t="s">
        <v>361</v>
      </c>
    </row>
    <row r="1395" spans="1:13" x14ac:dyDescent="0.15">
      <c r="A1395" t="s">
        <v>8425</v>
      </c>
      <c r="B1395" t="s">
        <v>14</v>
      </c>
      <c r="C1395" t="s">
        <v>118</v>
      </c>
      <c r="D1395" t="s">
        <v>8426</v>
      </c>
      <c r="E1395" t="s">
        <v>8427</v>
      </c>
      <c r="F1395" t="s">
        <v>8428</v>
      </c>
      <c r="G1395" t="s">
        <v>8429</v>
      </c>
      <c r="H1395" t="s">
        <v>8429</v>
      </c>
      <c r="I1395" t="s">
        <v>7570</v>
      </c>
      <c r="J1395" t="s">
        <v>2205</v>
      </c>
      <c r="K1395" t="s">
        <v>938</v>
      </c>
      <c r="L1395" t="s">
        <v>8430</v>
      </c>
      <c r="M1395" t="s">
        <v>139</v>
      </c>
    </row>
    <row r="1396" spans="1:13" x14ac:dyDescent="0.15">
      <c r="A1396" t="s">
        <v>8431</v>
      </c>
      <c r="B1396" t="s">
        <v>14</v>
      </c>
      <c r="C1396" t="s">
        <v>23</v>
      </c>
      <c r="D1396" t="s">
        <v>3475</v>
      </c>
      <c r="E1396" t="s">
        <v>8432</v>
      </c>
      <c r="F1396" t="s">
        <v>8433</v>
      </c>
      <c r="G1396" t="s">
        <v>8434</v>
      </c>
      <c r="H1396" t="s">
        <v>8434</v>
      </c>
      <c r="I1396" t="s">
        <v>8435</v>
      </c>
      <c r="J1396" t="s">
        <v>481</v>
      </c>
      <c r="K1396" t="s">
        <v>125</v>
      </c>
      <c r="L1396" t="s">
        <v>955</v>
      </c>
      <c r="M1396" t="s">
        <v>31</v>
      </c>
    </row>
    <row r="1397" spans="1:13" x14ac:dyDescent="0.15">
      <c r="A1397" t="s">
        <v>8436</v>
      </c>
      <c r="B1397" t="s">
        <v>14</v>
      </c>
      <c r="C1397" t="s">
        <v>23</v>
      </c>
      <c r="D1397" t="s">
        <v>3482</v>
      </c>
      <c r="E1397" t="s">
        <v>8437</v>
      </c>
      <c r="F1397" t="s">
        <v>8438</v>
      </c>
      <c r="G1397" t="s">
        <v>1023</v>
      </c>
      <c r="H1397" t="s">
        <v>1023</v>
      </c>
      <c r="I1397" t="s">
        <v>8439</v>
      </c>
      <c r="J1397" t="s">
        <v>481</v>
      </c>
      <c r="K1397" t="s">
        <v>3486</v>
      </c>
      <c r="L1397" t="s">
        <v>8440</v>
      </c>
      <c r="M1397" t="s">
        <v>31</v>
      </c>
    </row>
    <row r="1398" spans="1:13" x14ac:dyDescent="0.15">
      <c r="A1398" t="s">
        <v>8441</v>
      </c>
      <c r="B1398" t="s">
        <v>14</v>
      </c>
      <c r="C1398" t="s">
        <v>23</v>
      </c>
      <c r="D1398" t="s">
        <v>3489</v>
      </c>
      <c r="E1398" t="s">
        <v>8442</v>
      </c>
      <c r="F1398" t="s">
        <v>8443</v>
      </c>
      <c r="G1398" t="s">
        <v>8444</v>
      </c>
      <c r="H1398" t="s">
        <v>8444</v>
      </c>
      <c r="I1398" t="s">
        <v>8445</v>
      </c>
      <c r="J1398" t="s">
        <v>481</v>
      </c>
      <c r="K1398" t="s">
        <v>1216</v>
      </c>
      <c r="L1398" t="s">
        <v>8445</v>
      </c>
      <c r="M1398" t="s">
        <v>31</v>
      </c>
    </row>
    <row r="1399" spans="1:13" x14ac:dyDescent="0.15">
      <c r="A1399" t="s">
        <v>8446</v>
      </c>
      <c r="B1399" t="s">
        <v>14</v>
      </c>
      <c r="C1399" t="s">
        <v>23</v>
      </c>
      <c r="D1399" t="s">
        <v>3495</v>
      </c>
      <c r="E1399" t="s">
        <v>8447</v>
      </c>
      <c r="F1399" t="s">
        <v>8448</v>
      </c>
      <c r="G1399" t="s">
        <v>8449</v>
      </c>
      <c r="H1399" t="s">
        <v>8449</v>
      </c>
      <c r="I1399" t="s">
        <v>5097</v>
      </c>
      <c r="J1399" t="s">
        <v>481</v>
      </c>
      <c r="K1399" t="s">
        <v>3500</v>
      </c>
      <c r="L1399" t="s">
        <v>5097</v>
      </c>
      <c r="M1399" t="s">
        <v>31</v>
      </c>
    </row>
    <row r="1400" spans="1:13" x14ac:dyDescent="0.15">
      <c r="A1400" t="s">
        <v>8450</v>
      </c>
      <c r="B1400" t="s">
        <v>14</v>
      </c>
      <c r="C1400" t="s">
        <v>23</v>
      </c>
      <c r="D1400" t="s">
        <v>8451</v>
      </c>
      <c r="E1400" t="s">
        <v>8452</v>
      </c>
      <c r="F1400" t="s">
        <v>8453</v>
      </c>
      <c r="G1400" t="s">
        <v>8454</v>
      </c>
      <c r="H1400" t="s">
        <v>8454</v>
      </c>
      <c r="I1400" t="s">
        <v>8455</v>
      </c>
      <c r="J1400" t="s">
        <v>270</v>
      </c>
      <c r="K1400" t="s">
        <v>1195</v>
      </c>
      <c r="L1400" t="s">
        <v>8455</v>
      </c>
      <c r="M1400" t="s">
        <v>192</v>
      </c>
    </row>
    <row r="1401" spans="1:13" x14ac:dyDescent="0.15">
      <c r="A1401" t="s">
        <v>8456</v>
      </c>
      <c r="B1401" t="s">
        <v>14</v>
      </c>
      <c r="C1401" t="s">
        <v>23</v>
      </c>
      <c r="D1401" t="s">
        <v>8457</v>
      </c>
      <c r="E1401" t="s">
        <v>8458</v>
      </c>
      <c r="F1401" t="s">
        <v>8459</v>
      </c>
      <c r="G1401" t="s">
        <v>8460</v>
      </c>
      <c r="H1401" t="s">
        <v>8460</v>
      </c>
      <c r="I1401" t="s">
        <v>8461</v>
      </c>
      <c r="J1401" t="s">
        <v>415</v>
      </c>
      <c r="K1401" t="s">
        <v>839</v>
      </c>
      <c r="L1401" t="s">
        <v>8461</v>
      </c>
      <c r="M1401" t="s">
        <v>80</v>
      </c>
    </row>
    <row r="1402" spans="1:13" x14ac:dyDescent="0.15">
      <c r="A1402" t="s">
        <v>8462</v>
      </c>
      <c r="B1402" t="s">
        <v>14</v>
      </c>
      <c r="C1402" t="s">
        <v>23</v>
      </c>
      <c r="D1402" t="s">
        <v>8463</v>
      </c>
      <c r="E1402" t="s">
        <v>8464</v>
      </c>
      <c r="F1402" t="s">
        <v>8465</v>
      </c>
      <c r="G1402" t="s">
        <v>8466</v>
      </c>
      <c r="H1402" t="s">
        <v>8466</v>
      </c>
      <c r="I1402" t="s">
        <v>8467</v>
      </c>
      <c r="J1402" t="s">
        <v>352</v>
      </c>
      <c r="K1402" t="s">
        <v>30</v>
      </c>
      <c r="L1402" t="s">
        <v>8467</v>
      </c>
      <c r="M1402" t="s">
        <v>216</v>
      </c>
    </row>
    <row r="1403" spans="1:13" x14ac:dyDescent="0.15">
      <c r="A1403" t="s">
        <v>8468</v>
      </c>
      <c r="B1403" t="s">
        <v>14</v>
      </c>
      <c r="C1403" t="s">
        <v>118</v>
      </c>
      <c r="D1403" t="s">
        <v>8469</v>
      </c>
      <c r="E1403" t="s">
        <v>8470</v>
      </c>
      <c r="F1403" t="s">
        <v>8471</v>
      </c>
      <c r="G1403" t="s">
        <v>8472</v>
      </c>
      <c r="H1403" t="s">
        <v>8472</v>
      </c>
      <c r="I1403" t="s">
        <v>7297</v>
      </c>
      <c r="J1403" t="s">
        <v>481</v>
      </c>
      <c r="K1403" t="s">
        <v>1946</v>
      </c>
      <c r="L1403" t="s">
        <v>7297</v>
      </c>
      <c r="M1403" t="s">
        <v>353</v>
      </c>
    </row>
    <row r="1404" spans="1:13" x14ac:dyDescent="0.15">
      <c r="A1404" t="s">
        <v>8473</v>
      </c>
      <c r="B1404" t="s">
        <v>14</v>
      </c>
      <c r="C1404" t="s">
        <v>118</v>
      </c>
      <c r="D1404" t="s">
        <v>8474</v>
      </c>
      <c r="E1404" t="s">
        <v>8475</v>
      </c>
      <c r="F1404" t="s">
        <v>8476</v>
      </c>
      <c r="H1404" t="s">
        <v>8477</v>
      </c>
      <c r="I1404" t="s">
        <v>8478</v>
      </c>
      <c r="J1404" t="s">
        <v>7248</v>
      </c>
      <c r="K1404" t="s">
        <v>8479</v>
      </c>
      <c r="L1404" t="s">
        <v>8480</v>
      </c>
      <c r="M1404" t="s">
        <v>183</v>
      </c>
    </row>
    <row r="1405" spans="1:13" x14ac:dyDescent="0.15">
      <c r="A1405" t="s">
        <v>8481</v>
      </c>
      <c r="B1405" t="s">
        <v>14</v>
      </c>
      <c r="C1405" t="s">
        <v>23</v>
      </c>
      <c r="D1405" t="s">
        <v>8482</v>
      </c>
      <c r="E1405" t="s">
        <v>8483</v>
      </c>
      <c r="F1405" t="s">
        <v>8484</v>
      </c>
      <c r="G1405" t="s">
        <v>8485</v>
      </c>
      <c r="H1405" t="s">
        <v>8485</v>
      </c>
      <c r="I1405" t="s">
        <v>8486</v>
      </c>
      <c r="J1405" t="s">
        <v>95</v>
      </c>
      <c r="K1405" t="s">
        <v>1541</v>
      </c>
      <c r="L1405" t="s">
        <v>8487</v>
      </c>
      <c r="M1405" t="s">
        <v>80</v>
      </c>
    </row>
    <row r="1406" spans="1:13" x14ac:dyDescent="0.15">
      <c r="A1406" t="s">
        <v>8488</v>
      </c>
      <c r="B1406" t="s">
        <v>14</v>
      </c>
      <c r="C1406" t="s">
        <v>23</v>
      </c>
      <c r="D1406" t="s">
        <v>8489</v>
      </c>
      <c r="E1406" t="s">
        <v>8490</v>
      </c>
      <c r="F1406" t="s">
        <v>8491</v>
      </c>
      <c r="G1406" t="s">
        <v>5261</v>
      </c>
      <c r="H1406" t="s">
        <v>5261</v>
      </c>
      <c r="I1406" t="s">
        <v>8492</v>
      </c>
      <c r="J1406" t="s">
        <v>29</v>
      </c>
      <c r="K1406" t="s">
        <v>1922</v>
      </c>
      <c r="L1406" t="s">
        <v>79</v>
      </c>
      <c r="M1406" t="s">
        <v>126</v>
      </c>
    </row>
    <row r="1407" spans="1:13" x14ac:dyDescent="0.15">
      <c r="A1407" t="s">
        <v>8493</v>
      </c>
      <c r="B1407" t="s">
        <v>14</v>
      </c>
      <c r="C1407" t="s">
        <v>118</v>
      </c>
      <c r="D1407" t="s">
        <v>8494</v>
      </c>
      <c r="E1407" t="s">
        <v>8495</v>
      </c>
      <c r="F1407" t="s">
        <v>8496</v>
      </c>
      <c r="G1407" t="s">
        <v>8497</v>
      </c>
      <c r="H1407" t="s">
        <v>8497</v>
      </c>
      <c r="I1407" t="s">
        <v>8498</v>
      </c>
      <c r="J1407" t="s">
        <v>138</v>
      </c>
      <c r="K1407" t="s">
        <v>360</v>
      </c>
      <c r="L1407" t="s">
        <v>8498</v>
      </c>
      <c r="M1407" t="s">
        <v>4293</v>
      </c>
    </row>
    <row r="1408" spans="1:13" x14ac:dyDescent="0.15">
      <c r="A1408" t="s">
        <v>8499</v>
      </c>
      <c r="B1408" t="s">
        <v>14</v>
      </c>
      <c r="C1408" t="s">
        <v>23</v>
      </c>
      <c r="D1408" t="s">
        <v>8500</v>
      </c>
      <c r="E1408" t="s">
        <v>8501</v>
      </c>
      <c r="F1408" t="s">
        <v>8502</v>
      </c>
      <c r="G1408" t="s">
        <v>6544</v>
      </c>
      <c r="H1408" t="s">
        <v>6544</v>
      </c>
      <c r="I1408" t="s">
        <v>5043</v>
      </c>
      <c r="J1408" t="s">
        <v>473</v>
      </c>
      <c r="K1408" t="s">
        <v>5205</v>
      </c>
      <c r="L1408" t="s">
        <v>5043</v>
      </c>
      <c r="M1408" t="s">
        <v>31</v>
      </c>
    </row>
    <row r="1409" spans="1:13" x14ac:dyDescent="0.15">
      <c r="A1409" t="s">
        <v>8503</v>
      </c>
      <c r="B1409" t="s">
        <v>14</v>
      </c>
      <c r="C1409" t="s">
        <v>23</v>
      </c>
      <c r="D1409" t="s">
        <v>8504</v>
      </c>
      <c r="E1409" t="s">
        <v>8505</v>
      </c>
      <c r="F1409" t="s">
        <v>8506</v>
      </c>
      <c r="G1409" t="s">
        <v>6708</v>
      </c>
      <c r="H1409" t="s">
        <v>6708</v>
      </c>
      <c r="I1409" t="s">
        <v>6709</v>
      </c>
      <c r="J1409" t="s">
        <v>521</v>
      </c>
      <c r="K1409" t="s">
        <v>239</v>
      </c>
      <c r="L1409" t="s">
        <v>3093</v>
      </c>
      <c r="M1409" t="s">
        <v>104</v>
      </c>
    </row>
    <row r="1410" spans="1:13" x14ac:dyDescent="0.15">
      <c r="A1410" t="s">
        <v>8507</v>
      </c>
      <c r="B1410" t="s">
        <v>14</v>
      </c>
      <c r="C1410" t="s">
        <v>23</v>
      </c>
      <c r="D1410" t="s">
        <v>8508</v>
      </c>
      <c r="E1410" t="s">
        <v>8509</v>
      </c>
      <c r="F1410" t="s">
        <v>8510</v>
      </c>
      <c r="G1410" t="s">
        <v>8511</v>
      </c>
      <c r="H1410" t="s">
        <v>8511</v>
      </c>
      <c r="I1410" t="s">
        <v>2825</v>
      </c>
      <c r="J1410" t="s">
        <v>124</v>
      </c>
      <c r="K1410" t="s">
        <v>723</v>
      </c>
      <c r="L1410" t="s">
        <v>8512</v>
      </c>
      <c r="M1410" t="s">
        <v>104</v>
      </c>
    </row>
    <row r="1411" spans="1:13" x14ac:dyDescent="0.15">
      <c r="A1411" t="s">
        <v>8513</v>
      </c>
      <c r="B1411" t="s">
        <v>14</v>
      </c>
      <c r="C1411" t="s">
        <v>118</v>
      </c>
      <c r="D1411" t="s">
        <v>8514</v>
      </c>
      <c r="E1411" t="s">
        <v>8515</v>
      </c>
      <c r="F1411" t="s">
        <v>8516</v>
      </c>
      <c r="G1411" t="s">
        <v>8517</v>
      </c>
      <c r="H1411" t="s">
        <v>8517</v>
      </c>
      <c r="I1411" t="s">
        <v>8518</v>
      </c>
      <c r="J1411" t="s">
        <v>1945</v>
      </c>
      <c r="K1411" t="s">
        <v>832</v>
      </c>
      <c r="L1411" t="s">
        <v>8518</v>
      </c>
      <c r="M1411" t="s">
        <v>353</v>
      </c>
    </row>
    <row r="1412" spans="1:13" x14ac:dyDescent="0.15">
      <c r="A1412" t="s">
        <v>8519</v>
      </c>
      <c r="B1412" t="s">
        <v>14</v>
      </c>
      <c r="C1412" t="s">
        <v>194</v>
      </c>
      <c r="D1412" t="s">
        <v>8520</v>
      </c>
      <c r="E1412" t="s">
        <v>8521</v>
      </c>
      <c r="F1412" t="s">
        <v>8522</v>
      </c>
      <c r="H1412" t="s">
        <v>8523</v>
      </c>
      <c r="J1412" t="s">
        <v>1724</v>
      </c>
      <c r="M1412" t="s">
        <v>139</v>
      </c>
    </row>
    <row r="1413" spans="1:13" x14ac:dyDescent="0.15">
      <c r="A1413" t="s">
        <v>8524</v>
      </c>
      <c r="B1413" t="s">
        <v>14</v>
      </c>
      <c r="C1413" t="s">
        <v>23</v>
      </c>
      <c r="D1413" t="s">
        <v>8525</v>
      </c>
      <c r="E1413" t="s">
        <v>8526</v>
      </c>
      <c r="F1413" t="s">
        <v>8527</v>
      </c>
      <c r="G1413" t="s">
        <v>8528</v>
      </c>
      <c r="H1413" t="s">
        <v>8528</v>
      </c>
      <c r="I1413" t="s">
        <v>8529</v>
      </c>
      <c r="J1413" t="s">
        <v>514</v>
      </c>
      <c r="K1413" t="s">
        <v>1896</v>
      </c>
      <c r="L1413" t="s">
        <v>8529</v>
      </c>
      <c r="M1413" t="s">
        <v>41</v>
      </c>
    </row>
    <row r="1414" spans="1:13" x14ac:dyDescent="0.15">
      <c r="A1414" t="s">
        <v>8530</v>
      </c>
      <c r="B1414" t="s">
        <v>14</v>
      </c>
      <c r="C1414" t="s">
        <v>118</v>
      </c>
      <c r="D1414" t="s">
        <v>8531</v>
      </c>
      <c r="E1414" t="s">
        <v>8532</v>
      </c>
      <c r="F1414" t="s">
        <v>8533</v>
      </c>
      <c r="G1414" t="s">
        <v>8534</v>
      </c>
      <c r="H1414" t="s">
        <v>8534</v>
      </c>
      <c r="I1414" t="s">
        <v>532</v>
      </c>
      <c r="J1414" t="s">
        <v>481</v>
      </c>
      <c r="K1414" t="s">
        <v>190</v>
      </c>
      <c r="L1414" t="s">
        <v>532</v>
      </c>
      <c r="M1414" t="s">
        <v>80</v>
      </c>
    </row>
    <row r="1415" spans="1:13" x14ac:dyDescent="0.15">
      <c r="A1415" t="s">
        <v>8535</v>
      </c>
      <c r="B1415" t="s">
        <v>14</v>
      </c>
      <c r="C1415" t="s">
        <v>23</v>
      </c>
      <c r="D1415" t="s">
        <v>8536</v>
      </c>
      <c r="E1415" t="s">
        <v>8537</v>
      </c>
      <c r="F1415" t="s">
        <v>8538</v>
      </c>
      <c r="G1415" t="s">
        <v>8539</v>
      </c>
      <c r="H1415" t="s">
        <v>8539</v>
      </c>
      <c r="I1415" t="s">
        <v>8540</v>
      </c>
      <c r="J1415" t="s">
        <v>110</v>
      </c>
      <c r="K1415" t="s">
        <v>647</v>
      </c>
      <c r="L1415" t="s">
        <v>8541</v>
      </c>
      <c r="M1415" t="s">
        <v>248</v>
      </c>
    </row>
    <row r="1416" spans="1:13" x14ac:dyDescent="0.15">
      <c r="A1416" t="s">
        <v>8542</v>
      </c>
      <c r="B1416" t="s">
        <v>14</v>
      </c>
      <c r="C1416" t="s">
        <v>23</v>
      </c>
      <c r="D1416" t="s">
        <v>1211</v>
      </c>
      <c r="E1416" t="s">
        <v>8543</v>
      </c>
      <c r="F1416" t="s">
        <v>8544</v>
      </c>
      <c r="G1416" t="s">
        <v>8545</v>
      </c>
      <c r="H1416" t="s">
        <v>8545</v>
      </c>
      <c r="I1416" t="s">
        <v>3031</v>
      </c>
      <c r="J1416" t="s">
        <v>1194</v>
      </c>
      <c r="K1416" t="s">
        <v>5205</v>
      </c>
      <c r="L1416" t="s">
        <v>3031</v>
      </c>
      <c r="M1416" t="s">
        <v>41</v>
      </c>
    </row>
    <row r="1417" spans="1:13" x14ac:dyDescent="0.15">
      <c r="A1417" t="s">
        <v>8546</v>
      </c>
      <c r="B1417" t="s">
        <v>14</v>
      </c>
      <c r="C1417" t="s">
        <v>118</v>
      </c>
      <c r="D1417" t="s">
        <v>2915</v>
      </c>
      <c r="E1417" t="s">
        <v>8547</v>
      </c>
      <c r="F1417" t="s">
        <v>8548</v>
      </c>
      <c r="G1417" t="s">
        <v>4692</v>
      </c>
      <c r="H1417" t="s">
        <v>4692</v>
      </c>
      <c r="I1417" t="s">
        <v>8549</v>
      </c>
      <c r="J1417" t="s">
        <v>20</v>
      </c>
      <c r="K1417" t="s">
        <v>424</v>
      </c>
      <c r="L1417" t="s">
        <v>8549</v>
      </c>
      <c r="M1417" t="s">
        <v>1498</v>
      </c>
    </row>
    <row r="1418" spans="1:13" x14ac:dyDescent="0.15">
      <c r="A1418" t="s">
        <v>8550</v>
      </c>
      <c r="B1418" t="s">
        <v>14</v>
      </c>
      <c r="C1418" t="s">
        <v>118</v>
      </c>
      <c r="D1418" t="s">
        <v>8551</v>
      </c>
      <c r="E1418" t="s">
        <v>8552</v>
      </c>
      <c r="F1418" t="s">
        <v>8553</v>
      </c>
      <c r="G1418" t="s">
        <v>8554</v>
      </c>
      <c r="H1418" t="s">
        <v>8554</v>
      </c>
      <c r="I1418" t="s">
        <v>2578</v>
      </c>
      <c r="J1418" t="s">
        <v>246</v>
      </c>
      <c r="K1418" t="s">
        <v>2122</v>
      </c>
      <c r="L1418" t="s">
        <v>2578</v>
      </c>
      <c r="M1418" t="s">
        <v>183</v>
      </c>
    </row>
    <row r="1419" spans="1:13" x14ac:dyDescent="0.15">
      <c r="A1419" t="s">
        <v>8555</v>
      </c>
      <c r="B1419" t="s">
        <v>14</v>
      </c>
      <c r="C1419" t="s">
        <v>118</v>
      </c>
      <c r="D1419" t="s">
        <v>8556</v>
      </c>
      <c r="E1419" t="s">
        <v>8557</v>
      </c>
      <c r="F1419" t="s">
        <v>8558</v>
      </c>
      <c r="G1419" t="s">
        <v>8559</v>
      </c>
      <c r="H1419" t="s">
        <v>8559</v>
      </c>
      <c r="I1419" t="s">
        <v>8560</v>
      </c>
      <c r="J1419" t="s">
        <v>1194</v>
      </c>
      <c r="K1419" t="s">
        <v>263</v>
      </c>
      <c r="L1419" t="s">
        <v>8560</v>
      </c>
      <c r="M1419" t="s">
        <v>165</v>
      </c>
    </row>
    <row r="1420" spans="1:13" x14ac:dyDescent="0.15">
      <c r="A1420" t="s">
        <v>8561</v>
      </c>
      <c r="B1420" t="s">
        <v>14</v>
      </c>
      <c r="C1420" t="s">
        <v>118</v>
      </c>
      <c r="D1420" t="s">
        <v>2933</v>
      </c>
      <c r="E1420" t="s">
        <v>8562</v>
      </c>
      <c r="F1420" t="s">
        <v>8563</v>
      </c>
      <c r="G1420" t="s">
        <v>8564</v>
      </c>
      <c r="H1420" t="s">
        <v>8564</v>
      </c>
      <c r="I1420" t="s">
        <v>8565</v>
      </c>
      <c r="J1420" t="s">
        <v>20</v>
      </c>
      <c r="K1420" t="s">
        <v>980</v>
      </c>
      <c r="L1420" t="s">
        <v>8565</v>
      </c>
      <c r="M1420" t="s">
        <v>1498</v>
      </c>
    </row>
    <row r="1421" spans="1:13" x14ac:dyDescent="0.15">
      <c r="A1421" t="s">
        <v>8566</v>
      </c>
      <c r="B1421" t="s">
        <v>14</v>
      </c>
      <c r="C1421" t="s">
        <v>118</v>
      </c>
      <c r="D1421" t="s">
        <v>2952</v>
      </c>
      <c r="E1421" t="s">
        <v>8567</v>
      </c>
      <c r="F1421" t="s">
        <v>8568</v>
      </c>
      <c r="G1421" t="s">
        <v>1615</v>
      </c>
      <c r="H1421" t="s">
        <v>1615</v>
      </c>
      <c r="I1421" t="s">
        <v>8569</v>
      </c>
      <c r="J1421" t="s">
        <v>20</v>
      </c>
      <c r="K1421" t="s">
        <v>64</v>
      </c>
      <c r="L1421" t="s">
        <v>8569</v>
      </c>
      <c r="M1421" t="s">
        <v>1385</v>
      </c>
    </row>
    <row r="1422" spans="1:13" x14ac:dyDescent="0.15">
      <c r="A1422" t="s">
        <v>8570</v>
      </c>
      <c r="B1422" t="s">
        <v>14</v>
      </c>
      <c r="C1422" t="s">
        <v>118</v>
      </c>
      <c r="D1422" t="s">
        <v>8571</v>
      </c>
      <c r="E1422" t="s">
        <v>8572</v>
      </c>
      <c r="F1422" t="s">
        <v>8573</v>
      </c>
      <c r="G1422" t="s">
        <v>8078</v>
      </c>
      <c r="H1422" t="s">
        <v>8078</v>
      </c>
      <c r="I1422" t="s">
        <v>8574</v>
      </c>
      <c r="J1422" t="s">
        <v>138</v>
      </c>
      <c r="K1422" t="s">
        <v>305</v>
      </c>
      <c r="L1422" t="s">
        <v>8574</v>
      </c>
      <c r="M1422" t="s">
        <v>1132</v>
      </c>
    </row>
    <row r="1423" spans="1:13" x14ac:dyDescent="0.15">
      <c r="A1423" t="s">
        <v>8575</v>
      </c>
      <c r="B1423" t="s">
        <v>14</v>
      </c>
      <c r="C1423" t="s">
        <v>118</v>
      </c>
      <c r="D1423" t="s">
        <v>8576</v>
      </c>
      <c r="E1423" t="s">
        <v>8577</v>
      </c>
      <c r="F1423" t="s">
        <v>8578</v>
      </c>
      <c r="G1423" t="s">
        <v>8579</v>
      </c>
      <c r="H1423" t="s">
        <v>8579</v>
      </c>
      <c r="I1423" t="s">
        <v>8580</v>
      </c>
      <c r="J1423" t="s">
        <v>138</v>
      </c>
      <c r="K1423" t="s">
        <v>1915</v>
      </c>
      <c r="L1423" t="s">
        <v>8580</v>
      </c>
      <c r="M1423" t="s">
        <v>594</v>
      </c>
    </row>
    <row r="1424" spans="1:13" x14ac:dyDescent="0.15">
      <c r="A1424" t="s">
        <v>8581</v>
      </c>
      <c r="B1424" t="s">
        <v>14</v>
      </c>
      <c r="C1424" t="s">
        <v>23</v>
      </c>
      <c r="D1424" t="s">
        <v>8582</v>
      </c>
      <c r="E1424" t="s">
        <v>8583</v>
      </c>
      <c r="F1424" t="s">
        <v>8584</v>
      </c>
      <c r="G1424" t="s">
        <v>3625</v>
      </c>
      <c r="H1424" t="s">
        <v>3625</v>
      </c>
      <c r="I1424" t="s">
        <v>8585</v>
      </c>
      <c r="J1424" t="s">
        <v>138</v>
      </c>
      <c r="K1424" t="s">
        <v>452</v>
      </c>
      <c r="L1424" t="s">
        <v>8585</v>
      </c>
      <c r="M1424" t="s">
        <v>104</v>
      </c>
    </row>
    <row r="1425" spans="1:13" x14ac:dyDescent="0.15">
      <c r="A1425" t="s">
        <v>8586</v>
      </c>
      <c r="B1425" t="s">
        <v>14</v>
      </c>
      <c r="C1425" t="s">
        <v>118</v>
      </c>
      <c r="D1425" t="s">
        <v>8587</v>
      </c>
      <c r="E1425" t="s">
        <v>8588</v>
      </c>
      <c r="F1425" t="s">
        <v>8589</v>
      </c>
      <c r="G1425" t="s">
        <v>8590</v>
      </c>
      <c r="H1425" t="s">
        <v>8590</v>
      </c>
      <c r="I1425" t="s">
        <v>8591</v>
      </c>
      <c r="J1425" t="s">
        <v>473</v>
      </c>
      <c r="K1425" t="s">
        <v>263</v>
      </c>
      <c r="L1425" t="s">
        <v>8591</v>
      </c>
      <c r="M1425" t="s">
        <v>3225</v>
      </c>
    </row>
    <row r="1426" spans="1:13" x14ac:dyDescent="0.15">
      <c r="A1426" t="s">
        <v>8592</v>
      </c>
      <c r="B1426" t="s">
        <v>14</v>
      </c>
      <c r="C1426" t="s">
        <v>118</v>
      </c>
      <c r="D1426" t="s">
        <v>8593</v>
      </c>
      <c r="E1426" t="s">
        <v>8594</v>
      </c>
      <c r="F1426" t="s">
        <v>8595</v>
      </c>
      <c r="G1426" t="s">
        <v>8590</v>
      </c>
      <c r="H1426" t="s">
        <v>8590</v>
      </c>
      <c r="I1426" t="s">
        <v>8591</v>
      </c>
      <c r="J1426" t="s">
        <v>473</v>
      </c>
      <c r="K1426" t="s">
        <v>431</v>
      </c>
      <c r="L1426" t="s">
        <v>8591</v>
      </c>
      <c r="M1426" t="s">
        <v>1118</v>
      </c>
    </row>
    <row r="1427" spans="1:13" x14ac:dyDescent="0.15">
      <c r="A1427" t="s">
        <v>8596</v>
      </c>
      <c r="B1427" t="s">
        <v>14</v>
      </c>
      <c r="C1427" t="s">
        <v>118</v>
      </c>
      <c r="D1427" t="s">
        <v>8597</v>
      </c>
      <c r="E1427" t="s">
        <v>8598</v>
      </c>
      <c r="F1427" t="s">
        <v>8599</v>
      </c>
      <c r="H1427" t="s">
        <v>8216</v>
      </c>
      <c r="I1427" t="s">
        <v>8217</v>
      </c>
      <c r="J1427" t="s">
        <v>7248</v>
      </c>
      <c r="K1427" t="s">
        <v>182</v>
      </c>
      <c r="L1427" t="s">
        <v>8600</v>
      </c>
      <c r="M1427" t="s">
        <v>174</v>
      </c>
    </row>
    <row r="1428" spans="1:13" x14ac:dyDescent="0.15">
      <c r="A1428" t="s">
        <v>8601</v>
      </c>
      <c r="B1428" t="s">
        <v>14</v>
      </c>
      <c r="C1428" t="s">
        <v>118</v>
      </c>
      <c r="D1428" t="s">
        <v>8097</v>
      </c>
      <c r="E1428" t="s">
        <v>8602</v>
      </c>
      <c r="F1428" t="s">
        <v>8603</v>
      </c>
      <c r="H1428" t="s">
        <v>145</v>
      </c>
      <c r="I1428" t="s">
        <v>145</v>
      </c>
      <c r="J1428" t="s">
        <v>3118</v>
      </c>
      <c r="M1428" t="s">
        <v>1015</v>
      </c>
    </row>
    <row r="1429" spans="1:13" x14ac:dyDescent="0.15">
      <c r="A1429" t="s">
        <v>8604</v>
      </c>
      <c r="B1429" t="s">
        <v>14</v>
      </c>
      <c r="C1429" t="s">
        <v>118</v>
      </c>
      <c r="D1429" t="s">
        <v>8605</v>
      </c>
      <c r="E1429" t="s">
        <v>8606</v>
      </c>
      <c r="F1429" t="s">
        <v>8607</v>
      </c>
      <c r="G1429" t="s">
        <v>3271</v>
      </c>
      <c r="H1429" t="s">
        <v>3271</v>
      </c>
      <c r="I1429" t="s">
        <v>7083</v>
      </c>
      <c r="J1429" t="s">
        <v>124</v>
      </c>
      <c r="K1429" t="s">
        <v>2729</v>
      </c>
      <c r="L1429" t="s">
        <v>7083</v>
      </c>
      <c r="M1429" t="s">
        <v>5990</v>
      </c>
    </row>
    <row r="1430" spans="1:13" x14ac:dyDescent="0.15">
      <c r="A1430" t="s">
        <v>8608</v>
      </c>
      <c r="B1430" t="s">
        <v>14</v>
      </c>
      <c r="C1430" t="s">
        <v>118</v>
      </c>
      <c r="D1430" t="s">
        <v>8609</v>
      </c>
      <c r="E1430" t="s">
        <v>8610</v>
      </c>
      <c r="F1430" t="s">
        <v>8611</v>
      </c>
      <c r="G1430" t="s">
        <v>8612</v>
      </c>
      <c r="H1430" t="s">
        <v>8612</v>
      </c>
      <c r="I1430" t="s">
        <v>8613</v>
      </c>
      <c r="J1430" t="s">
        <v>124</v>
      </c>
      <c r="K1430" t="s">
        <v>8614</v>
      </c>
      <c r="L1430" t="s">
        <v>8613</v>
      </c>
      <c r="M1430" t="s">
        <v>3382</v>
      </c>
    </row>
    <row r="1431" spans="1:13" x14ac:dyDescent="0.15">
      <c r="A1431" t="s">
        <v>8615</v>
      </c>
      <c r="B1431" t="s">
        <v>14</v>
      </c>
      <c r="C1431" t="s">
        <v>118</v>
      </c>
      <c r="D1431" t="s">
        <v>8616</v>
      </c>
      <c r="E1431" t="s">
        <v>8617</v>
      </c>
      <c r="F1431" t="s">
        <v>8618</v>
      </c>
      <c r="G1431" t="s">
        <v>8619</v>
      </c>
      <c r="H1431" t="s">
        <v>8619</v>
      </c>
      <c r="I1431" t="s">
        <v>8620</v>
      </c>
      <c r="J1431" t="s">
        <v>246</v>
      </c>
      <c r="K1431" t="s">
        <v>2037</v>
      </c>
      <c r="L1431" t="s">
        <v>8620</v>
      </c>
      <c r="M1431" t="s">
        <v>432</v>
      </c>
    </row>
    <row r="1432" spans="1:13" x14ac:dyDescent="0.15">
      <c r="A1432" t="s">
        <v>8621</v>
      </c>
      <c r="B1432" t="s">
        <v>14</v>
      </c>
      <c r="C1432" t="s">
        <v>118</v>
      </c>
      <c r="D1432" t="s">
        <v>8622</v>
      </c>
      <c r="E1432" t="s">
        <v>8623</v>
      </c>
      <c r="F1432" t="s">
        <v>8624</v>
      </c>
      <c r="G1432" t="s">
        <v>8625</v>
      </c>
      <c r="H1432" t="s">
        <v>8625</v>
      </c>
      <c r="I1432" t="s">
        <v>8626</v>
      </c>
      <c r="J1432" t="s">
        <v>3118</v>
      </c>
      <c r="K1432" t="s">
        <v>540</v>
      </c>
      <c r="L1432" t="s">
        <v>8626</v>
      </c>
      <c r="M1432" t="s">
        <v>165</v>
      </c>
    </row>
    <row r="1433" spans="1:13" x14ac:dyDescent="0.15">
      <c r="A1433" t="s">
        <v>8627</v>
      </c>
      <c r="B1433" t="s">
        <v>14</v>
      </c>
      <c r="C1433" t="s">
        <v>118</v>
      </c>
      <c r="D1433" t="s">
        <v>8628</v>
      </c>
      <c r="E1433" t="s">
        <v>8629</v>
      </c>
      <c r="F1433" t="s">
        <v>8630</v>
      </c>
      <c r="G1433" t="s">
        <v>8631</v>
      </c>
      <c r="H1433" t="s">
        <v>8631</v>
      </c>
      <c r="I1433" t="s">
        <v>8632</v>
      </c>
      <c r="J1433" t="s">
        <v>124</v>
      </c>
      <c r="K1433" t="s">
        <v>540</v>
      </c>
      <c r="L1433" t="s">
        <v>8632</v>
      </c>
      <c r="M1433" t="s">
        <v>31</v>
      </c>
    </row>
    <row r="1434" spans="1:13" x14ac:dyDescent="0.15">
      <c r="A1434" t="s">
        <v>8633</v>
      </c>
      <c r="B1434" t="s">
        <v>14</v>
      </c>
      <c r="C1434" t="s">
        <v>118</v>
      </c>
      <c r="D1434" t="s">
        <v>8634</v>
      </c>
      <c r="E1434" t="s">
        <v>8635</v>
      </c>
      <c r="F1434" t="s">
        <v>8636</v>
      </c>
      <c r="G1434" t="s">
        <v>8637</v>
      </c>
      <c r="H1434" t="s">
        <v>8637</v>
      </c>
      <c r="I1434" t="s">
        <v>8638</v>
      </c>
      <c r="J1434" t="s">
        <v>255</v>
      </c>
      <c r="K1434" t="s">
        <v>239</v>
      </c>
      <c r="L1434" t="s">
        <v>8638</v>
      </c>
      <c r="M1434" t="s">
        <v>21</v>
      </c>
    </row>
    <row r="1435" spans="1:13" x14ac:dyDescent="0.15">
      <c r="A1435" t="s">
        <v>8639</v>
      </c>
      <c r="B1435" t="s">
        <v>14</v>
      </c>
      <c r="C1435" t="s">
        <v>23</v>
      </c>
      <c r="D1435" t="s">
        <v>3144</v>
      </c>
      <c r="E1435" t="s">
        <v>8640</v>
      </c>
      <c r="F1435" t="s">
        <v>8641</v>
      </c>
      <c r="G1435" t="s">
        <v>8642</v>
      </c>
      <c r="H1435" t="s">
        <v>8642</v>
      </c>
      <c r="I1435" t="s">
        <v>8643</v>
      </c>
      <c r="J1435" t="s">
        <v>415</v>
      </c>
      <c r="K1435" t="s">
        <v>380</v>
      </c>
      <c r="L1435" t="s">
        <v>8643</v>
      </c>
      <c r="M1435" t="s">
        <v>104</v>
      </c>
    </row>
    <row r="1436" spans="1:13" x14ac:dyDescent="0.15">
      <c r="A1436" t="s">
        <v>8644</v>
      </c>
      <c r="B1436" t="s">
        <v>14</v>
      </c>
      <c r="C1436" t="s">
        <v>23</v>
      </c>
      <c r="D1436" t="s">
        <v>3786</v>
      </c>
      <c r="E1436" t="s">
        <v>8645</v>
      </c>
      <c r="F1436" t="s">
        <v>8646</v>
      </c>
      <c r="G1436" t="s">
        <v>8647</v>
      </c>
      <c r="H1436" t="s">
        <v>8647</v>
      </c>
      <c r="I1436" t="s">
        <v>6024</v>
      </c>
      <c r="J1436" t="s">
        <v>415</v>
      </c>
      <c r="K1436" t="s">
        <v>8648</v>
      </c>
      <c r="L1436" t="s">
        <v>6024</v>
      </c>
      <c r="M1436" t="s">
        <v>104</v>
      </c>
    </row>
    <row r="1437" spans="1:13" x14ac:dyDescent="0.15">
      <c r="A1437" t="s">
        <v>8649</v>
      </c>
      <c r="B1437" t="s">
        <v>14</v>
      </c>
      <c r="C1437" t="s">
        <v>118</v>
      </c>
      <c r="D1437" t="s">
        <v>8650</v>
      </c>
      <c r="E1437" t="s">
        <v>8651</v>
      </c>
      <c r="F1437" t="s">
        <v>8652</v>
      </c>
      <c r="G1437" t="s">
        <v>8653</v>
      </c>
      <c r="H1437" t="s">
        <v>8653</v>
      </c>
      <c r="I1437" t="s">
        <v>8654</v>
      </c>
      <c r="J1437" t="s">
        <v>255</v>
      </c>
      <c r="K1437" t="s">
        <v>431</v>
      </c>
      <c r="L1437" t="s">
        <v>8654</v>
      </c>
      <c r="M1437" t="s">
        <v>183</v>
      </c>
    </row>
    <row r="1438" spans="1:13" x14ac:dyDescent="0.15">
      <c r="A1438" t="s">
        <v>8655</v>
      </c>
      <c r="B1438" t="s">
        <v>14</v>
      </c>
      <c r="C1438" t="s">
        <v>23</v>
      </c>
      <c r="D1438" t="s">
        <v>8656</v>
      </c>
      <c r="E1438" t="s">
        <v>8657</v>
      </c>
      <c r="F1438" t="s">
        <v>8658</v>
      </c>
      <c r="G1438" t="s">
        <v>8659</v>
      </c>
      <c r="H1438" t="s">
        <v>8659</v>
      </c>
      <c r="I1438" t="s">
        <v>8660</v>
      </c>
      <c r="J1438" t="s">
        <v>415</v>
      </c>
      <c r="K1438" t="s">
        <v>1030</v>
      </c>
      <c r="L1438" t="s">
        <v>8660</v>
      </c>
      <c r="M1438" t="s">
        <v>41</v>
      </c>
    </row>
    <row r="1439" spans="1:13" x14ac:dyDescent="0.15">
      <c r="A1439" t="s">
        <v>8661</v>
      </c>
      <c r="B1439" t="s">
        <v>14</v>
      </c>
      <c r="C1439" t="s">
        <v>23</v>
      </c>
      <c r="D1439" t="s">
        <v>8662</v>
      </c>
      <c r="E1439" t="s">
        <v>8663</v>
      </c>
      <c r="F1439" t="s">
        <v>8664</v>
      </c>
      <c r="G1439" t="s">
        <v>8665</v>
      </c>
      <c r="H1439" t="s">
        <v>8665</v>
      </c>
      <c r="I1439" t="s">
        <v>145</v>
      </c>
      <c r="J1439" t="s">
        <v>2181</v>
      </c>
      <c r="K1439" t="s">
        <v>5068</v>
      </c>
      <c r="L1439" t="s">
        <v>8666</v>
      </c>
      <c r="M1439" t="s">
        <v>41</v>
      </c>
    </row>
    <row r="1440" spans="1:13" x14ac:dyDescent="0.15">
      <c r="A1440" t="s">
        <v>8667</v>
      </c>
      <c r="B1440" t="s">
        <v>14</v>
      </c>
      <c r="C1440" t="s">
        <v>23</v>
      </c>
      <c r="D1440" t="s">
        <v>8668</v>
      </c>
      <c r="E1440" t="s">
        <v>8669</v>
      </c>
      <c r="F1440" t="s">
        <v>8670</v>
      </c>
      <c r="G1440" t="s">
        <v>8671</v>
      </c>
      <c r="H1440" t="s">
        <v>8671</v>
      </c>
      <c r="I1440" t="s">
        <v>648</v>
      </c>
      <c r="J1440" t="s">
        <v>1037</v>
      </c>
      <c r="K1440" t="s">
        <v>1743</v>
      </c>
      <c r="L1440" t="s">
        <v>8672</v>
      </c>
      <c r="M1440" t="s">
        <v>80</v>
      </c>
    </row>
    <row r="1441" spans="1:13" x14ac:dyDescent="0.15">
      <c r="A1441" t="s">
        <v>8673</v>
      </c>
      <c r="B1441" t="s">
        <v>14</v>
      </c>
      <c r="C1441" t="s">
        <v>23</v>
      </c>
      <c r="D1441" t="s">
        <v>8674</v>
      </c>
      <c r="E1441" t="s">
        <v>8675</v>
      </c>
      <c r="F1441" t="s">
        <v>8676</v>
      </c>
      <c r="G1441" t="s">
        <v>8677</v>
      </c>
      <c r="H1441" t="s">
        <v>8677</v>
      </c>
      <c r="I1441" t="s">
        <v>8070</v>
      </c>
      <c r="J1441" t="s">
        <v>514</v>
      </c>
      <c r="K1441" t="s">
        <v>7198</v>
      </c>
      <c r="L1441" t="s">
        <v>8070</v>
      </c>
      <c r="M1441" t="s">
        <v>104</v>
      </c>
    </row>
    <row r="1442" spans="1:13" x14ac:dyDescent="0.15">
      <c r="A1442" t="s">
        <v>8678</v>
      </c>
      <c r="B1442" t="s">
        <v>14</v>
      </c>
      <c r="C1442" t="s">
        <v>118</v>
      </c>
      <c r="D1442" t="s">
        <v>8679</v>
      </c>
      <c r="E1442" t="s">
        <v>8680</v>
      </c>
      <c r="F1442" t="s">
        <v>8681</v>
      </c>
      <c r="G1442" t="s">
        <v>8682</v>
      </c>
      <c r="H1442" t="s">
        <v>8682</v>
      </c>
      <c r="I1442" t="s">
        <v>8683</v>
      </c>
      <c r="J1442" t="s">
        <v>352</v>
      </c>
      <c r="K1442" t="s">
        <v>819</v>
      </c>
      <c r="L1442" t="s">
        <v>8683</v>
      </c>
      <c r="M1442" t="s">
        <v>3852</v>
      </c>
    </row>
    <row r="1443" spans="1:13" x14ac:dyDescent="0.15">
      <c r="A1443" t="s">
        <v>8684</v>
      </c>
      <c r="B1443" t="s">
        <v>14</v>
      </c>
      <c r="C1443" t="s">
        <v>118</v>
      </c>
      <c r="D1443" t="s">
        <v>8685</v>
      </c>
      <c r="E1443" t="s">
        <v>8686</v>
      </c>
      <c r="F1443" t="s">
        <v>8687</v>
      </c>
      <c r="G1443" t="s">
        <v>8688</v>
      </c>
      <c r="H1443" t="s">
        <v>8688</v>
      </c>
      <c r="I1443" t="s">
        <v>8689</v>
      </c>
      <c r="J1443" t="s">
        <v>352</v>
      </c>
      <c r="K1443" t="s">
        <v>271</v>
      </c>
      <c r="L1443" t="s">
        <v>8689</v>
      </c>
      <c r="M1443" t="s">
        <v>3944</v>
      </c>
    </row>
    <row r="1444" spans="1:13" x14ac:dyDescent="0.15">
      <c r="A1444" t="s">
        <v>8690</v>
      </c>
      <c r="B1444" t="s">
        <v>14</v>
      </c>
      <c r="C1444" t="s">
        <v>118</v>
      </c>
      <c r="D1444" t="s">
        <v>8691</v>
      </c>
      <c r="E1444" t="s">
        <v>8692</v>
      </c>
      <c r="F1444" t="s">
        <v>8693</v>
      </c>
      <c r="G1444" t="s">
        <v>8694</v>
      </c>
      <c r="H1444" t="s">
        <v>8694</v>
      </c>
      <c r="I1444" t="s">
        <v>8695</v>
      </c>
      <c r="J1444" t="s">
        <v>352</v>
      </c>
      <c r="K1444" t="s">
        <v>173</v>
      </c>
      <c r="L1444" t="s">
        <v>8695</v>
      </c>
      <c r="M1444" t="s">
        <v>3852</v>
      </c>
    </row>
    <row r="1445" spans="1:13" x14ac:dyDescent="0.15">
      <c r="A1445" t="s">
        <v>8696</v>
      </c>
      <c r="B1445" t="s">
        <v>14</v>
      </c>
      <c r="C1445" t="s">
        <v>118</v>
      </c>
      <c r="D1445" t="s">
        <v>8697</v>
      </c>
      <c r="E1445" t="s">
        <v>8698</v>
      </c>
      <c r="F1445" t="s">
        <v>8699</v>
      </c>
      <c r="G1445" t="s">
        <v>8700</v>
      </c>
      <c r="H1445" t="s">
        <v>8700</v>
      </c>
      <c r="I1445" t="s">
        <v>8701</v>
      </c>
      <c r="J1445" t="s">
        <v>352</v>
      </c>
      <c r="K1445" t="s">
        <v>1582</v>
      </c>
      <c r="L1445" t="s">
        <v>8701</v>
      </c>
      <c r="M1445" t="s">
        <v>3944</v>
      </c>
    </row>
    <row r="1446" spans="1:13" x14ac:dyDescent="0.15">
      <c r="A1446" t="s">
        <v>8702</v>
      </c>
      <c r="B1446" t="s">
        <v>14</v>
      </c>
      <c r="C1446" t="s">
        <v>118</v>
      </c>
      <c r="D1446" t="s">
        <v>8703</v>
      </c>
      <c r="E1446" t="s">
        <v>8704</v>
      </c>
      <c r="F1446" t="s">
        <v>8705</v>
      </c>
      <c r="G1446" t="s">
        <v>8706</v>
      </c>
      <c r="H1446" t="s">
        <v>8706</v>
      </c>
      <c r="I1446" t="s">
        <v>8707</v>
      </c>
      <c r="J1446" t="s">
        <v>352</v>
      </c>
      <c r="K1446" t="s">
        <v>231</v>
      </c>
      <c r="L1446" t="s">
        <v>8707</v>
      </c>
      <c r="M1446" t="s">
        <v>1972</v>
      </c>
    </row>
    <row r="1447" spans="1:13" x14ac:dyDescent="0.15">
      <c r="A1447" t="s">
        <v>8708</v>
      </c>
      <c r="B1447" t="s">
        <v>14</v>
      </c>
      <c r="C1447" t="s">
        <v>118</v>
      </c>
      <c r="D1447" t="s">
        <v>3847</v>
      </c>
      <c r="E1447" t="s">
        <v>8709</v>
      </c>
      <c r="F1447" t="s">
        <v>145</v>
      </c>
      <c r="G1447" t="s">
        <v>145</v>
      </c>
      <c r="H1447" t="s">
        <v>145</v>
      </c>
      <c r="I1447" t="s">
        <v>145</v>
      </c>
      <c r="J1447" t="s">
        <v>521</v>
      </c>
      <c r="M1447" t="s">
        <v>3944</v>
      </c>
    </row>
    <row r="1448" spans="1:13" x14ac:dyDescent="0.15">
      <c r="A1448" t="s">
        <v>8710</v>
      </c>
      <c r="B1448" t="s">
        <v>14</v>
      </c>
      <c r="C1448" t="s">
        <v>118</v>
      </c>
      <c r="D1448" t="s">
        <v>8711</v>
      </c>
      <c r="E1448" t="s">
        <v>8712</v>
      </c>
      <c r="F1448" t="s">
        <v>8713</v>
      </c>
      <c r="G1448" t="s">
        <v>8714</v>
      </c>
      <c r="H1448" t="s">
        <v>8714</v>
      </c>
      <c r="I1448" t="s">
        <v>8715</v>
      </c>
      <c r="J1448" t="s">
        <v>352</v>
      </c>
      <c r="K1448" t="s">
        <v>263</v>
      </c>
      <c r="L1448" t="s">
        <v>8715</v>
      </c>
      <c r="M1448" t="s">
        <v>3852</v>
      </c>
    </row>
    <row r="1449" spans="1:13" x14ac:dyDescent="0.15">
      <c r="A1449" t="s">
        <v>8716</v>
      </c>
      <c r="B1449" t="s">
        <v>14</v>
      </c>
      <c r="C1449" t="s">
        <v>118</v>
      </c>
      <c r="D1449" t="s">
        <v>8717</v>
      </c>
      <c r="E1449" t="s">
        <v>8718</v>
      </c>
      <c r="F1449" t="s">
        <v>145</v>
      </c>
      <c r="G1449" t="s">
        <v>145</v>
      </c>
      <c r="H1449" t="s">
        <v>145</v>
      </c>
      <c r="I1449" t="s">
        <v>145</v>
      </c>
      <c r="J1449" t="s">
        <v>521</v>
      </c>
      <c r="M1449" t="s">
        <v>432</v>
      </c>
    </row>
    <row r="1450" spans="1:13" x14ac:dyDescent="0.15">
      <c r="A1450" t="s">
        <v>8719</v>
      </c>
      <c r="B1450" t="s">
        <v>14</v>
      </c>
      <c r="C1450" t="s">
        <v>118</v>
      </c>
      <c r="D1450" t="s">
        <v>8720</v>
      </c>
      <c r="E1450" t="s">
        <v>8721</v>
      </c>
      <c r="F1450" t="s">
        <v>8722</v>
      </c>
      <c r="G1450" t="s">
        <v>8723</v>
      </c>
      <c r="H1450" t="s">
        <v>8723</v>
      </c>
      <c r="I1450" t="s">
        <v>8724</v>
      </c>
      <c r="J1450" t="s">
        <v>352</v>
      </c>
      <c r="K1450" t="s">
        <v>263</v>
      </c>
      <c r="L1450" t="s">
        <v>8724</v>
      </c>
      <c r="M1450" t="s">
        <v>482</v>
      </c>
    </row>
    <row r="1451" spans="1:13" x14ac:dyDescent="0.15">
      <c r="A1451" t="s">
        <v>8725</v>
      </c>
      <c r="B1451" t="s">
        <v>14</v>
      </c>
      <c r="C1451" t="s">
        <v>118</v>
      </c>
      <c r="D1451" t="s">
        <v>8726</v>
      </c>
      <c r="E1451" t="s">
        <v>8727</v>
      </c>
      <c r="F1451" t="s">
        <v>8728</v>
      </c>
      <c r="G1451" t="s">
        <v>6214</v>
      </c>
      <c r="H1451" t="s">
        <v>6214</v>
      </c>
      <c r="I1451" t="s">
        <v>8729</v>
      </c>
      <c r="J1451" t="s">
        <v>1945</v>
      </c>
      <c r="K1451" t="s">
        <v>231</v>
      </c>
      <c r="L1451" t="s">
        <v>8729</v>
      </c>
      <c r="M1451" t="s">
        <v>1015</v>
      </c>
    </row>
    <row r="1452" spans="1:13" x14ac:dyDescent="0.15">
      <c r="A1452" t="s">
        <v>8730</v>
      </c>
      <c r="B1452" t="s">
        <v>14</v>
      </c>
      <c r="C1452" t="s">
        <v>118</v>
      </c>
      <c r="D1452" t="s">
        <v>8731</v>
      </c>
      <c r="E1452" t="s">
        <v>8732</v>
      </c>
      <c r="F1452" t="s">
        <v>8733</v>
      </c>
      <c r="G1452" t="s">
        <v>8734</v>
      </c>
      <c r="H1452" t="s">
        <v>8734</v>
      </c>
      <c r="I1452" t="s">
        <v>8735</v>
      </c>
      <c r="J1452" t="s">
        <v>352</v>
      </c>
      <c r="K1452" t="s">
        <v>271</v>
      </c>
      <c r="L1452" t="s">
        <v>8735</v>
      </c>
      <c r="M1452" t="s">
        <v>31</v>
      </c>
    </row>
    <row r="1453" spans="1:13" x14ac:dyDescent="0.15">
      <c r="A1453" t="s">
        <v>8736</v>
      </c>
      <c r="B1453" t="s">
        <v>14</v>
      </c>
      <c r="C1453" t="s">
        <v>118</v>
      </c>
      <c r="D1453" t="s">
        <v>8737</v>
      </c>
      <c r="E1453" t="s">
        <v>8738</v>
      </c>
      <c r="F1453" t="s">
        <v>8739</v>
      </c>
      <c r="G1453" t="s">
        <v>8740</v>
      </c>
      <c r="H1453" t="s">
        <v>8740</v>
      </c>
      <c r="I1453" t="s">
        <v>8741</v>
      </c>
      <c r="J1453" t="s">
        <v>1945</v>
      </c>
      <c r="K1453" t="s">
        <v>256</v>
      </c>
      <c r="L1453" t="s">
        <v>8741</v>
      </c>
      <c r="M1453" t="s">
        <v>174</v>
      </c>
    </row>
    <row r="1454" spans="1:13" x14ac:dyDescent="0.15">
      <c r="A1454" t="s">
        <v>8742</v>
      </c>
      <c r="B1454" t="s">
        <v>14</v>
      </c>
      <c r="C1454" t="s">
        <v>118</v>
      </c>
      <c r="D1454" t="s">
        <v>8743</v>
      </c>
      <c r="E1454" t="s">
        <v>8744</v>
      </c>
      <c r="F1454" t="s">
        <v>8745</v>
      </c>
      <c r="G1454" t="s">
        <v>8746</v>
      </c>
      <c r="H1454" t="s">
        <v>8746</v>
      </c>
      <c r="I1454" t="s">
        <v>8747</v>
      </c>
      <c r="J1454" t="s">
        <v>352</v>
      </c>
      <c r="K1454" t="s">
        <v>540</v>
      </c>
      <c r="L1454" t="s">
        <v>8747</v>
      </c>
      <c r="M1454" t="s">
        <v>31</v>
      </c>
    </row>
    <row r="1455" spans="1:13" x14ac:dyDescent="0.15">
      <c r="A1455" t="s">
        <v>8748</v>
      </c>
      <c r="B1455" t="s">
        <v>14</v>
      </c>
      <c r="C1455" t="s">
        <v>118</v>
      </c>
      <c r="D1455" t="s">
        <v>8749</v>
      </c>
      <c r="E1455" t="s">
        <v>8750</v>
      </c>
      <c r="F1455" t="s">
        <v>8751</v>
      </c>
      <c r="G1455" t="s">
        <v>8752</v>
      </c>
      <c r="H1455" t="s">
        <v>8752</v>
      </c>
      <c r="I1455" t="s">
        <v>8753</v>
      </c>
      <c r="J1455" t="s">
        <v>255</v>
      </c>
      <c r="K1455" t="s">
        <v>811</v>
      </c>
      <c r="L1455" t="s">
        <v>8754</v>
      </c>
      <c r="M1455" t="s">
        <v>353</v>
      </c>
    </row>
    <row r="1456" spans="1:13" x14ac:dyDescent="0.15">
      <c r="A1456" t="s">
        <v>8755</v>
      </c>
      <c r="B1456" t="s">
        <v>14</v>
      </c>
      <c r="C1456" t="s">
        <v>118</v>
      </c>
      <c r="D1456" t="s">
        <v>8756</v>
      </c>
      <c r="E1456" t="s">
        <v>8757</v>
      </c>
      <c r="F1456" t="s">
        <v>8758</v>
      </c>
      <c r="G1456" t="s">
        <v>8759</v>
      </c>
      <c r="H1456" t="s">
        <v>8759</v>
      </c>
      <c r="I1456" t="s">
        <v>8760</v>
      </c>
      <c r="J1456" t="s">
        <v>255</v>
      </c>
      <c r="K1456" t="s">
        <v>256</v>
      </c>
      <c r="L1456" t="s">
        <v>8760</v>
      </c>
      <c r="M1456" t="s">
        <v>248</v>
      </c>
    </row>
    <row r="1457" spans="1:13" x14ac:dyDescent="0.15">
      <c r="A1457" t="s">
        <v>8761</v>
      </c>
      <c r="B1457" t="s">
        <v>14</v>
      </c>
      <c r="C1457" t="s">
        <v>118</v>
      </c>
      <c r="D1457" t="s">
        <v>8762</v>
      </c>
      <c r="E1457" t="s">
        <v>8763</v>
      </c>
      <c r="F1457" t="s">
        <v>8764</v>
      </c>
      <c r="G1457" t="s">
        <v>8765</v>
      </c>
      <c r="H1457" t="s">
        <v>8765</v>
      </c>
      <c r="I1457" t="s">
        <v>8766</v>
      </c>
      <c r="J1457" t="s">
        <v>1194</v>
      </c>
      <c r="K1457" t="s">
        <v>239</v>
      </c>
      <c r="L1457" t="s">
        <v>8766</v>
      </c>
      <c r="M1457" t="s">
        <v>80</v>
      </c>
    </row>
    <row r="1458" spans="1:13" x14ac:dyDescent="0.15">
      <c r="A1458" t="s">
        <v>8767</v>
      </c>
      <c r="B1458" t="s">
        <v>14</v>
      </c>
      <c r="C1458" t="s">
        <v>118</v>
      </c>
      <c r="D1458" t="s">
        <v>8768</v>
      </c>
      <c r="E1458" t="s">
        <v>8769</v>
      </c>
      <c r="F1458" t="s">
        <v>8770</v>
      </c>
      <c r="G1458" t="s">
        <v>8771</v>
      </c>
      <c r="H1458" t="s">
        <v>8771</v>
      </c>
      <c r="I1458" t="s">
        <v>8772</v>
      </c>
      <c r="J1458" t="s">
        <v>255</v>
      </c>
      <c r="K1458" t="s">
        <v>256</v>
      </c>
      <c r="L1458" t="s">
        <v>8772</v>
      </c>
      <c r="M1458" t="s">
        <v>165</v>
      </c>
    </row>
    <row r="1459" spans="1:13" x14ac:dyDescent="0.15">
      <c r="A1459" t="s">
        <v>8773</v>
      </c>
      <c r="B1459" t="s">
        <v>14</v>
      </c>
      <c r="C1459" t="s">
        <v>23</v>
      </c>
      <c r="D1459" t="s">
        <v>8774</v>
      </c>
      <c r="E1459" t="s">
        <v>8775</v>
      </c>
      <c r="F1459" t="s">
        <v>8776</v>
      </c>
      <c r="G1459" t="s">
        <v>8777</v>
      </c>
      <c r="H1459" t="s">
        <v>8777</v>
      </c>
      <c r="I1459" t="s">
        <v>8778</v>
      </c>
      <c r="J1459" t="s">
        <v>138</v>
      </c>
      <c r="K1459" t="s">
        <v>380</v>
      </c>
      <c r="L1459" t="s">
        <v>8778</v>
      </c>
      <c r="M1459" t="s">
        <v>248</v>
      </c>
    </row>
    <row r="1460" spans="1:13" x14ac:dyDescent="0.15">
      <c r="A1460" t="s">
        <v>8779</v>
      </c>
      <c r="B1460" t="s">
        <v>14</v>
      </c>
      <c r="C1460" t="s">
        <v>23</v>
      </c>
      <c r="D1460" t="s">
        <v>8780</v>
      </c>
      <c r="E1460" t="s">
        <v>8781</v>
      </c>
      <c r="F1460" t="s">
        <v>8782</v>
      </c>
      <c r="G1460" t="s">
        <v>8783</v>
      </c>
      <c r="H1460" t="s">
        <v>8783</v>
      </c>
      <c r="I1460" t="s">
        <v>144</v>
      </c>
      <c r="J1460" t="s">
        <v>138</v>
      </c>
      <c r="K1460" t="s">
        <v>8784</v>
      </c>
      <c r="L1460" t="s">
        <v>1144</v>
      </c>
      <c r="M1460" t="s">
        <v>216</v>
      </c>
    </row>
    <row r="1461" spans="1:13" x14ac:dyDescent="0.15">
      <c r="A1461" t="s">
        <v>8785</v>
      </c>
      <c r="B1461" t="s">
        <v>14</v>
      </c>
      <c r="C1461" t="s">
        <v>118</v>
      </c>
      <c r="D1461" t="s">
        <v>8786</v>
      </c>
      <c r="E1461" t="s">
        <v>8787</v>
      </c>
      <c r="F1461" t="s">
        <v>8788</v>
      </c>
      <c r="G1461" t="s">
        <v>8789</v>
      </c>
      <c r="H1461" t="s">
        <v>8789</v>
      </c>
      <c r="I1461" t="s">
        <v>8790</v>
      </c>
      <c r="J1461" t="s">
        <v>255</v>
      </c>
      <c r="K1461" t="s">
        <v>540</v>
      </c>
      <c r="L1461" t="s">
        <v>8791</v>
      </c>
      <c r="M1461" t="s">
        <v>432</v>
      </c>
    </row>
    <row r="1462" spans="1:13" x14ac:dyDescent="0.15">
      <c r="A1462" t="s">
        <v>8792</v>
      </c>
      <c r="B1462" t="s">
        <v>14</v>
      </c>
      <c r="C1462" t="s">
        <v>23</v>
      </c>
      <c r="D1462" t="s">
        <v>8793</v>
      </c>
      <c r="E1462" t="s">
        <v>8794</v>
      </c>
      <c r="F1462" t="s">
        <v>8795</v>
      </c>
      <c r="G1462" t="s">
        <v>8796</v>
      </c>
      <c r="H1462" t="s">
        <v>8796</v>
      </c>
      <c r="I1462" t="s">
        <v>8797</v>
      </c>
      <c r="J1462" t="s">
        <v>230</v>
      </c>
      <c r="K1462" t="s">
        <v>2499</v>
      </c>
      <c r="L1462" t="s">
        <v>8798</v>
      </c>
      <c r="M1462" t="s">
        <v>41</v>
      </c>
    </row>
    <row r="1463" spans="1:13" x14ac:dyDescent="0.15">
      <c r="A1463" t="s">
        <v>8799</v>
      </c>
      <c r="B1463" t="s">
        <v>14</v>
      </c>
      <c r="C1463" t="s">
        <v>118</v>
      </c>
      <c r="D1463" t="s">
        <v>8800</v>
      </c>
      <c r="E1463" t="s">
        <v>8801</v>
      </c>
      <c r="F1463" t="s">
        <v>8802</v>
      </c>
      <c r="G1463" t="s">
        <v>8803</v>
      </c>
      <c r="H1463" t="s">
        <v>8803</v>
      </c>
      <c r="I1463" t="s">
        <v>2656</v>
      </c>
      <c r="J1463" t="s">
        <v>230</v>
      </c>
      <c r="K1463" t="s">
        <v>2030</v>
      </c>
      <c r="L1463" t="s">
        <v>2656</v>
      </c>
      <c r="M1463" t="s">
        <v>183</v>
      </c>
    </row>
    <row r="1464" spans="1:13" x14ac:dyDescent="0.15">
      <c r="A1464" t="s">
        <v>8804</v>
      </c>
      <c r="B1464" t="s">
        <v>14</v>
      </c>
      <c r="C1464" t="s">
        <v>23</v>
      </c>
      <c r="D1464" t="s">
        <v>8805</v>
      </c>
      <c r="E1464" t="s">
        <v>8806</v>
      </c>
      <c r="F1464" t="s">
        <v>8807</v>
      </c>
      <c r="G1464" t="s">
        <v>3558</v>
      </c>
      <c r="H1464" t="s">
        <v>3558</v>
      </c>
      <c r="I1464" t="s">
        <v>8808</v>
      </c>
      <c r="J1464" t="s">
        <v>38</v>
      </c>
      <c r="K1464" t="s">
        <v>72</v>
      </c>
      <c r="L1464" t="s">
        <v>504</v>
      </c>
      <c r="M1464" t="s">
        <v>104</v>
      </c>
    </row>
    <row r="1465" spans="1:13" x14ac:dyDescent="0.15">
      <c r="A1465" t="s">
        <v>8809</v>
      </c>
      <c r="B1465" t="s">
        <v>14</v>
      </c>
      <c r="C1465" t="s">
        <v>23</v>
      </c>
      <c r="D1465" t="s">
        <v>8810</v>
      </c>
      <c r="E1465" t="s">
        <v>8811</v>
      </c>
      <c r="F1465" t="s">
        <v>8812</v>
      </c>
      <c r="G1465" t="s">
        <v>8813</v>
      </c>
      <c r="H1465" t="s">
        <v>8813</v>
      </c>
      <c r="I1465" t="s">
        <v>2559</v>
      </c>
      <c r="J1465" t="s">
        <v>38</v>
      </c>
      <c r="K1465" t="s">
        <v>72</v>
      </c>
      <c r="L1465" t="s">
        <v>8814</v>
      </c>
      <c r="M1465" t="s">
        <v>216</v>
      </c>
    </row>
    <row r="1466" spans="1:13" x14ac:dyDescent="0.15">
      <c r="A1466" t="s">
        <v>8815</v>
      </c>
      <c r="B1466" t="s">
        <v>14</v>
      </c>
      <c r="C1466" t="s">
        <v>23</v>
      </c>
      <c r="D1466" t="s">
        <v>8816</v>
      </c>
      <c r="E1466" t="s">
        <v>8817</v>
      </c>
      <c r="F1466" t="s">
        <v>8818</v>
      </c>
      <c r="G1466" t="s">
        <v>8819</v>
      </c>
      <c r="H1466" t="s">
        <v>8819</v>
      </c>
      <c r="I1466" t="s">
        <v>8820</v>
      </c>
      <c r="J1466" t="s">
        <v>124</v>
      </c>
      <c r="K1466" t="s">
        <v>1208</v>
      </c>
      <c r="L1466" t="s">
        <v>5539</v>
      </c>
      <c r="M1466" t="s">
        <v>41</v>
      </c>
    </row>
    <row r="1467" spans="1:13" x14ac:dyDescent="0.15">
      <c r="A1467" t="s">
        <v>8821</v>
      </c>
      <c r="B1467" t="s">
        <v>14</v>
      </c>
      <c r="C1467" t="s">
        <v>23</v>
      </c>
      <c r="D1467" t="s">
        <v>8822</v>
      </c>
      <c r="E1467" t="s">
        <v>8823</v>
      </c>
      <c r="F1467" t="s">
        <v>8824</v>
      </c>
      <c r="G1467" t="s">
        <v>8825</v>
      </c>
      <c r="H1467" t="s">
        <v>8825</v>
      </c>
      <c r="I1467" t="s">
        <v>2617</v>
      </c>
      <c r="J1467" t="s">
        <v>124</v>
      </c>
      <c r="K1467" t="s">
        <v>1022</v>
      </c>
      <c r="L1467" t="s">
        <v>2462</v>
      </c>
      <c r="M1467" t="s">
        <v>41</v>
      </c>
    </row>
    <row r="1468" spans="1:13" x14ac:dyDescent="0.15">
      <c r="A1468" t="s">
        <v>8826</v>
      </c>
      <c r="B1468" t="s">
        <v>14</v>
      </c>
      <c r="C1468" t="s">
        <v>118</v>
      </c>
      <c r="D1468" t="s">
        <v>8827</v>
      </c>
      <c r="E1468" t="s">
        <v>8828</v>
      </c>
      <c r="F1468" t="s">
        <v>8829</v>
      </c>
      <c r="G1468" t="s">
        <v>8830</v>
      </c>
      <c r="H1468" t="s">
        <v>8830</v>
      </c>
      <c r="I1468" t="s">
        <v>7430</v>
      </c>
      <c r="J1468" t="s">
        <v>246</v>
      </c>
      <c r="K1468" t="s">
        <v>2217</v>
      </c>
      <c r="L1468" t="s">
        <v>7430</v>
      </c>
      <c r="M1468" t="s">
        <v>432</v>
      </c>
    </row>
    <row r="1469" spans="1:13" x14ac:dyDescent="0.15">
      <c r="A1469" t="s">
        <v>8831</v>
      </c>
      <c r="B1469" t="s">
        <v>14</v>
      </c>
      <c r="C1469" t="s">
        <v>118</v>
      </c>
      <c r="D1469" t="s">
        <v>8832</v>
      </c>
      <c r="E1469" t="s">
        <v>8833</v>
      </c>
      <c r="F1469" t="s">
        <v>8834</v>
      </c>
      <c r="G1469" t="s">
        <v>8835</v>
      </c>
      <c r="H1469" t="s">
        <v>8835</v>
      </c>
      <c r="I1469" t="s">
        <v>8836</v>
      </c>
      <c r="J1469" t="s">
        <v>8837</v>
      </c>
      <c r="K1469" t="s">
        <v>1262</v>
      </c>
      <c r="L1469" t="s">
        <v>8836</v>
      </c>
      <c r="M1469" t="s">
        <v>1015</v>
      </c>
    </row>
    <row r="1470" spans="1:13" x14ac:dyDescent="0.15">
      <c r="A1470" t="s">
        <v>8838</v>
      </c>
      <c r="B1470" t="s">
        <v>14</v>
      </c>
      <c r="C1470" t="s">
        <v>118</v>
      </c>
      <c r="D1470" t="s">
        <v>8839</v>
      </c>
      <c r="E1470" t="s">
        <v>8840</v>
      </c>
      <c r="F1470" t="s">
        <v>8841</v>
      </c>
      <c r="G1470" t="s">
        <v>8842</v>
      </c>
      <c r="H1470" t="s">
        <v>8842</v>
      </c>
      <c r="I1470" t="s">
        <v>8058</v>
      </c>
      <c r="J1470" t="s">
        <v>214</v>
      </c>
      <c r="K1470" t="s">
        <v>173</v>
      </c>
      <c r="L1470" t="s">
        <v>8058</v>
      </c>
      <c r="M1470" t="s">
        <v>126</v>
      </c>
    </row>
    <row r="1471" spans="1:13" x14ac:dyDescent="0.15">
      <c r="A1471" t="s">
        <v>8843</v>
      </c>
      <c r="B1471" t="s">
        <v>14</v>
      </c>
      <c r="C1471" t="s">
        <v>118</v>
      </c>
      <c r="D1471" t="s">
        <v>8844</v>
      </c>
      <c r="E1471" t="s">
        <v>8845</v>
      </c>
      <c r="F1471" t="s">
        <v>8846</v>
      </c>
      <c r="G1471" t="s">
        <v>8847</v>
      </c>
      <c r="H1471" t="s">
        <v>8847</v>
      </c>
      <c r="I1471" t="s">
        <v>8848</v>
      </c>
      <c r="J1471" t="s">
        <v>514</v>
      </c>
      <c r="K1471" t="s">
        <v>1718</v>
      </c>
      <c r="L1471" t="s">
        <v>8848</v>
      </c>
      <c r="M1471" t="s">
        <v>80</v>
      </c>
    </row>
    <row r="1472" spans="1:13" x14ac:dyDescent="0.15">
      <c r="A1472" t="s">
        <v>8849</v>
      </c>
      <c r="B1472" t="s">
        <v>14</v>
      </c>
      <c r="C1472" t="s">
        <v>118</v>
      </c>
      <c r="D1472" t="s">
        <v>8850</v>
      </c>
      <c r="E1472" t="s">
        <v>8851</v>
      </c>
      <c r="F1472" t="s">
        <v>8852</v>
      </c>
      <c r="G1472" t="s">
        <v>8853</v>
      </c>
      <c r="H1472" t="s">
        <v>8853</v>
      </c>
      <c r="I1472" t="s">
        <v>8854</v>
      </c>
      <c r="J1472" t="s">
        <v>3118</v>
      </c>
      <c r="K1472" t="s">
        <v>832</v>
      </c>
      <c r="L1472" t="s">
        <v>8854</v>
      </c>
      <c r="M1472" t="s">
        <v>139</v>
      </c>
    </row>
    <row r="1473" spans="1:13" x14ac:dyDescent="0.15">
      <c r="A1473" t="s">
        <v>8855</v>
      </c>
      <c r="B1473" t="s">
        <v>14</v>
      </c>
      <c r="C1473" t="s">
        <v>23</v>
      </c>
      <c r="D1473" t="s">
        <v>8856</v>
      </c>
      <c r="E1473" t="s">
        <v>8857</v>
      </c>
      <c r="F1473" t="s">
        <v>8858</v>
      </c>
      <c r="G1473" t="s">
        <v>8859</v>
      </c>
      <c r="H1473" t="s">
        <v>8859</v>
      </c>
      <c r="I1473" t="s">
        <v>8860</v>
      </c>
      <c r="J1473" t="s">
        <v>206</v>
      </c>
      <c r="K1473" t="s">
        <v>231</v>
      </c>
      <c r="L1473" t="s">
        <v>3700</v>
      </c>
      <c r="M1473" t="s">
        <v>104</v>
      </c>
    </row>
    <row r="1474" spans="1:13" x14ac:dyDescent="0.15">
      <c r="A1474" t="s">
        <v>8861</v>
      </c>
      <c r="B1474" t="s">
        <v>14</v>
      </c>
      <c r="C1474" t="s">
        <v>23</v>
      </c>
      <c r="D1474" t="s">
        <v>8862</v>
      </c>
      <c r="E1474" t="s">
        <v>8863</v>
      </c>
      <c r="F1474" t="s">
        <v>8864</v>
      </c>
      <c r="G1474" t="s">
        <v>8865</v>
      </c>
      <c r="H1474" t="s">
        <v>8865</v>
      </c>
      <c r="I1474" t="s">
        <v>8866</v>
      </c>
      <c r="J1474" t="s">
        <v>521</v>
      </c>
      <c r="K1474" t="s">
        <v>832</v>
      </c>
      <c r="L1474" t="s">
        <v>8866</v>
      </c>
      <c r="M1474" t="s">
        <v>104</v>
      </c>
    </row>
    <row r="1475" spans="1:13" x14ac:dyDescent="0.15">
      <c r="A1475" t="s">
        <v>8867</v>
      </c>
      <c r="B1475" t="s">
        <v>14</v>
      </c>
      <c r="C1475" t="s">
        <v>118</v>
      </c>
      <c r="D1475" t="s">
        <v>8868</v>
      </c>
      <c r="E1475" t="s">
        <v>8869</v>
      </c>
      <c r="F1475" t="s">
        <v>8870</v>
      </c>
      <c r="H1475" t="s">
        <v>8871</v>
      </c>
      <c r="I1475" t="s">
        <v>8872</v>
      </c>
      <c r="J1475" t="s">
        <v>270</v>
      </c>
      <c r="K1475" t="s">
        <v>271</v>
      </c>
      <c r="L1475" t="s">
        <v>8872</v>
      </c>
      <c r="M1475" t="s">
        <v>41</v>
      </c>
    </row>
    <row r="1476" spans="1:13" x14ac:dyDescent="0.15">
      <c r="A1476" t="s">
        <v>8873</v>
      </c>
      <c r="B1476" t="s">
        <v>14</v>
      </c>
      <c r="C1476" t="s">
        <v>118</v>
      </c>
      <c r="D1476" t="s">
        <v>2933</v>
      </c>
      <c r="E1476" t="s">
        <v>8874</v>
      </c>
      <c r="F1476" t="s">
        <v>8875</v>
      </c>
      <c r="G1476" t="s">
        <v>8876</v>
      </c>
      <c r="H1476" t="s">
        <v>8876</v>
      </c>
      <c r="I1476" t="s">
        <v>8877</v>
      </c>
      <c r="J1476" t="s">
        <v>206</v>
      </c>
      <c r="K1476" t="s">
        <v>731</v>
      </c>
      <c r="L1476" t="s">
        <v>8877</v>
      </c>
      <c r="M1476" t="s">
        <v>3396</v>
      </c>
    </row>
    <row r="1477" spans="1:13" x14ac:dyDescent="0.15">
      <c r="A1477" t="s">
        <v>8878</v>
      </c>
      <c r="B1477" t="s">
        <v>14</v>
      </c>
      <c r="C1477" t="s">
        <v>118</v>
      </c>
      <c r="D1477" t="s">
        <v>2952</v>
      </c>
      <c r="E1477" t="s">
        <v>8879</v>
      </c>
      <c r="F1477" t="s">
        <v>8880</v>
      </c>
      <c r="G1477" t="s">
        <v>8881</v>
      </c>
      <c r="H1477" t="s">
        <v>8881</v>
      </c>
      <c r="I1477" t="s">
        <v>8882</v>
      </c>
      <c r="J1477" t="s">
        <v>206</v>
      </c>
      <c r="K1477" t="s">
        <v>601</v>
      </c>
      <c r="L1477" t="s">
        <v>8882</v>
      </c>
      <c r="M1477" t="s">
        <v>3389</v>
      </c>
    </row>
    <row r="1478" spans="1:13" x14ac:dyDescent="0.15">
      <c r="A1478" t="s">
        <v>8883</v>
      </c>
      <c r="B1478" t="s">
        <v>14</v>
      </c>
      <c r="C1478" t="s">
        <v>118</v>
      </c>
      <c r="D1478" t="s">
        <v>8884</v>
      </c>
      <c r="E1478" t="s">
        <v>8885</v>
      </c>
      <c r="F1478" t="s">
        <v>8886</v>
      </c>
      <c r="G1478" t="s">
        <v>8887</v>
      </c>
      <c r="H1478" t="s">
        <v>8887</v>
      </c>
      <c r="I1478" t="s">
        <v>8052</v>
      </c>
      <c r="J1478" t="s">
        <v>138</v>
      </c>
      <c r="K1478" t="s">
        <v>832</v>
      </c>
      <c r="L1478" t="s">
        <v>8052</v>
      </c>
      <c r="M1478" t="s">
        <v>4293</v>
      </c>
    </row>
    <row r="1479" spans="1:13" x14ac:dyDescent="0.15">
      <c r="A1479" t="s">
        <v>8888</v>
      </c>
      <c r="B1479" t="s">
        <v>14</v>
      </c>
      <c r="C1479" t="s">
        <v>118</v>
      </c>
      <c r="D1479" t="s">
        <v>8889</v>
      </c>
      <c r="E1479" t="s">
        <v>8890</v>
      </c>
      <c r="F1479" t="s">
        <v>8891</v>
      </c>
      <c r="G1479" t="s">
        <v>8892</v>
      </c>
      <c r="H1479" t="s">
        <v>8892</v>
      </c>
      <c r="I1479" t="s">
        <v>2467</v>
      </c>
      <c r="J1479" t="s">
        <v>246</v>
      </c>
      <c r="K1479" t="s">
        <v>1437</v>
      </c>
      <c r="L1479" t="s">
        <v>2467</v>
      </c>
      <c r="M1479" t="s">
        <v>1725</v>
      </c>
    </row>
    <row r="1480" spans="1:13" x14ac:dyDescent="0.15">
      <c r="A1480" t="s">
        <v>8893</v>
      </c>
      <c r="B1480" t="s">
        <v>14</v>
      </c>
      <c r="C1480" t="s">
        <v>23</v>
      </c>
      <c r="D1480" t="s">
        <v>8894</v>
      </c>
      <c r="E1480" t="s">
        <v>8895</v>
      </c>
      <c r="F1480" t="s">
        <v>8896</v>
      </c>
      <c r="G1480" t="s">
        <v>8897</v>
      </c>
      <c r="H1480" t="s">
        <v>8897</v>
      </c>
      <c r="I1480" t="s">
        <v>8898</v>
      </c>
      <c r="J1480" t="s">
        <v>297</v>
      </c>
      <c r="K1480" t="s">
        <v>3258</v>
      </c>
      <c r="L1480" t="s">
        <v>8898</v>
      </c>
      <c r="M1480" t="s">
        <v>104</v>
      </c>
    </row>
    <row r="1481" spans="1:13" x14ac:dyDescent="0.15">
      <c r="A1481" t="s">
        <v>8899</v>
      </c>
      <c r="B1481" t="s">
        <v>14</v>
      </c>
      <c r="C1481" t="s">
        <v>118</v>
      </c>
      <c r="D1481" t="s">
        <v>8900</v>
      </c>
      <c r="E1481" t="s">
        <v>8901</v>
      </c>
      <c r="F1481" t="s">
        <v>8902</v>
      </c>
      <c r="G1481" t="s">
        <v>8903</v>
      </c>
      <c r="H1481" t="s">
        <v>8903</v>
      </c>
      <c r="I1481" t="s">
        <v>8904</v>
      </c>
      <c r="J1481" t="s">
        <v>297</v>
      </c>
      <c r="K1481" t="s">
        <v>1236</v>
      </c>
      <c r="L1481" t="s">
        <v>8904</v>
      </c>
      <c r="M1481" t="s">
        <v>432</v>
      </c>
    </row>
    <row r="1482" spans="1:13" x14ac:dyDescent="0.15">
      <c r="A1482" t="s">
        <v>8905</v>
      </c>
      <c r="B1482" t="s">
        <v>14</v>
      </c>
      <c r="C1482" t="s">
        <v>118</v>
      </c>
      <c r="D1482" t="s">
        <v>8906</v>
      </c>
      <c r="E1482" t="s">
        <v>8907</v>
      </c>
      <c r="F1482" t="s">
        <v>8908</v>
      </c>
      <c r="G1482" t="s">
        <v>8909</v>
      </c>
      <c r="H1482" t="s">
        <v>8909</v>
      </c>
      <c r="I1482" t="s">
        <v>8910</v>
      </c>
      <c r="J1482" t="s">
        <v>246</v>
      </c>
      <c r="K1482" t="s">
        <v>3258</v>
      </c>
      <c r="L1482" t="s">
        <v>8910</v>
      </c>
      <c r="M1482" t="s">
        <v>1725</v>
      </c>
    </row>
    <row r="1483" spans="1:13" x14ac:dyDescent="0.15">
      <c r="A1483" t="s">
        <v>8911</v>
      </c>
      <c r="B1483" t="s">
        <v>14</v>
      </c>
      <c r="C1483" t="s">
        <v>118</v>
      </c>
      <c r="D1483" t="s">
        <v>8912</v>
      </c>
      <c r="E1483" t="s">
        <v>8913</v>
      </c>
      <c r="F1483" t="s">
        <v>8914</v>
      </c>
      <c r="G1483" t="s">
        <v>8915</v>
      </c>
      <c r="H1483" t="s">
        <v>8915</v>
      </c>
      <c r="I1483" t="s">
        <v>8916</v>
      </c>
      <c r="J1483" t="s">
        <v>20</v>
      </c>
      <c r="K1483" t="s">
        <v>1718</v>
      </c>
      <c r="L1483" t="s">
        <v>8916</v>
      </c>
      <c r="M1483" t="s">
        <v>8917</v>
      </c>
    </row>
    <row r="1484" spans="1:13" x14ac:dyDescent="0.15">
      <c r="A1484" t="s">
        <v>8918</v>
      </c>
      <c r="B1484" t="s">
        <v>14</v>
      </c>
      <c r="C1484" t="s">
        <v>194</v>
      </c>
      <c r="D1484" t="s">
        <v>8919</v>
      </c>
      <c r="E1484" t="s">
        <v>8920</v>
      </c>
      <c r="F1484" t="s">
        <v>8921</v>
      </c>
      <c r="H1484" t="s">
        <v>8922</v>
      </c>
      <c r="J1484" t="s">
        <v>481</v>
      </c>
      <c r="M1484" t="s">
        <v>139</v>
      </c>
    </row>
    <row r="1485" spans="1:13" x14ac:dyDescent="0.15">
      <c r="A1485" t="s">
        <v>8923</v>
      </c>
      <c r="B1485" t="s">
        <v>14</v>
      </c>
      <c r="C1485" t="s">
        <v>23</v>
      </c>
      <c r="D1485" t="s">
        <v>8924</v>
      </c>
      <c r="E1485" t="s">
        <v>8925</v>
      </c>
      <c r="F1485" t="s">
        <v>8926</v>
      </c>
      <c r="G1485" t="s">
        <v>8927</v>
      </c>
      <c r="H1485" t="s">
        <v>145</v>
      </c>
      <c r="I1485" t="s">
        <v>8928</v>
      </c>
      <c r="J1485" t="s">
        <v>8929</v>
      </c>
      <c r="K1485" t="s">
        <v>39</v>
      </c>
      <c r="L1485" t="s">
        <v>8930</v>
      </c>
      <c r="M1485" t="s">
        <v>41</v>
      </c>
    </row>
    <row r="1486" spans="1:13" x14ac:dyDescent="0.15">
      <c r="A1486" t="s">
        <v>8931</v>
      </c>
      <c r="B1486" t="s">
        <v>14</v>
      </c>
      <c r="C1486" t="s">
        <v>118</v>
      </c>
      <c r="D1486" t="s">
        <v>8932</v>
      </c>
      <c r="E1486" t="s">
        <v>8933</v>
      </c>
      <c r="F1486" t="s">
        <v>8934</v>
      </c>
      <c r="G1486" t="s">
        <v>8935</v>
      </c>
      <c r="H1486" t="s">
        <v>8935</v>
      </c>
      <c r="I1486" t="s">
        <v>8936</v>
      </c>
      <c r="J1486" t="s">
        <v>181</v>
      </c>
      <c r="K1486" t="s">
        <v>1458</v>
      </c>
      <c r="L1486" t="s">
        <v>8937</v>
      </c>
      <c r="M1486" t="s">
        <v>183</v>
      </c>
    </row>
    <row r="1487" spans="1:13" x14ac:dyDescent="0.15">
      <c r="A1487" t="s">
        <v>8938</v>
      </c>
      <c r="B1487" t="s">
        <v>14</v>
      </c>
      <c r="C1487" t="s">
        <v>23</v>
      </c>
      <c r="D1487" t="s">
        <v>7847</v>
      </c>
      <c r="E1487" t="s">
        <v>8939</v>
      </c>
      <c r="F1487" t="s">
        <v>8940</v>
      </c>
      <c r="H1487" t="s">
        <v>7850</v>
      </c>
      <c r="I1487" t="s">
        <v>8941</v>
      </c>
      <c r="J1487" t="s">
        <v>1724</v>
      </c>
      <c r="M1487" t="s">
        <v>41</v>
      </c>
    </row>
    <row r="1488" spans="1:13" x14ac:dyDescent="0.15">
      <c r="A1488" t="s">
        <v>8942</v>
      </c>
      <c r="B1488" t="s">
        <v>14</v>
      </c>
      <c r="C1488" t="s">
        <v>23</v>
      </c>
      <c r="D1488" t="s">
        <v>8943</v>
      </c>
      <c r="E1488" t="s">
        <v>8944</v>
      </c>
      <c r="F1488" t="s">
        <v>8945</v>
      </c>
      <c r="G1488" t="s">
        <v>4604</v>
      </c>
      <c r="H1488" t="s">
        <v>4604</v>
      </c>
      <c r="I1488" t="s">
        <v>8946</v>
      </c>
      <c r="J1488" t="s">
        <v>400</v>
      </c>
      <c r="K1488" t="s">
        <v>1541</v>
      </c>
      <c r="L1488" t="s">
        <v>8440</v>
      </c>
      <c r="M1488" t="s">
        <v>80</v>
      </c>
    </row>
    <row r="1489" spans="1:13" x14ac:dyDescent="0.15">
      <c r="A1489" t="s">
        <v>8947</v>
      </c>
      <c r="B1489" t="s">
        <v>14</v>
      </c>
      <c r="C1489" t="s">
        <v>23</v>
      </c>
      <c r="D1489" t="s">
        <v>1981</v>
      </c>
      <c r="E1489" t="s">
        <v>8948</v>
      </c>
      <c r="F1489" t="s">
        <v>8949</v>
      </c>
      <c r="G1489" t="s">
        <v>8950</v>
      </c>
      <c r="H1489" t="s">
        <v>8950</v>
      </c>
      <c r="I1489" t="s">
        <v>8951</v>
      </c>
      <c r="J1489" t="s">
        <v>214</v>
      </c>
      <c r="K1489" t="s">
        <v>407</v>
      </c>
      <c r="L1489" t="s">
        <v>3074</v>
      </c>
      <c r="M1489" t="s">
        <v>41</v>
      </c>
    </row>
    <row r="1490" spans="1:13" x14ac:dyDescent="0.15">
      <c r="A1490" t="s">
        <v>8952</v>
      </c>
      <c r="B1490" t="s">
        <v>14</v>
      </c>
      <c r="C1490" t="s">
        <v>118</v>
      </c>
      <c r="D1490" t="s">
        <v>8953</v>
      </c>
      <c r="E1490" t="s">
        <v>8954</v>
      </c>
      <c r="F1490" t="s">
        <v>8955</v>
      </c>
      <c r="G1490" t="s">
        <v>8956</v>
      </c>
      <c r="H1490" t="s">
        <v>8956</v>
      </c>
      <c r="I1490" t="s">
        <v>8957</v>
      </c>
      <c r="J1490" t="s">
        <v>214</v>
      </c>
      <c r="K1490" t="s">
        <v>1582</v>
      </c>
      <c r="L1490" t="s">
        <v>8957</v>
      </c>
      <c r="M1490" t="s">
        <v>8917</v>
      </c>
    </row>
    <row r="1491" spans="1:13" x14ac:dyDescent="0.15">
      <c r="A1491" t="s">
        <v>8958</v>
      </c>
      <c r="B1491" t="s">
        <v>14</v>
      </c>
      <c r="C1491" t="s">
        <v>118</v>
      </c>
      <c r="D1491" t="s">
        <v>8959</v>
      </c>
      <c r="E1491" t="s">
        <v>8960</v>
      </c>
      <c r="F1491" t="s">
        <v>8961</v>
      </c>
      <c r="G1491" t="s">
        <v>8962</v>
      </c>
      <c r="H1491" t="s">
        <v>8962</v>
      </c>
      <c r="I1491" t="s">
        <v>8963</v>
      </c>
      <c r="J1491" t="s">
        <v>214</v>
      </c>
      <c r="K1491" t="s">
        <v>1125</v>
      </c>
      <c r="L1491" t="s">
        <v>8963</v>
      </c>
      <c r="M1491" t="s">
        <v>3389</v>
      </c>
    </row>
    <row r="1492" spans="1:13" x14ac:dyDescent="0.15">
      <c r="A1492" t="s">
        <v>8964</v>
      </c>
      <c r="B1492" t="s">
        <v>14</v>
      </c>
      <c r="C1492" t="s">
        <v>23</v>
      </c>
      <c r="D1492" t="s">
        <v>8965</v>
      </c>
      <c r="E1492" t="s">
        <v>8966</v>
      </c>
      <c r="F1492" t="s">
        <v>8967</v>
      </c>
      <c r="G1492" t="s">
        <v>8968</v>
      </c>
      <c r="H1492" t="s">
        <v>8968</v>
      </c>
      <c r="I1492" t="s">
        <v>8969</v>
      </c>
      <c r="J1492" t="s">
        <v>415</v>
      </c>
      <c r="K1492" t="s">
        <v>1846</v>
      </c>
      <c r="L1492" t="s">
        <v>8969</v>
      </c>
      <c r="M1492" t="s">
        <v>104</v>
      </c>
    </row>
    <row r="1493" spans="1:13" x14ac:dyDescent="0.15">
      <c r="A1493" t="s">
        <v>8970</v>
      </c>
      <c r="B1493" t="s">
        <v>14</v>
      </c>
      <c r="C1493" t="s">
        <v>118</v>
      </c>
      <c r="D1493" t="s">
        <v>8971</v>
      </c>
      <c r="E1493" t="s">
        <v>8972</v>
      </c>
      <c r="F1493" t="s">
        <v>8967</v>
      </c>
      <c r="G1493" t="s">
        <v>8973</v>
      </c>
      <c r="H1493" t="s">
        <v>8973</v>
      </c>
      <c r="I1493" t="s">
        <v>8974</v>
      </c>
      <c r="J1493" t="s">
        <v>214</v>
      </c>
      <c r="K1493" t="s">
        <v>1030</v>
      </c>
      <c r="L1493" t="s">
        <v>8974</v>
      </c>
      <c r="M1493" t="s">
        <v>2760</v>
      </c>
    </row>
    <row r="1494" spans="1:13" x14ac:dyDescent="0.15">
      <c r="A1494" t="s">
        <v>8975</v>
      </c>
      <c r="B1494" t="s">
        <v>14</v>
      </c>
      <c r="C1494" t="s">
        <v>118</v>
      </c>
      <c r="D1494" t="s">
        <v>8976</v>
      </c>
      <c r="E1494" t="s">
        <v>8977</v>
      </c>
      <c r="F1494" t="s">
        <v>8978</v>
      </c>
      <c r="H1494" t="s">
        <v>145</v>
      </c>
      <c r="I1494" t="s">
        <v>8979</v>
      </c>
      <c r="J1494" t="s">
        <v>172</v>
      </c>
      <c r="K1494" t="s">
        <v>786</v>
      </c>
      <c r="L1494" t="s">
        <v>8979</v>
      </c>
      <c r="M1494" t="s">
        <v>165</v>
      </c>
    </row>
    <row r="1495" spans="1:13" x14ac:dyDescent="0.15">
      <c r="A1495" t="s">
        <v>8980</v>
      </c>
      <c r="B1495" t="s">
        <v>14</v>
      </c>
      <c r="C1495" t="s">
        <v>23</v>
      </c>
      <c r="D1495" t="s">
        <v>8981</v>
      </c>
      <c r="E1495" t="s">
        <v>8982</v>
      </c>
      <c r="F1495" t="s">
        <v>8983</v>
      </c>
      <c r="G1495" t="s">
        <v>4074</v>
      </c>
      <c r="H1495" t="s">
        <v>4074</v>
      </c>
      <c r="I1495" t="s">
        <v>7472</v>
      </c>
      <c r="J1495" t="s">
        <v>514</v>
      </c>
      <c r="K1495" t="s">
        <v>980</v>
      </c>
      <c r="L1495" t="s">
        <v>7472</v>
      </c>
      <c r="M1495" t="s">
        <v>104</v>
      </c>
    </row>
    <row r="1496" spans="1:13" x14ac:dyDescent="0.15">
      <c r="A1496" t="s">
        <v>8984</v>
      </c>
      <c r="B1496" t="s">
        <v>14</v>
      </c>
      <c r="C1496" t="s">
        <v>118</v>
      </c>
      <c r="D1496" t="s">
        <v>8985</v>
      </c>
      <c r="E1496" t="s">
        <v>8986</v>
      </c>
      <c r="F1496" t="s">
        <v>8987</v>
      </c>
      <c r="G1496" t="s">
        <v>8988</v>
      </c>
      <c r="H1496" t="s">
        <v>8988</v>
      </c>
      <c r="I1496" t="s">
        <v>4556</v>
      </c>
      <c r="J1496" t="s">
        <v>156</v>
      </c>
      <c r="K1496" t="s">
        <v>173</v>
      </c>
      <c r="L1496" t="s">
        <v>4556</v>
      </c>
      <c r="M1496" t="s">
        <v>272</v>
      </c>
    </row>
    <row r="1497" spans="1:13" x14ac:dyDescent="0.15">
      <c r="A1497" t="s">
        <v>8989</v>
      </c>
      <c r="B1497" t="s">
        <v>14</v>
      </c>
      <c r="C1497" t="s">
        <v>118</v>
      </c>
      <c r="D1497" t="s">
        <v>4003</v>
      </c>
      <c r="E1497" t="s">
        <v>8990</v>
      </c>
      <c r="F1497" t="s">
        <v>8991</v>
      </c>
      <c r="G1497" t="s">
        <v>8992</v>
      </c>
      <c r="H1497" t="s">
        <v>8992</v>
      </c>
      <c r="I1497" t="s">
        <v>8993</v>
      </c>
      <c r="J1497" t="s">
        <v>156</v>
      </c>
      <c r="K1497" t="s">
        <v>786</v>
      </c>
      <c r="L1497" t="s">
        <v>8993</v>
      </c>
      <c r="M1497" t="s">
        <v>174</v>
      </c>
    </row>
    <row r="1498" spans="1:13" x14ac:dyDescent="0.15">
      <c r="A1498" t="s">
        <v>8994</v>
      </c>
      <c r="B1498" t="s">
        <v>14</v>
      </c>
      <c r="C1498" t="s">
        <v>118</v>
      </c>
      <c r="D1498" t="s">
        <v>8995</v>
      </c>
      <c r="E1498" t="s">
        <v>8996</v>
      </c>
      <c r="F1498" t="s">
        <v>8997</v>
      </c>
      <c r="G1498" t="s">
        <v>8998</v>
      </c>
      <c r="H1498" t="s">
        <v>8998</v>
      </c>
      <c r="I1498" t="s">
        <v>8999</v>
      </c>
      <c r="J1498" t="s">
        <v>132</v>
      </c>
      <c r="K1498" t="s">
        <v>1979</v>
      </c>
      <c r="L1498" t="s">
        <v>8999</v>
      </c>
      <c r="M1498" t="s">
        <v>216</v>
      </c>
    </row>
    <row r="1499" spans="1:13" x14ac:dyDescent="0.15">
      <c r="A1499" t="s">
        <v>9000</v>
      </c>
      <c r="B1499" t="s">
        <v>14</v>
      </c>
      <c r="C1499" t="s">
        <v>118</v>
      </c>
      <c r="D1499" t="s">
        <v>9001</v>
      </c>
      <c r="E1499" t="s">
        <v>9002</v>
      </c>
      <c r="F1499" t="s">
        <v>9003</v>
      </c>
      <c r="G1499" t="s">
        <v>9004</v>
      </c>
      <c r="H1499" t="s">
        <v>9004</v>
      </c>
      <c r="I1499" t="s">
        <v>9005</v>
      </c>
      <c r="J1499" t="s">
        <v>255</v>
      </c>
      <c r="K1499" t="s">
        <v>811</v>
      </c>
      <c r="L1499" t="s">
        <v>9006</v>
      </c>
      <c r="M1499" t="s">
        <v>482</v>
      </c>
    </row>
    <row r="1500" spans="1:13" x14ac:dyDescent="0.15">
      <c r="A1500" t="s">
        <v>9007</v>
      </c>
      <c r="B1500" t="s">
        <v>14</v>
      </c>
      <c r="C1500" t="s">
        <v>118</v>
      </c>
      <c r="D1500" t="s">
        <v>9008</v>
      </c>
      <c r="E1500" t="s">
        <v>9009</v>
      </c>
      <c r="F1500" t="s">
        <v>9010</v>
      </c>
      <c r="G1500" t="s">
        <v>9011</v>
      </c>
      <c r="H1500" t="s">
        <v>9011</v>
      </c>
      <c r="I1500" t="s">
        <v>9012</v>
      </c>
      <c r="J1500" t="s">
        <v>255</v>
      </c>
      <c r="K1500" t="s">
        <v>256</v>
      </c>
      <c r="L1500" t="s">
        <v>9013</v>
      </c>
      <c r="M1500" t="s">
        <v>31</v>
      </c>
    </row>
    <row r="1501" spans="1:13" x14ac:dyDescent="0.15">
      <c r="A1501" t="s">
        <v>9014</v>
      </c>
      <c r="B1501" t="s">
        <v>14</v>
      </c>
      <c r="C1501" t="s">
        <v>118</v>
      </c>
      <c r="D1501" t="s">
        <v>9015</v>
      </c>
      <c r="E1501" t="s">
        <v>9016</v>
      </c>
      <c r="F1501" t="s">
        <v>9017</v>
      </c>
      <c r="G1501" t="s">
        <v>9018</v>
      </c>
      <c r="H1501" t="s">
        <v>9018</v>
      </c>
      <c r="I1501" t="s">
        <v>9019</v>
      </c>
      <c r="J1501" t="s">
        <v>473</v>
      </c>
      <c r="K1501" t="s">
        <v>1632</v>
      </c>
      <c r="L1501" t="s">
        <v>9019</v>
      </c>
      <c r="M1501" t="s">
        <v>272</v>
      </c>
    </row>
    <row r="1502" spans="1:13" x14ac:dyDescent="0.15">
      <c r="A1502" t="s">
        <v>9020</v>
      </c>
      <c r="B1502" t="s">
        <v>14</v>
      </c>
      <c r="C1502" t="s">
        <v>118</v>
      </c>
      <c r="D1502" t="s">
        <v>9021</v>
      </c>
      <c r="E1502" t="s">
        <v>9022</v>
      </c>
      <c r="F1502" t="s">
        <v>9023</v>
      </c>
      <c r="G1502" t="s">
        <v>9024</v>
      </c>
      <c r="H1502" t="s">
        <v>9024</v>
      </c>
      <c r="I1502" t="s">
        <v>4006</v>
      </c>
      <c r="J1502" t="s">
        <v>297</v>
      </c>
      <c r="K1502" t="s">
        <v>1125</v>
      </c>
      <c r="L1502" t="s">
        <v>4006</v>
      </c>
      <c r="M1502" t="s">
        <v>165</v>
      </c>
    </row>
    <row r="1503" spans="1:13" x14ac:dyDescent="0.15">
      <c r="A1503" t="s">
        <v>9025</v>
      </c>
      <c r="B1503" t="s">
        <v>14</v>
      </c>
      <c r="C1503" t="s">
        <v>194</v>
      </c>
      <c r="D1503" t="s">
        <v>9026</v>
      </c>
      <c r="E1503" t="s">
        <v>9027</v>
      </c>
      <c r="F1503" t="s">
        <v>9028</v>
      </c>
      <c r="G1503" t="s">
        <v>9029</v>
      </c>
      <c r="H1503" t="s">
        <v>9030</v>
      </c>
      <c r="J1503" t="s">
        <v>1717</v>
      </c>
      <c r="M1503" t="s">
        <v>139</v>
      </c>
    </row>
    <row r="1504" spans="1:13" x14ac:dyDescent="0.15">
      <c r="A1504" t="s">
        <v>9031</v>
      </c>
      <c r="B1504" t="s">
        <v>14</v>
      </c>
      <c r="C1504" t="s">
        <v>23</v>
      </c>
      <c r="D1504" t="s">
        <v>9032</v>
      </c>
      <c r="E1504" t="s">
        <v>9033</v>
      </c>
      <c r="F1504" t="s">
        <v>9034</v>
      </c>
      <c r="G1504" t="s">
        <v>1831</v>
      </c>
      <c r="H1504" t="s">
        <v>1831</v>
      </c>
      <c r="I1504" t="s">
        <v>6600</v>
      </c>
      <c r="J1504" t="s">
        <v>344</v>
      </c>
      <c r="K1504" t="s">
        <v>1743</v>
      </c>
      <c r="L1504" t="s">
        <v>6807</v>
      </c>
      <c r="M1504" t="s">
        <v>41</v>
      </c>
    </row>
    <row r="1505" spans="1:13" x14ac:dyDescent="0.15">
      <c r="A1505" t="s">
        <v>9035</v>
      </c>
      <c r="B1505" t="s">
        <v>14</v>
      </c>
      <c r="C1505" t="s">
        <v>118</v>
      </c>
      <c r="D1505" t="s">
        <v>9036</v>
      </c>
      <c r="E1505" t="s">
        <v>9037</v>
      </c>
      <c r="F1505" t="s">
        <v>9038</v>
      </c>
      <c r="G1505" t="s">
        <v>1978</v>
      </c>
      <c r="H1505" t="s">
        <v>1978</v>
      </c>
      <c r="I1505" t="s">
        <v>9039</v>
      </c>
      <c r="J1505" t="s">
        <v>38</v>
      </c>
      <c r="K1505" t="s">
        <v>4050</v>
      </c>
      <c r="L1505" t="s">
        <v>3093</v>
      </c>
      <c r="M1505" t="s">
        <v>192</v>
      </c>
    </row>
    <row r="1506" spans="1:13" x14ac:dyDescent="0.15">
      <c r="A1506" t="s">
        <v>9040</v>
      </c>
      <c r="B1506" t="s">
        <v>14</v>
      </c>
      <c r="C1506" t="s">
        <v>23</v>
      </c>
      <c r="D1506" t="s">
        <v>9041</v>
      </c>
      <c r="E1506" t="s">
        <v>9042</v>
      </c>
      <c r="F1506" t="s">
        <v>9043</v>
      </c>
      <c r="G1506" t="s">
        <v>9044</v>
      </c>
      <c r="H1506" t="s">
        <v>9044</v>
      </c>
      <c r="I1506" t="s">
        <v>9045</v>
      </c>
      <c r="J1506" t="s">
        <v>415</v>
      </c>
      <c r="K1506" t="s">
        <v>938</v>
      </c>
      <c r="L1506" t="s">
        <v>9045</v>
      </c>
      <c r="M1506" t="s">
        <v>104</v>
      </c>
    </row>
    <row r="1507" spans="1:13" x14ac:dyDescent="0.15">
      <c r="A1507" t="s">
        <v>9046</v>
      </c>
      <c r="B1507" t="s">
        <v>14</v>
      </c>
      <c r="C1507" t="s">
        <v>23</v>
      </c>
      <c r="D1507" t="s">
        <v>9047</v>
      </c>
      <c r="E1507" t="s">
        <v>9048</v>
      </c>
      <c r="F1507" t="s">
        <v>9049</v>
      </c>
      <c r="G1507" t="s">
        <v>5872</v>
      </c>
      <c r="H1507" t="s">
        <v>5872</v>
      </c>
      <c r="I1507" t="s">
        <v>9050</v>
      </c>
      <c r="J1507" t="s">
        <v>214</v>
      </c>
      <c r="K1507" t="s">
        <v>9051</v>
      </c>
      <c r="L1507" t="s">
        <v>2639</v>
      </c>
      <c r="M1507" t="s">
        <v>104</v>
      </c>
    </row>
    <row r="1508" spans="1:13" x14ac:dyDescent="0.15">
      <c r="A1508" t="s">
        <v>9052</v>
      </c>
      <c r="B1508" t="s">
        <v>14</v>
      </c>
      <c r="C1508" t="s">
        <v>118</v>
      </c>
      <c r="D1508" t="s">
        <v>9053</v>
      </c>
      <c r="E1508" t="s">
        <v>9054</v>
      </c>
      <c r="F1508" t="s">
        <v>9055</v>
      </c>
      <c r="G1508" t="s">
        <v>9056</v>
      </c>
      <c r="H1508" t="s">
        <v>9056</v>
      </c>
      <c r="I1508" t="s">
        <v>9057</v>
      </c>
      <c r="J1508" t="s">
        <v>400</v>
      </c>
      <c r="K1508" t="s">
        <v>87</v>
      </c>
      <c r="L1508" t="s">
        <v>9057</v>
      </c>
      <c r="M1508" t="s">
        <v>174</v>
      </c>
    </row>
    <row r="1509" spans="1:13" x14ac:dyDescent="0.15">
      <c r="A1509" t="s">
        <v>9058</v>
      </c>
      <c r="B1509" t="s">
        <v>14</v>
      </c>
      <c r="C1509" t="s">
        <v>23</v>
      </c>
      <c r="D1509" t="s">
        <v>9059</v>
      </c>
      <c r="E1509" t="s">
        <v>9060</v>
      </c>
      <c r="F1509" t="s">
        <v>9061</v>
      </c>
      <c r="G1509" t="s">
        <v>9062</v>
      </c>
      <c r="H1509" t="s">
        <v>9062</v>
      </c>
      <c r="I1509" t="s">
        <v>693</v>
      </c>
      <c r="J1509" t="s">
        <v>156</v>
      </c>
      <c r="K1509" t="s">
        <v>215</v>
      </c>
      <c r="L1509" t="s">
        <v>693</v>
      </c>
      <c r="M1509" t="s">
        <v>104</v>
      </c>
    </row>
    <row r="1510" spans="1:13" x14ac:dyDescent="0.15">
      <c r="A1510" t="s">
        <v>9063</v>
      </c>
      <c r="B1510" t="s">
        <v>14</v>
      </c>
      <c r="C1510" t="s">
        <v>23</v>
      </c>
      <c r="D1510" t="s">
        <v>9064</v>
      </c>
      <c r="E1510" t="s">
        <v>9065</v>
      </c>
      <c r="F1510" t="s">
        <v>9066</v>
      </c>
      <c r="G1510" t="s">
        <v>9067</v>
      </c>
      <c r="H1510" t="s">
        <v>9067</v>
      </c>
      <c r="I1510" t="s">
        <v>3900</v>
      </c>
      <c r="J1510" t="s">
        <v>29</v>
      </c>
      <c r="K1510" t="s">
        <v>819</v>
      </c>
      <c r="L1510" t="s">
        <v>3900</v>
      </c>
      <c r="M1510" t="s">
        <v>41</v>
      </c>
    </row>
    <row r="1511" spans="1:13" x14ac:dyDescent="0.15">
      <c r="A1511" t="s">
        <v>9068</v>
      </c>
      <c r="B1511" t="s">
        <v>14</v>
      </c>
      <c r="C1511" t="s">
        <v>118</v>
      </c>
      <c r="D1511" t="s">
        <v>9069</v>
      </c>
      <c r="E1511" t="s">
        <v>9070</v>
      </c>
      <c r="F1511" t="s">
        <v>9071</v>
      </c>
      <c r="G1511" t="s">
        <v>9072</v>
      </c>
      <c r="H1511" t="s">
        <v>9072</v>
      </c>
      <c r="I1511" t="s">
        <v>9073</v>
      </c>
      <c r="J1511" t="s">
        <v>400</v>
      </c>
      <c r="K1511" t="s">
        <v>6041</v>
      </c>
      <c r="L1511" t="s">
        <v>9073</v>
      </c>
      <c r="M1511" t="s">
        <v>174</v>
      </c>
    </row>
    <row r="1512" spans="1:13" x14ac:dyDescent="0.15">
      <c r="A1512" t="s">
        <v>9074</v>
      </c>
      <c r="B1512" t="s">
        <v>14</v>
      </c>
      <c r="C1512" t="s">
        <v>118</v>
      </c>
      <c r="D1512" t="s">
        <v>9075</v>
      </c>
      <c r="E1512" t="s">
        <v>9076</v>
      </c>
      <c r="F1512" t="s">
        <v>9077</v>
      </c>
      <c r="G1512" t="s">
        <v>9078</v>
      </c>
      <c r="H1512" t="s">
        <v>9078</v>
      </c>
      <c r="I1512" t="s">
        <v>1279</v>
      </c>
      <c r="J1512" t="s">
        <v>181</v>
      </c>
      <c r="K1512" t="s">
        <v>633</v>
      </c>
      <c r="L1512" t="s">
        <v>9079</v>
      </c>
      <c r="M1512" t="s">
        <v>432</v>
      </c>
    </row>
    <row r="1513" spans="1:13" x14ac:dyDescent="0.15">
      <c r="A1513" t="s">
        <v>9080</v>
      </c>
      <c r="B1513" t="s">
        <v>14</v>
      </c>
      <c r="C1513" t="s">
        <v>194</v>
      </c>
      <c r="D1513" t="s">
        <v>4295</v>
      </c>
      <c r="E1513" t="s">
        <v>4296</v>
      </c>
      <c r="F1513" t="s">
        <v>9081</v>
      </c>
      <c r="H1513" t="s">
        <v>2802</v>
      </c>
      <c r="J1513" t="s">
        <v>4298</v>
      </c>
      <c r="M1513" t="s">
        <v>139</v>
      </c>
    </row>
    <row r="1514" spans="1:13" x14ac:dyDescent="0.15">
      <c r="A1514" t="s">
        <v>9082</v>
      </c>
      <c r="B1514" t="s">
        <v>14</v>
      </c>
      <c r="C1514" t="s">
        <v>23</v>
      </c>
      <c r="D1514" t="s">
        <v>9083</v>
      </c>
      <c r="E1514" t="s">
        <v>9084</v>
      </c>
      <c r="F1514" t="s">
        <v>9085</v>
      </c>
      <c r="G1514" t="s">
        <v>9086</v>
      </c>
      <c r="H1514" t="s">
        <v>9086</v>
      </c>
      <c r="I1514" t="s">
        <v>5916</v>
      </c>
      <c r="J1514" t="s">
        <v>514</v>
      </c>
      <c r="K1514" t="s">
        <v>744</v>
      </c>
      <c r="L1514" t="s">
        <v>5916</v>
      </c>
      <c r="M1514" t="s">
        <v>104</v>
      </c>
    </row>
    <row r="1515" spans="1:13" x14ac:dyDescent="0.15">
      <c r="A1515" t="s">
        <v>9087</v>
      </c>
      <c r="B1515" t="s">
        <v>14</v>
      </c>
      <c r="C1515" t="s">
        <v>23</v>
      </c>
      <c r="D1515" t="s">
        <v>9088</v>
      </c>
      <c r="E1515" t="s">
        <v>9089</v>
      </c>
      <c r="F1515" t="s">
        <v>9090</v>
      </c>
      <c r="G1515" t="s">
        <v>9091</v>
      </c>
      <c r="H1515" t="s">
        <v>9091</v>
      </c>
      <c r="I1515" t="s">
        <v>9092</v>
      </c>
      <c r="J1515" t="s">
        <v>20</v>
      </c>
      <c r="K1515" t="s">
        <v>231</v>
      </c>
      <c r="L1515" t="s">
        <v>9092</v>
      </c>
      <c r="M1515" t="s">
        <v>104</v>
      </c>
    </row>
    <row r="1516" spans="1:13" x14ac:dyDescent="0.15">
      <c r="A1516" t="s">
        <v>9093</v>
      </c>
      <c r="B1516" t="s">
        <v>14</v>
      </c>
      <c r="C1516" t="s">
        <v>23</v>
      </c>
      <c r="D1516" t="s">
        <v>9094</v>
      </c>
      <c r="E1516" t="s">
        <v>9095</v>
      </c>
      <c r="F1516" t="s">
        <v>9096</v>
      </c>
      <c r="G1516" t="s">
        <v>9097</v>
      </c>
      <c r="H1516" t="s">
        <v>9097</v>
      </c>
      <c r="I1516" t="s">
        <v>7154</v>
      </c>
      <c r="J1516" t="s">
        <v>352</v>
      </c>
      <c r="K1516" t="s">
        <v>2632</v>
      </c>
      <c r="L1516" t="s">
        <v>62</v>
      </c>
      <c r="M1516" t="s">
        <v>41</v>
      </c>
    </row>
    <row r="1517" spans="1:13" x14ac:dyDescent="0.15">
      <c r="A1517" t="s">
        <v>9098</v>
      </c>
      <c r="B1517" t="s">
        <v>14</v>
      </c>
      <c r="C1517" t="s">
        <v>23</v>
      </c>
      <c r="D1517" t="s">
        <v>9099</v>
      </c>
      <c r="E1517" t="s">
        <v>9100</v>
      </c>
      <c r="F1517" t="s">
        <v>9101</v>
      </c>
      <c r="G1517" t="s">
        <v>9102</v>
      </c>
      <c r="H1517" t="s">
        <v>9102</v>
      </c>
      <c r="I1517" t="s">
        <v>9103</v>
      </c>
      <c r="J1517" t="s">
        <v>138</v>
      </c>
      <c r="K1517" t="s">
        <v>64</v>
      </c>
      <c r="L1517" t="s">
        <v>9103</v>
      </c>
      <c r="M1517" t="s">
        <v>248</v>
      </c>
    </row>
    <row r="1518" spans="1:13" x14ac:dyDescent="0.15">
      <c r="A1518" t="s">
        <v>9104</v>
      </c>
      <c r="B1518" t="s">
        <v>14</v>
      </c>
      <c r="C1518" t="s">
        <v>23</v>
      </c>
      <c r="D1518" t="s">
        <v>9105</v>
      </c>
      <c r="E1518" t="s">
        <v>9106</v>
      </c>
      <c r="F1518" t="s">
        <v>9107</v>
      </c>
      <c r="G1518" t="s">
        <v>9108</v>
      </c>
      <c r="H1518" t="s">
        <v>9108</v>
      </c>
      <c r="I1518" t="s">
        <v>9109</v>
      </c>
      <c r="J1518" t="s">
        <v>138</v>
      </c>
      <c r="K1518" t="s">
        <v>1922</v>
      </c>
      <c r="L1518" t="s">
        <v>9109</v>
      </c>
      <c r="M1518" t="s">
        <v>41</v>
      </c>
    </row>
    <row r="1519" spans="1:13" x14ac:dyDescent="0.15">
      <c r="A1519" t="s">
        <v>9110</v>
      </c>
      <c r="B1519" t="s">
        <v>14</v>
      </c>
      <c r="C1519" t="s">
        <v>23</v>
      </c>
      <c r="D1519" t="s">
        <v>9111</v>
      </c>
      <c r="E1519" t="s">
        <v>9112</v>
      </c>
      <c r="F1519" t="s">
        <v>9113</v>
      </c>
      <c r="G1519" t="s">
        <v>3527</v>
      </c>
      <c r="H1519" t="s">
        <v>3527</v>
      </c>
      <c r="I1519" t="s">
        <v>5515</v>
      </c>
      <c r="J1519" t="s">
        <v>1065</v>
      </c>
      <c r="K1519" t="s">
        <v>731</v>
      </c>
      <c r="L1519" t="s">
        <v>5515</v>
      </c>
      <c r="M1519" t="s">
        <v>104</v>
      </c>
    </row>
    <row r="1520" spans="1:13" x14ac:dyDescent="0.15">
      <c r="A1520" t="s">
        <v>9114</v>
      </c>
      <c r="B1520" t="s">
        <v>14</v>
      </c>
      <c r="C1520" t="s">
        <v>23</v>
      </c>
      <c r="D1520" t="s">
        <v>9115</v>
      </c>
      <c r="E1520" t="s">
        <v>9116</v>
      </c>
      <c r="F1520" t="s">
        <v>9117</v>
      </c>
      <c r="G1520" t="s">
        <v>9118</v>
      </c>
      <c r="H1520" t="s">
        <v>9118</v>
      </c>
      <c r="I1520" t="s">
        <v>7254</v>
      </c>
      <c r="J1520" t="s">
        <v>206</v>
      </c>
      <c r="K1520" t="s">
        <v>1139</v>
      </c>
      <c r="L1520" t="s">
        <v>7254</v>
      </c>
      <c r="M1520" t="s">
        <v>80</v>
      </c>
    </row>
    <row r="1521" spans="1:13" x14ac:dyDescent="0.15">
      <c r="A1521" t="s">
        <v>9119</v>
      </c>
      <c r="B1521" t="s">
        <v>14</v>
      </c>
      <c r="C1521" t="s">
        <v>23</v>
      </c>
      <c r="D1521" t="s">
        <v>9120</v>
      </c>
      <c r="E1521" t="s">
        <v>9121</v>
      </c>
      <c r="F1521" t="s">
        <v>9122</v>
      </c>
      <c r="G1521" t="s">
        <v>9123</v>
      </c>
      <c r="H1521" t="s">
        <v>9123</v>
      </c>
      <c r="I1521" t="s">
        <v>9124</v>
      </c>
      <c r="J1521" t="s">
        <v>38</v>
      </c>
      <c r="K1521" t="s">
        <v>39</v>
      </c>
      <c r="L1521" t="s">
        <v>8140</v>
      </c>
      <c r="M1521" t="s">
        <v>41</v>
      </c>
    </row>
    <row r="1522" spans="1:13" x14ac:dyDescent="0.15">
      <c r="A1522" t="s">
        <v>9125</v>
      </c>
      <c r="B1522" t="s">
        <v>14</v>
      </c>
      <c r="C1522" t="s">
        <v>23</v>
      </c>
      <c r="D1522" t="s">
        <v>9126</v>
      </c>
      <c r="E1522" t="s">
        <v>9127</v>
      </c>
      <c r="F1522" t="s">
        <v>9128</v>
      </c>
      <c r="G1522" t="s">
        <v>9129</v>
      </c>
      <c r="H1522" t="s">
        <v>9129</v>
      </c>
      <c r="I1522" t="s">
        <v>9130</v>
      </c>
      <c r="J1522" t="s">
        <v>230</v>
      </c>
      <c r="K1522" t="s">
        <v>48</v>
      </c>
      <c r="L1522" t="s">
        <v>9131</v>
      </c>
      <c r="M1522" t="s">
        <v>104</v>
      </c>
    </row>
    <row r="1523" spans="1:13" x14ac:dyDescent="0.15">
      <c r="A1523" t="s">
        <v>9132</v>
      </c>
      <c r="B1523" t="s">
        <v>14</v>
      </c>
      <c r="C1523" t="s">
        <v>23</v>
      </c>
      <c r="D1523" t="s">
        <v>9133</v>
      </c>
      <c r="E1523" t="s">
        <v>9134</v>
      </c>
      <c r="F1523" t="s">
        <v>9135</v>
      </c>
      <c r="G1523" t="s">
        <v>9136</v>
      </c>
      <c r="H1523" t="s">
        <v>9136</v>
      </c>
      <c r="I1523" t="s">
        <v>9137</v>
      </c>
      <c r="J1523" t="s">
        <v>124</v>
      </c>
      <c r="K1523" t="s">
        <v>1030</v>
      </c>
      <c r="L1523" t="s">
        <v>9137</v>
      </c>
      <c r="M1523" t="s">
        <v>80</v>
      </c>
    </row>
    <row r="1524" spans="1:13" x14ac:dyDescent="0.15">
      <c r="A1524" t="s">
        <v>9138</v>
      </c>
      <c r="B1524" t="s">
        <v>14</v>
      </c>
      <c r="C1524" t="s">
        <v>23</v>
      </c>
      <c r="D1524" t="s">
        <v>9139</v>
      </c>
      <c r="E1524" t="s">
        <v>9140</v>
      </c>
      <c r="F1524" t="s">
        <v>9141</v>
      </c>
      <c r="G1524" t="s">
        <v>973</v>
      </c>
      <c r="H1524" t="s">
        <v>973</v>
      </c>
      <c r="I1524" t="s">
        <v>9142</v>
      </c>
      <c r="J1524" t="s">
        <v>124</v>
      </c>
      <c r="K1524" t="s">
        <v>2043</v>
      </c>
      <c r="L1524" t="s">
        <v>9143</v>
      </c>
      <c r="M1524" t="s">
        <v>104</v>
      </c>
    </row>
    <row r="1525" spans="1:13" x14ac:dyDescent="0.15">
      <c r="A1525" t="s">
        <v>9144</v>
      </c>
      <c r="B1525" t="s">
        <v>14</v>
      </c>
      <c r="C1525" t="s">
        <v>23</v>
      </c>
      <c r="D1525" t="s">
        <v>9145</v>
      </c>
      <c r="E1525" t="s">
        <v>9146</v>
      </c>
      <c r="F1525" t="s">
        <v>9147</v>
      </c>
      <c r="G1525" t="s">
        <v>7454</v>
      </c>
      <c r="H1525" t="s">
        <v>7454</v>
      </c>
      <c r="I1525" t="s">
        <v>9148</v>
      </c>
      <c r="J1525" t="s">
        <v>124</v>
      </c>
      <c r="K1525" t="s">
        <v>1882</v>
      </c>
      <c r="L1525" t="s">
        <v>9149</v>
      </c>
      <c r="M1525" t="s">
        <v>104</v>
      </c>
    </row>
    <row r="1526" spans="1:13" x14ac:dyDescent="0.15">
      <c r="A1526" t="s">
        <v>9150</v>
      </c>
      <c r="B1526" t="s">
        <v>14</v>
      </c>
      <c r="C1526" t="s">
        <v>23</v>
      </c>
      <c r="D1526" t="s">
        <v>9151</v>
      </c>
      <c r="E1526" t="s">
        <v>9152</v>
      </c>
      <c r="F1526" t="s">
        <v>9153</v>
      </c>
      <c r="G1526" t="s">
        <v>9154</v>
      </c>
      <c r="H1526" t="s">
        <v>9154</v>
      </c>
      <c r="I1526" t="s">
        <v>7069</v>
      </c>
      <c r="J1526" t="s">
        <v>124</v>
      </c>
      <c r="K1526" t="s">
        <v>2043</v>
      </c>
      <c r="L1526" t="s">
        <v>9155</v>
      </c>
      <c r="M1526" t="s">
        <v>482</v>
      </c>
    </row>
    <row r="1527" spans="1:13" x14ac:dyDescent="0.15">
      <c r="A1527" t="s">
        <v>9156</v>
      </c>
      <c r="B1527" t="s">
        <v>14</v>
      </c>
      <c r="C1527" t="s">
        <v>23</v>
      </c>
      <c r="D1527" t="s">
        <v>9157</v>
      </c>
      <c r="E1527" t="s">
        <v>9158</v>
      </c>
      <c r="F1527" t="s">
        <v>9159</v>
      </c>
      <c r="G1527" t="s">
        <v>9160</v>
      </c>
      <c r="H1527" t="s">
        <v>9160</v>
      </c>
      <c r="I1527" t="s">
        <v>9161</v>
      </c>
      <c r="J1527" t="s">
        <v>124</v>
      </c>
      <c r="K1527" t="s">
        <v>1208</v>
      </c>
      <c r="L1527" t="s">
        <v>7857</v>
      </c>
      <c r="M1527" t="s">
        <v>482</v>
      </c>
    </row>
    <row r="1528" spans="1:13" x14ac:dyDescent="0.15">
      <c r="A1528" t="s">
        <v>9162</v>
      </c>
      <c r="B1528" t="s">
        <v>14</v>
      </c>
      <c r="C1528" t="s">
        <v>23</v>
      </c>
      <c r="D1528" t="s">
        <v>9163</v>
      </c>
      <c r="E1528" t="s">
        <v>9164</v>
      </c>
      <c r="F1528" t="s">
        <v>9165</v>
      </c>
      <c r="G1528" t="s">
        <v>9160</v>
      </c>
      <c r="H1528" t="s">
        <v>9160</v>
      </c>
      <c r="I1528" t="s">
        <v>9161</v>
      </c>
      <c r="J1528" t="s">
        <v>124</v>
      </c>
      <c r="K1528" t="s">
        <v>1930</v>
      </c>
      <c r="L1528" t="s">
        <v>9166</v>
      </c>
      <c r="M1528" t="s">
        <v>482</v>
      </c>
    </row>
    <row r="1529" spans="1:13" x14ac:dyDescent="0.15">
      <c r="A1529" t="s">
        <v>9167</v>
      </c>
      <c r="B1529" t="s">
        <v>14</v>
      </c>
      <c r="C1529" t="s">
        <v>23</v>
      </c>
      <c r="D1529" t="s">
        <v>9168</v>
      </c>
      <c r="E1529" t="s">
        <v>9169</v>
      </c>
      <c r="F1529" t="s">
        <v>9170</v>
      </c>
      <c r="G1529" t="s">
        <v>9171</v>
      </c>
      <c r="H1529" t="s">
        <v>9171</v>
      </c>
      <c r="I1529" t="s">
        <v>9172</v>
      </c>
      <c r="J1529" t="s">
        <v>124</v>
      </c>
      <c r="K1529" t="s">
        <v>1882</v>
      </c>
      <c r="L1529" t="s">
        <v>6293</v>
      </c>
      <c r="M1529" t="s">
        <v>482</v>
      </c>
    </row>
    <row r="1530" spans="1:13" x14ac:dyDescent="0.15">
      <c r="A1530" t="s">
        <v>9173</v>
      </c>
      <c r="B1530" t="s">
        <v>14</v>
      </c>
      <c r="C1530" t="s">
        <v>23</v>
      </c>
      <c r="D1530" t="s">
        <v>9174</v>
      </c>
      <c r="E1530" t="s">
        <v>9175</v>
      </c>
      <c r="F1530" t="s">
        <v>9176</v>
      </c>
      <c r="G1530" t="s">
        <v>9171</v>
      </c>
      <c r="H1530" t="s">
        <v>9171</v>
      </c>
      <c r="I1530" t="s">
        <v>9172</v>
      </c>
      <c r="J1530" t="s">
        <v>124</v>
      </c>
      <c r="K1530" t="s">
        <v>723</v>
      </c>
      <c r="L1530" t="s">
        <v>7147</v>
      </c>
      <c r="M1530" t="s">
        <v>482</v>
      </c>
    </row>
    <row r="1531" spans="1:13" x14ac:dyDescent="0.15">
      <c r="A1531" t="s">
        <v>9177</v>
      </c>
      <c r="B1531" t="s">
        <v>14</v>
      </c>
      <c r="C1531" t="s">
        <v>23</v>
      </c>
      <c r="D1531" t="s">
        <v>9178</v>
      </c>
      <c r="E1531" t="s">
        <v>9179</v>
      </c>
      <c r="F1531" t="s">
        <v>9180</v>
      </c>
      <c r="G1531" t="s">
        <v>9171</v>
      </c>
      <c r="H1531" t="s">
        <v>9171</v>
      </c>
      <c r="I1531" t="s">
        <v>9172</v>
      </c>
      <c r="J1531" t="s">
        <v>124</v>
      </c>
      <c r="K1531" t="s">
        <v>1281</v>
      </c>
      <c r="L1531" t="s">
        <v>8512</v>
      </c>
      <c r="M1531" t="s">
        <v>482</v>
      </c>
    </row>
    <row r="1532" spans="1:13" x14ac:dyDescent="0.15">
      <c r="A1532" t="s">
        <v>9181</v>
      </c>
      <c r="B1532" t="s">
        <v>14</v>
      </c>
      <c r="C1532" t="s">
        <v>118</v>
      </c>
      <c r="D1532" t="s">
        <v>9182</v>
      </c>
      <c r="E1532" t="s">
        <v>9183</v>
      </c>
      <c r="F1532" t="s">
        <v>9184</v>
      </c>
      <c r="G1532" t="s">
        <v>9185</v>
      </c>
      <c r="H1532" t="s">
        <v>9185</v>
      </c>
      <c r="I1532" t="s">
        <v>9186</v>
      </c>
      <c r="J1532" t="s">
        <v>230</v>
      </c>
      <c r="K1532" t="s">
        <v>1915</v>
      </c>
      <c r="L1532" t="s">
        <v>9186</v>
      </c>
      <c r="M1532" t="s">
        <v>174</v>
      </c>
    </row>
    <row r="1533" spans="1:13" x14ac:dyDescent="0.15">
      <c r="A1533" t="s">
        <v>9187</v>
      </c>
      <c r="B1533" t="s">
        <v>14</v>
      </c>
      <c r="C1533" t="s">
        <v>23</v>
      </c>
      <c r="D1533" t="s">
        <v>9188</v>
      </c>
      <c r="E1533" t="s">
        <v>9189</v>
      </c>
      <c r="F1533" t="s">
        <v>9190</v>
      </c>
      <c r="H1533" t="s">
        <v>702</v>
      </c>
      <c r="I1533" t="s">
        <v>9191</v>
      </c>
      <c r="J1533" t="s">
        <v>400</v>
      </c>
      <c r="K1533" t="s">
        <v>87</v>
      </c>
      <c r="L1533" t="s">
        <v>3093</v>
      </c>
      <c r="M1533" t="s">
        <v>216</v>
      </c>
    </row>
    <row r="1534" spans="1:13" x14ac:dyDescent="0.15">
      <c r="A1534" t="s">
        <v>9192</v>
      </c>
      <c r="B1534" t="s">
        <v>14</v>
      </c>
      <c r="C1534" t="s">
        <v>118</v>
      </c>
      <c r="D1534" t="s">
        <v>9193</v>
      </c>
      <c r="E1534" t="s">
        <v>9194</v>
      </c>
      <c r="F1534" t="s">
        <v>9195</v>
      </c>
      <c r="G1534" t="s">
        <v>9196</v>
      </c>
      <c r="H1534" t="s">
        <v>9196</v>
      </c>
      <c r="I1534" t="s">
        <v>9197</v>
      </c>
      <c r="J1534" t="s">
        <v>1308</v>
      </c>
      <c r="K1534" t="s">
        <v>554</v>
      </c>
      <c r="L1534" t="s">
        <v>9197</v>
      </c>
      <c r="M1534" t="s">
        <v>174</v>
      </c>
    </row>
    <row r="1535" spans="1:13" x14ac:dyDescent="0.15">
      <c r="A1535" t="s">
        <v>9198</v>
      </c>
      <c r="B1535" t="s">
        <v>14</v>
      </c>
      <c r="C1535" t="s">
        <v>118</v>
      </c>
      <c r="D1535" t="s">
        <v>9199</v>
      </c>
      <c r="E1535" t="s">
        <v>9200</v>
      </c>
      <c r="F1535" t="s">
        <v>9201</v>
      </c>
      <c r="G1535" t="s">
        <v>9202</v>
      </c>
      <c r="H1535" t="s">
        <v>9202</v>
      </c>
      <c r="I1535" t="s">
        <v>9203</v>
      </c>
      <c r="J1535" t="s">
        <v>415</v>
      </c>
      <c r="K1535" t="s">
        <v>332</v>
      </c>
      <c r="L1535" t="s">
        <v>9203</v>
      </c>
      <c r="M1535" t="s">
        <v>216</v>
      </c>
    </row>
    <row r="1536" spans="1:13" x14ac:dyDescent="0.15">
      <c r="A1536" t="s">
        <v>9204</v>
      </c>
      <c r="B1536" t="s">
        <v>14</v>
      </c>
      <c r="C1536" t="s">
        <v>118</v>
      </c>
      <c r="D1536" t="s">
        <v>9205</v>
      </c>
      <c r="E1536" t="s">
        <v>9206</v>
      </c>
      <c r="F1536" t="s">
        <v>9207</v>
      </c>
      <c r="G1536" t="s">
        <v>9208</v>
      </c>
      <c r="H1536" t="s">
        <v>9208</v>
      </c>
      <c r="I1536" t="s">
        <v>9209</v>
      </c>
      <c r="J1536" t="s">
        <v>214</v>
      </c>
      <c r="K1536" t="s">
        <v>339</v>
      </c>
      <c r="L1536" t="s">
        <v>9209</v>
      </c>
      <c r="M1536" t="s">
        <v>432</v>
      </c>
    </row>
    <row r="1537" spans="1:13" x14ac:dyDescent="0.15">
      <c r="A1537" t="s">
        <v>9210</v>
      </c>
      <c r="B1537" t="s">
        <v>14</v>
      </c>
      <c r="C1537" t="s">
        <v>118</v>
      </c>
      <c r="D1537" t="s">
        <v>9211</v>
      </c>
      <c r="E1537" t="s">
        <v>9212</v>
      </c>
      <c r="F1537" t="s">
        <v>9213</v>
      </c>
      <c r="G1537" t="s">
        <v>9208</v>
      </c>
      <c r="H1537" t="s">
        <v>9208</v>
      </c>
      <c r="I1537" t="s">
        <v>9209</v>
      </c>
      <c r="J1537" t="s">
        <v>214</v>
      </c>
      <c r="K1537" t="s">
        <v>554</v>
      </c>
      <c r="L1537" t="s">
        <v>9209</v>
      </c>
      <c r="M1537" t="s">
        <v>432</v>
      </c>
    </row>
    <row r="1538" spans="1:13" x14ac:dyDescent="0.15">
      <c r="A1538" t="s">
        <v>9214</v>
      </c>
      <c r="B1538" t="s">
        <v>14</v>
      </c>
      <c r="C1538" t="s">
        <v>23</v>
      </c>
      <c r="D1538" t="s">
        <v>9215</v>
      </c>
      <c r="E1538" t="s">
        <v>9216</v>
      </c>
      <c r="F1538" t="s">
        <v>9217</v>
      </c>
      <c r="G1538" t="s">
        <v>9218</v>
      </c>
      <c r="H1538" t="s">
        <v>9218</v>
      </c>
      <c r="I1538" t="s">
        <v>9219</v>
      </c>
      <c r="J1538" t="s">
        <v>38</v>
      </c>
      <c r="K1538" t="s">
        <v>48</v>
      </c>
      <c r="L1538" t="s">
        <v>9220</v>
      </c>
      <c r="M1538" t="s">
        <v>41</v>
      </c>
    </row>
    <row r="1539" spans="1:13" x14ac:dyDescent="0.15">
      <c r="A1539" t="s">
        <v>9221</v>
      </c>
      <c r="B1539" t="s">
        <v>14</v>
      </c>
      <c r="C1539" t="s">
        <v>23</v>
      </c>
      <c r="D1539" t="s">
        <v>9222</v>
      </c>
      <c r="E1539" t="s">
        <v>9223</v>
      </c>
      <c r="F1539" t="s">
        <v>9224</v>
      </c>
      <c r="G1539" t="s">
        <v>9225</v>
      </c>
      <c r="H1539" t="s">
        <v>9225</v>
      </c>
      <c r="I1539" t="s">
        <v>9226</v>
      </c>
      <c r="J1539" t="s">
        <v>38</v>
      </c>
      <c r="K1539" t="s">
        <v>4106</v>
      </c>
      <c r="L1539" t="s">
        <v>3692</v>
      </c>
      <c r="M1539" t="s">
        <v>104</v>
      </c>
    </row>
    <row r="1540" spans="1:13" x14ac:dyDescent="0.15">
      <c r="A1540" t="s">
        <v>9227</v>
      </c>
      <c r="B1540" t="s">
        <v>14</v>
      </c>
      <c r="C1540" t="s">
        <v>23</v>
      </c>
      <c r="D1540" t="s">
        <v>9228</v>
      </c>
      <c r="E1540" t="s">
        <v>9229</v>
      </c>
      <c r="F1540" t="s">
        <v>9230</v>
      </c>
      <c r="G1540" t="s">
        <v>3558</v>
      </c>
      <c r="H1540" t="s">
        <v>3558</v>
      </c>
      <c r="I1540" t="s">
        <v>6907</v>
      </c>
      <c r="J1540" t="s">
        <v>38</v>
      </c>
      <c r="K1540" t="s">
        <v>56</v>
      </c>
      <c r="L1540" t="s">
        <v>4623</v>
      </c>
      <c r="M1540" t="s">
        <v>104</v>
      </c>
    </row>
    <row r="1541" spans="1:13" x14ac:dyDescent="0.15">
      <c r="A1541" t="s">
        <v>9231</v>
      </c>
      <c r="B1541" t="s">
        <v>14</v>
      </c>
      <c r="C1541" t="s">
        <v>23</v>
      </c>
      <c r="D1541" t="s">
        <v>9232</v>
      </c>
      <c r="E1541" t="s">
        <v>9233</v>
      </c>
      <c r="F1541" t="s">
        <v>9234</v>
      </c>
      <c r="G1541" t="s">
        <v>6550</v>
      </c>
      <c r="H1541" t="s">
        <v>6550</v>
      </c>
      <c r="I1541" t="s">
        <v>9235</v>
      </c>
      <c r="J1541" t="s">
        <v>38</v>
      </c>
      <c r="K1541" t="s">
        <v>48</v>
      </c>
      <c r="L1541" t="s">
        <v>6335</v>
      </c>
      <c r="M1541" t="s">
        <v>41</v>
      </c>
    </row>
    <row r="1542" spans="1:13" x14ac:dyDescent="0.15">
      <c r="A1542" t="s">
        <v>9236</v>
      </c>
      <c r="B1542" t="s">
        <v>14</v>
      </c>
      <c r="C1542" t="s">
        <v>118</v>
      </c>
      <c r="D1542" t="s">
        <v>9237</v>
      </c>
      <c r="E1542" t="s">
        <v>9238</v>
      </c>
      <c r="F1542" t="s">
        <v>9239</v>
      </c>
      <c r="G1542" t="s">
        <v>9240</v>
      </c>
      <c r="H1542" t="s">
        <v>9240</v>
      </c>
      <c r="I1542" t="s">
        <v>9241</v>
      </c>
      <c r="J1542" t="s">
        <v>181</v>
      </c>
      <c r="K1542" t="s">
        <v>4636</v>
      </c>
      <c r="L1542" t="s">
        <v>9241</v>
      </c>
      <c r="M1542" t="s">
        <v>165</v>
      </c>
    </row>
    <row r="1543" spans="1:13" x14ac:dyDescent="0.15">
      <c r="A1543" t="s">
        <v>9242</v>
      </c>
      <c r="B1543" t="s">
        <v>14</v>
      </c>
      <c r="C1543" t="s">
        <v>118</v>
      </c>
      <c r="D1543" t="s">
        <v>9243</v>
      </c>
      <c r="E1543" t="s">
        <v>9244</v>
      </c>
      <c r="F1543" t="s">
        <v>9245</v>
      </c>
      <c r="G1543" t="s">
        <v>9208</v>
      </c>
      <c r="H1543" t="s">
        <v>9208</v>
      </c>
      <c r="I1543" t="s">
        <v>9209</v>
      </c>
      <c r="J1543" t="s">
        <v>206</v>
      </c>
      <c r="K1543" t="s">
        <v>554</v>
      </c>
      <c r="L1543" t="s">
        <v>9209</v>
      </c>
      <c r="M1543" t="s">
        <v>1015</v>
      </c>
    </row>
    <row r="1544" spans="1:13" x14ac:dyDescent="0.15">
      <c r="A1544" t="s">
        <v>9246</v>
      </c>
      <c r="B1544" t="s">
        <v>14</v>
      </c>
      <c r="C1544" t="s">
        <v>23</v>
      </c>
      <c r="D1544" t="s">
        <v>9247</v>
      </c>
      <c r="E1544" t="s">
        <v>9248</v>
      </c>
      <c r="F1544" t="s">
        <v>9249</v>
      </c>
      <c r="G1544" t="s">
        <v>9250</v>
      </c>
      <c r="H1544" t="s">
        <v>9250</v>
      </c>
      <c r="I1544" t="s">
        <v>2528</v>
      </c>
      <c r="J1544" t="s">
        <v>521</v>
      </c>
      <c r="K1544" t="s">
        <v>832</v>
      </c>
      <c r="L1544" t="s">
        <v>2528</v>
      </c>
      <c r="M1544" t="s">
        <v>104</v>
      </c>
    </row>
    <row r="1545" spans="1:13" x14ac:dyDescent="0.15">
      <c r="A1545" t="s">
        <v>9251</v>
      </c>
      <c r="B1545" t="s">
        <v>14</v>
      </c>
      <c r="C1545" t="s">
        <v>23</v>
      </c>
      <c r="D1545" t="s">
        <v>9252</v>
      </c>
      <c r="E1545" t="s">
        <v>9253</v>
      </c>
      <c r="F1545" t="s">
        <v>9254</v>
      </c>
      <c r="G1545" t="s">
        <v>1677</v>
      </c>
      <c r="H1545" t="s">
        <v>1677</v>
      </c>
      <c r="I1545" t="s">
        <v>9255</v>
      </c>
      <c r="J1545" t="s">
        <v>20</v>
      </c>
      <c r="K1545" t="s">
        <v>1045</v>
      </c>
      <c r="L1545" t="s">
        <v>9255</v>
      </c>
      <c r="M1545" t="s">
        <v>41</v>
      </c>
    </row>
    <row r="1546" spans="1:13" x14ac:dyDescent="0.15">
      <c r="A1546" t="s">
        <v>9256</v>
      </c>
      <c r="B1546" t="s">
        <v>14</v>
      </c>
      <c r="C1546" t="s">
        <v>118</v>
      </c>
      <c r="D1546" t="s">
        <v>9257</v>
      </c>
      <c r="E1546" t="s">
        <v>9258</v>
      </c>
      <c r="F1546" t="s">
        <v>9259</v>
      </c>
      <c r="G1546" t="s">
        <v>9260</v>
      </c>
      <c r="H1546" t="s">
        <v>9260</v>
      </c>
      <c r="I1546" t="s">
        <v>9261</v>
      </c>
      <c r="J1546" t="s">
        <v>473</v>
      </c>
      <c r="K1546" t="s">
        <v>256</v>
      </c>
      <c r="L1546" t="s">
        <v>9261</v>
      </c>
      <c r="M1546" t="s">
        <v>1411</v>
      </c>
    </row>
    <row r="1547" spans="1:13" x14ac:dyDescent="0.15">
      <c r="A1547" t="s">
        <v>9262</v>
      </c>
      <c r="B1547" t="s">
        <v>14</v>
      </c>
      <c r="C1547" t="s">
        <v>118</v>
      </c>
      <c r="D1547" t="s">
        <v>9263</v>
      </c>
      <c r="E1547" t="s">
        <v>9264</v>
      </c>
      <c r="F1547" t="s">
        <v>9265</v>
      </c>
      <c r="G1547" t="s">
        <v>9266</v>
      </c>
      <c r="H1547" t="s">
        <v>9266</v>
      </c>
      <c r="I1547" t="s">
        <v>9267</v>
      </c>
      <c r="J1547" t="s">
        <v>473</v>
      </c>
      <c r="K1547" t="s">
        <v>540</v>
      </c>
      <c r="L1547" t="s">
        <v>9267</v>
      </c>
      <c r="M1547" t="s">
        <v>1411</v>
      </c>
    </row>
    <row r="1548" spans="1:13" x14ac:dyDescent="0.15">
      <c r="A1548" t="s">
        <v>9268</v>
      </c>
      <c r="B1548" t="s">
        <v>14</v>
      </c>
      <c r="C1548" t="s">
        <v>118</v>
      </c>
      <c r="D1548" t="s">
        <v>9269</v>
      </c>
      <c r="E1548" t="s">
        <v>9270</v>
      </c>
      <c r="F1548" t="s">
        <v>9271</v>
      </c>
      <c r="G1548" t="s">
        <v>9272</v>
      </c>
      <c r="H1548" t="s">
        <v>9272</v>
      </c>
      <c r="I1548" t="s">
        <v>9273</v>
      </c>
      <c r="J1548" t="s">
        <v>95</v>
      </c>
      <c r="K1548" t="s">
        <v>9274</v>
      </c>
      <c r="L1548" t="s">
        <v>7628</v>
      </c>
      <c r="M1548" t="s">
        <v>1015</v>
      </c>
    </row>
    <row r="1549" spans="1:13" x14ac:dyDescent="0.15">
      <c r="A1549" t="s">
        <v>9275</v>
      </c>
      <c r="B1549" t="s">
        <v>14</v>
      </c>
      <c r="C1549" t="s">
        <v>23</v>
      </c>
      <c r="D1549" t="s">
        <v>9276</v>
      </c>
      <c r="E1549" t="s">
        <v>9277</v>
      </c>
      <c r="F1549" t="s">
        <v>9278</v>
      </c>
      <c r="G1549" t="s">
        <v>2704</v>
      </c>
      <c r="H1549" t="s">
        <v>2704</v>
      </c>
      <c r="I1549" t="s">
        <v>9279</v>
      </c>
      <c r="J1549" t="s">
        <v>297</v>
      </c>
      <c r="K1549" t="s">
        <v>601</v>
      </c>
      <c r="L1549" t="s">
        <v>3000</v>
      </c>
      <c r="M1549" t="s">
        <v>216</v>
      </c>
    </row>
    <row r="1550" spans="1:13" x14ac:dyDescent="0.15">
      <c r="A1550" t="s">
        <v>9280</v>
      </c>
      <c r="B1550" t="s">
        <v>14</v>
      </c>
      <c r="C1550" t="s">
        <v>23</v>
      </c>
      <c r="D1550" t="s">
        <v>9281</v>
      </c>
      <c r="E1550" t="s">
        <v>9282</v>
      </c>
      <c r="F1550" t="s">
        <v>9283</v>
      </c>
      <c r="G1550" t="s">
        <v>9284</v>
      </c>
      <c r="H1550" t="s">
        <v>9284</v>
      </c>
      <c r="I1550" t="s">
        <v>9285</v>
      </c>
      <c r="J1550" t="s">
        <v>124</v>
      </c>
      <c r="K1550" t="s">
        <v>1022</v>
      </c>
      <c r="L1550" t="s">
        <v>4611</v>
      </c>
      <c r="M1550" t="s">
        <v>41</v>
      </c>
    </row>
    <row r="1551" spans="1:13" x14ac:dyDescent="0.15">
      <c r="A1551" t="s">
        <v>9286</v>
      </c>
      <c r="B1551" t="s">
        <v>14</v>
      </c>
      <c r="C1551" t="s">
        <v>23</v>
      </c>
      <c r="D1551" t="s">
        <v>9287</v>
      </c>
      <c r="E1551" t="s">
        <v>9288</v>
      </c>
      <c r="F1551" t="s">
        <v>9289</v>
      </c>
      <c r="G1551" t="s">
        <v>9290</v>
      </c>
      <c r="H1551" t="s">
        <v>9290</v>
      </c>
      <c r="I1551" t="s">
        <v>9291</v>
      </c>
      <c r="J1551" t="s">
        <v>124</v>
      </c>
      <c r="K1551" t="s">
        <v>380</v>
      </c>
      <c r="L1551" t="s">
        <v>9291</v>
      </c>
      <c r="M1551" t="s">
        <v>41</v>
      </c>
    </row>
    <row r="1552" spans="1:13" x14ac:dyDescent="0.15">
      <c r="A1552" t="s">
        <v>9292</v>
      </c>
      <c r="B1552" t="s">
        <v>14</v>
      </c>
      <c r="C1552" t="s">
        <v>23</v>
      </c>
      <c r="D1552" t="s">
        <v>9293</v>
      </c>
      <c r="E1552" t="s">
        <v>9294</v>
      </c>
      <c r="F1552" t="s">
        <v>9295</v>
      </c>
      <c r="G1552" t="s">
        <v>408</v>
      </c>
      <c r="H1552" t="s">
        <v>408</v>
      </c>
      <c r="I1552" t="s">
        <v>9296</v>
      </c>
      <c r="J1552" t="s">
        <v>124</v>
      </c>
      <c r="K1552" t="s">
        <v>1208</v>
      </c>
      <c r="L1552" t="s">
        <v>9123</v>
      </c>
      <c r="M1552" t="s">
        <v>41</v>
      </c>
    </row>
    <row r="1553" spans="1:13" x14ac:dyDescent="0.15">
      <c r="A1553" t="s">
        <v>9297</v>
      </c>
      <c r="B1553" t="s">
        <v>14</v>
      </c>
      <c r="C1553" t="s">
        <v>23</v>
      </c>
      <c r="D1553" t="s">
        <v>9298</v>
      </c>
      <c r="E1553" t="s">
        <v>9299</v>
      </c>
      <c r="F1553" t="s">
        <v>9300</v>
      </c>
      <c r="G1553" t="s">
        <v>9250</v>
      </c>
      <c r="H1553" t="s">
        <v>9250</v>
      </c>
      <c r="I1553" t="s">
        <v>9301</v>
      </c>
      <c r="J1553" t="s">
        <v>124</v>
      </c>
      <c r="K1553" t="s">
        <v>723</v>
      </c>
      <c r="L1553" t="s">
        <v>2398</v>
      </c>
      <c r="M1553" t="s">
        <v>104</v>
      </c>
    </row>
    <row r="1554" spans="1:13" x14ac:dyDescent="0.15">
      <c r="A1554" t="s">
        <v>9302</v>
      </c>
      <c r="B1554" t="s">
        <v>14</v>
      </c>
      <c r="C1554" t="s">
        <v>118</v>
      </c>
      <c r="D1554" t="s">
        <v>9303</v>
      </c>
      <c r="E1554" t="s">
        <v>9304</v>
      </c>
      <c r="F1554" t="s">
        <v>9305</v>
      </c>
      <c r="G1554" t="s">
        <v>9306</v>
      </c>
      <c r="H1554" t="s">
        <v>9306</v>
      </c>
      <c r="I1554" t="s">
        <v>9307</v>
      </c>
      <c r="J1554" t="s">
        <v>124</v>
      </c>
      <c r="K1554" t="s">
        <v>839</v>
      </c>
      <c r="L1554" t="s">
        <v>9307</v>
      </c>
      <c r="M1554" t="s">
        <v>353</v>
      </c>
    </row>
    <row r="1555" spans="1:13" x14ac:dyDescent="0.15">
      <c r="A1555" t="s">
        <v>9308</v>
      </c>
      <c r="B1555" t="s">
        <v>14</v>
      </c>
      <c r="C1555" t="s">
        <v>23</v>
      </c>
      <c r="D1555" t="s">
        <v>9309</v>
      </c>
      <c r="E1555" t="s">
        <v>9310</v>
      </c>
      <c r="F1555" t="s">
        <v>9311</v>
      </c>
      <c r="G1555" t="s">
        <v>7083</v>
      </c>
      <c r="H1555" t="s">
        <v>7083</v>
      </c>
      <c r="I1555" t="s">
        <v>9312</v>
      </c>
      <c r="J1555" t="s">
        <v>95</v>
      </c>
      <c r="K1555" t="s">
        <v>72</v>
      </c>
      <c r="L1555" t="s">
        <v>9313</v>
      </c>
      <c r="M1555" t="s">
        <v>104</v>
      </c>
    </row>
    <row r="1556" spans="1:13" x14ac:dyDescent="0.15">
      <c r="A1556" t="s">
        <v>9314</v>
      </c>
      <c r="B1556" t="s">
        <v>14</v>
      </c>
      <c r="C1556" t="s">
        <v>118</v>
      </c>
      <c r="D1556" t="s">
        <v>9315</v>
      </c>
      <c r="E1556" t="s">
        <v>9316</v>
      </c>
      <c r="F1556" t="s">
        <v>9317</v>
      </c>
      <c r="G1556" t="s">
        <v>915</v>
      </c>
      <c r="H1556" t="s">
        <v>915</v>
      </c>
      <c r="I1556" t="s">
        <v>9318</v>
      </c>
      <c r="J1556" t="s">
        <v>230</v>
      </c>
      <c r="K1556" t="s">
        <v>608</v>
      </c>
      <c r="L1556" t="s">
        <v>9318</v>
      </c>
      <c r="M1556" t="s">
        <v>21</v>
      </c>
    </row>
    <row r="1557" spans="1:13" x14ac:dyDescent="0.15">
      <c r="A1557" t="s">
        <v>9319</v>
      </c>
      <c r="B1557" t="s">
        <v>14</v>
      </c>
      <c r="C1557" t="s">
        <v>118</v>
      </c>
      <c r="D1557" t="s">
        <v>9320</v>
      </c>
      <c r="E1557" t="s">
        <v>9321</v>
      </c>
      <c r="F1557" t="s">
        <v>9322</v>
      </c>
      <c r="G1557" t="s">
        <v>9323</v>
      </c>
      <c r="H1557" t="s">
        <v>9323</v>
      </c>
      <c r="I1557" t="s">
        <v>9324</v>
      </c>
      <c r="J1557" t="s">
        <v>415</v>
      </c>
      <c r="K1557" t="s">
        <v>30</v>
      </c>
      <c r="L1557" t="s">
        <v>9324</v>
      </c>
      <c r="M1557" t="s">
        <v>80</v>
      </c>
    </row>
    <row r="1558" spans="1:13" x14ac:dyDescent="0.15">
      <c r="A1558" t="s">
        <v>9325</v>
      </c>
      <c r="B1558" t="s">
        <v>14</v>
      </c>
      <c r="C1558" t="s">
        <v>118</v>
      </c>
      <c r="D1558" t="s">
        <v>9326</v>
      </c>
      <c r="E1558" t="s">
        <v>9327</v>
      </c>
      <c r="F1558" t="s">
        <v>9328</v>
      </c>
      <c r="G1558" t="s">
        <v>9329</v>
      </c>
      <c r="H1558" t="s">
        <v>9329</v>
      </c>
      <c r="I1558" t="s">
        <v>9330</v>
      </c>
      <c r="J1558" t="s">
        <v>481</v>
      </c>
      <c r="K1558" t="s">
        <v>3251</v>
      </c>
      <c r="L1558" t="s">
        <v>9330</v>
      </c>
      <c r="M1558" t="s">
        <v>248</v>
      </c>
    </row>
    <row r="1559" spans="1:13" x14ac:dyDescent="0.15">
      <c r="A1559" t="s">
        <v>9331</v>
      </c>
      <c r="B1559" t="s">
        <v>14</v>
      </c>
      <c r="C1559" t="s">
        <v>23</v>
      </c>
      <c r="D1559" t="s">
        <v>9332</v>
      </c>
      <c r="E1559" t="s">
        <v>9333</v>
      </c>
      <c r="F1559" t="s">
        <v>9334</v>
      </c>
      <c r="G1559" t="s">
        <v>9335</v>
      </c>
      <c r="H1559" t="s">
        <v>9335</v>
      </c>
      <c r="I1559" t="s">
        <v>9336</v>
      </c>
      <c r="J1559" t="s">
        <v>29</v>
      </c>
      <c r="K1559" t="s">
        <v>332</v>
      </c>
      <c r="L1559" t="s">
        <v>9336</v>
      </c>
      <c r="M1559" t="s">
        <v>41</v>
      </c>
    </row>
    <row r="1560" spans="1:13" x14ac:dyDescent="0.15">
      <c r="A1560" t="s">
        <v>9337</v>
      </c>
      <c r="B1560" t="s">
        <v>14</v>
      </c>
      <c r="C1560" t="s">
        <v>118</v>
      </c>
      <c r="D1560" t="s">
        <v>9338</v>
      </c>
      <c r="E1560" t="s">
        <v>9339</v>
      </c>
      <c r="F1560" t="s">
        <v>9340</v>
      </c>
      <c r="G1560" t="s">
        <v>9341</v>
      </c>
      <c r="H1560" t="s">
        <v>9341</v>
      </c>
      <c r="I1560" t="s">
        <v>9342</v>
      </c>
      <c r="J1560" t="s">
        <v>206</v>
      </c>
      <c r="K1560" t="s">
        <v>1030</v>
      </c>
      <c r="L1560" t="s">
        <v>9342</v>
      </c>
      <c r="M1560" t="s">
        <v>2017</v>
      </c>
    </row>
    <row r="1561" spans="1:13" x14ac:dyDescent="0.15">
      <c r="A1561" t="s">
        <v>9343</v>
      </c>
      <c r="B1561" t="s">
        <v>14</v>
      </c>
      <c r="C1561" t="s">
        <v>118</v>
      </c>
      <c r="D1561" t="s">
        <v>9344</v>
      </c>
      <c r="E1561" t="s">
        <v>9345</v>
      </c>
      <c r="F1561" t="s">
        <v>9346</v>
      </c>
      <c r="G1561" t="s">
        <v>9347</v>
      </c>
      <c r="H1561" t="s">
        <v>9347</v>
      </c>
      <c r="I1561" t="s">
        <v>9348</v>
      </c>
      <c r="J1561" t="s">
        <v>230</v>
      </c>
      <c r="K1561" t="s">
        <v>4827</v>
      </c>
      <c r="L1561" t="s">
        <v>9348</v>
      </c>
      <c r="M1561" t="s">
        <v>290</v>
      </c>
    </row>
    <row r="1562" spans="1:13" x14ac:dyDescent="0.15">
      <c r="A1562" t="s">
        <v>9349</v>
      </c>
      <c r="B1562" t="s">
        <v>14</v>
      </c>
      <c r="C1562" t="s">
        <v>118</v>
      </c>
      <c r="D1562" t="s">
        <v>9350</v>
      </c>
      <c r="E1562" t="s">
        <v>9351</v>
      </c>
      <c r="F1562" t="s">
        <v>9352</v>
      </c>
      <c r="G1562" t="s">
        <v>9353</v>
      </c>
      <c r="H1562" t="s">
        <v>9353</v>
      </c>
      <c r="I1562" t="s">
        <v>9354</v>
      </c>
      <c r="J1562" t="s">
        <v>138</v>
      </c>
      <c r="K1562" t="s">
        <v>263</v>
      </c>
      <c r="L1562" t="s">
        <v>9354</v>
      </c>
      <c r="M1562" t="s">
        <v>2579</v>
      </c>
    </row>
    <row r="1563" spans="1:13" x14ac:dyDescent="0.15">
      <c r="A1563" t="s">
        <v>9355</v>
      </c>
      <c r="B1563" t="s">
        <v>14</v>
      </c>
      <c r="C1563" t="s">
        <v>118</v>
      </c>
      <c r="D1563" t="s">
        <v>9356</v>
      </c>
      <c r="E1563" t="s">
        <v>9357</v>
      </c>
      <c r="F1563" t="s">
        <v>9358</v>
      </c>
      <c r="G1563" t="s">
        <v>9359</v>
      </c>
      <c r="H1563" t="s">
        <v>9359</v>
      </c>
      <c r="I1563" t="s">
        <v>9360</v>
      </c>
      <c r="J1563" t="s">
        <v>473</v>
      </c>
      <c r="K1563" t="s">
        <v>6939</v>
      </c>
      <c r="L1563" t="s">
        <v>9360</v>
      </c>
      <c r="M1563" t="s">
        <v>2913</v>
      </c>
    </row>
    <row r="1564" spans="1:13" x14ac:dyDescent="0.15">
      <c r="A1564" t="s">
        <v>9361</v>
      </c>
      <c r="B1564" t="s">
        <v>14</v>
      </c>
      <c r="C1564" t="s">
        <v>118</v>
      </c>
      <c r="D1564" t="s">
        <v>9362</v>
      </c>
      <c r="E1564" t="s">
        <v>9363</v>
      </c>
      <c r="F1564" t="s">
        <v>9364</v>
      </c>
      <c r="G1564" t="s">
        <v>9365</v>
      </c>
      <c r="H1564" t="s">
        <v>9365</v>
      </c>
      <c r="I1564" t="s">
        <v>4198</v>
      </c>
      <c r="J1564" t="s">
        <v>9366</v>
      </c>
      <c r="K1564" t="s">
        <v>9367</v>
      </c>
      <c r="L1564" t="s">
        <v>4198</v>
      </c>
      <c r="M1564" t="s">
        <v>41</v>
      </c>
    </row>
    <row r="1565" spans="1:13" x14ac:dyDescent="0.15">
      <c r="A1565" t="s">
        <v>9368</v>
      </c>
      <c r="B1565" t="s">
        <v>14</v>
      </c>
      <c r="C1565" t="s">
        <v>23</v>
      </c>
      <c r="D1565" t="s">
        <v>9369</v>
      </c>
      <c r="E1565" t="s">
        <v>9370</v>
      </c>
      <c r="F1565" t="s">
        <v>9371</v>
      </c>
      <c r="G1565" t="s">
        <v>9372</v>
      </c>
      <c r="H1565" t="s">
        <v>9372</v>
      </c>
      <c r="I1565" t="s">
        <v>9373</v>
      </c>
      <c r="J1565" t="s">
        <v>230</v>
      </c>
      <c r="K1565" t="s">
        <v>64</v>
      </c>
      <c r="L1565" t="s">
        <v>9373</v>
      </c>
      <c r="M1565" t="s">
        <v>104</v>
      </c>
    </row>
    <row r="1566" spans="1:13" x14ac:dyDescent="0.15">
      <c r="A1566" t="s">
        <v>9374</v>
      </c>
      <c r="B1566" t="s">
        <v>14</v>
      </c>
      <c r="C1566" t="s">
        <v>118</v>
      </c>
      <c r="D1566" t="s">
        <v>9375</v>
      </c>
      <c r="E1566" t="s">
        <v>9376</v>
      </c>
      <c r="F1566" t="s">
        <v>9377</v>
      </c>
      <c r="G1566" t="s">
        <v>2832</v>
      </c>
      <c r="H1566" t="s">
        <v>2832</v>
      </c>
      <c r="I1566" t="s">
        <v>1248</v>
      </c>
      <c r="J1566" t="s">
        <v>481</v>
      </c>
      <c r="K1566" t="s">
        <v>1125</v>
      </c>
      <c r="L1566" t="s">
        <v>1248</v>
      </c>
      <c r="M1566" t="s">
        <v>2760</v>
      </c>
    </row>
    <row r="1567" spans="1:13" x14ac:dyDescent="0.15">
      <c r="A1567" t="s">
        <v>9378</v>
      </c>
      <c r="B1567" t="s">
        <v>14</v>
      </c>
      <c r="C1567" t="s">
        <v>118</v>
      </c>
      <c r="D1567" t="s">
        <v>9379</v>
      </c>
      <c r="E1567" t="s">
        <v>9380</v>
      </c>
      <c r="F1567" t="s">
        <v>9381</v>
      </c>
      <c r="G1567" t="s">
        <v>9382</v>
      </c>
      <c r="H1567" t="s">
        <v>9382</v>
      </c>
      <c r="I1567" t="s">
        <v>9383</v>
      </c>
      <c r="J1567" t="s">
        <v>481</v>
      </c>
      <c r="K1567" t="s">
        <v>263</v>
      </c>
      <c r="L1567" t="s">
        <v>9383</v>
      </c>
      <c r="M1567" t="s">
        <v>2760</v>
      </c>
    </row>
    <row r="1568" spans="1:13" x14ac:dyDescent="0.15">
      <c r="A1568" t="s">
        <v>9384</v>
      </c>
      <c r="B1568" t="s">
        <v>14</v>
      </c>
      <c r="C1568" t="s">
        <v>23</v>
      </c>
      <c r="D1568" t="s">
        <v>9385</v>
      </c>
      <c r="E1568" t="s">
        <v>9386</v>
      </c>
      <c r="F1568" t="s">
        <v>9387</v>
      </c>
      <c r="G1568" t="s">
        <v>2141</v>
      </c>
      <c r="H1568" t="s">
        <v>2141</v>
      </c>
      <c r="I1568" t="s">
        <v>9388</v>
      </c>
      <c r="J1568" t="s">
        <v>124</v>
      </c>
      <c r="K1568" t="s">
        <v>1922</v>
      </c>
      <c r="L1568" t="s">
        <v>4274</v>
      </c>
      <c r="M1568" t="s">
        <v>41</v>
      </c>
    </row>
    <row r="1569" spans="1:13" x14ac:dyDescent="0.15">
      <c r="A1569" t="s">
        <v>9389</v>
      </c>
      <c r="B1569" t="s">
        <v>14</v>
      </c>
      <c r="C1569" t="s">
        <v>118</v>
      </c>
      <c r="D1569" t="s">
        <v>9390</v>
      </c>
      <c r="E1569" t="s">
        <v>9391</v>
      </c>
      <c r="F1569" t="s">
        <v>9392</v>
      </c>
      <c r="G1569" t="s">
        <v>9393</v>
      </c>
      <c r="H1569" t="s">
        <v>9393</v>
      </c>
      <c r="I1569" t="s">
        <v>9394</v>
      </c>
      <c r="J1569" t="s">
        <v>481</v>
      </c>
      <c r="K1569" t="s">
        <v>239</v>
      </c>
      <c r="L1569" t="s">
        <v>9394</v>
      </c>
      <c r="M1569" t="s">
        <v>2760</v>
      </c>
    </row>
    <row r="1570" spans="1:13" x14ac:dyDescent="0.15">
      <c r="A1570" t="s">
        <v>9395</v>
      </c>
      <c r="B1570" t="s">
        <v>14</v>
      </c>
      <c r="C1570" t="s">
        <v>23</v>
      </c>
      <c r="D1570" t="s">
        <v>9396</v>
      </c>
      <c r="E1570" t="s">
        <v>9397</v>
      </c>
      <c r="F1570" t="s">
        <v>9398</v>
      </c>
      <c r="G1570" t="s">
        <v>2555</v>
      </c>
      <c r="H1570" t="s">
        <v>2555</v>
      </c>
      <c r="I1570" t="s">
        <v>488</v>
      </c>
      <c r="J1570" t="s">
        <v>124</v>
      </c>
      <c r="K1570" t="s">
        <v>832</v>
      </c>
      <c r="L1570" t="s">
        <v>488</v>
      </c>
      <c r="M1570" t="s">
        <v>104</v>
      </c>
    </row>
    <row r="1571" spans="1:13" x14ac:dyDescent="0.15">
      <c r="A1571" t="s">
        <v>9399</v>
      </c>
      <c r="B1571" t="s">
        <v>14</v>
      </c>
      <c r="C1571" t="s">
        <v>118</v>
      </c>
      <c r="D1571" t="s">
        <v>9400</v>
      </c>
      <c r="E1571" t="s">
        <v>9401</v>
      </c>
      <c r="F1571" t="s">
        <v>9402</v>
      </c>
      <c r="G1571" t="s">
        <v>9403</v>
      </c>
      <c r="H1571" t="s">
        <v>9403</v>
      </c>
      <c r="I1571" t="s">
        <v>9404</v>
      </c>
      <c r="J1571" t="s">
        <v>1717</v>
      </c>
      <c r="K1571" t="s">
        <v>9405</v>
      </c>
      <c r="L1571" t="s">
        <v>9404</v>
      </c>
      <c r="M1571" t="s">
        <v>432</v>
      </c>
    </row>
    <row r="1572" spans="1:13" x14ac:dyDescent="0.15">
      <c r="A1572" t="s">
        <v>9406</v>
      </c>
      <c r="B1572" t="s">
        <v>14</v>
      </c>
      <c r="C1572" t="s">
        <v>118</v>
      </c>
      <c r="D1572" t="s">
        <v>4723</v>
      </c>
      <c r="E1572" t="s">
        <v>9407</v>
      </c>
      <c r="F1572" t="s">
        <v>9408</v>
      </c>
      <c r="G1572" t="s">
        <v>9409</v>
      </c>
      <c r="H1572" t="s">
        <v>9409</v>
      </c>
      <c r="I1572" t="s">
        <v>9410</v>
      </c>
      <c r="J1572" t="s">
        <v>156</v>
      </c>
      <c r="K1572" t="s">
        <v>4310</v>
      </c>
      <c r="L1572" t="s">
        <v>9410</v>
      </c>
      <c r="M1572" t="s">
        <v>31</v>
      </c>
    </row>
    <row r="1573" spans="1:13" x14ac:dyDescent="0.15">
      <c r="A1573" t="s">
        <v>9411</v>
      </c>
      <c r="B1573" t="s">
        <v>14</v>
      </c>
      <c r="C1573" t="s">
        <v>118</v>
      </c>
      <c r="D1573" t="s">
        <v>5212</v>
      </c>
      <c r="E1573" t="s">
        <v>9412</v>
      </c>
      <c r="F1573" t="s">
        <v>9413</v>
      </c>
      <c r="G1573" t="s">
        <v>9414</v>
      </c>
      <c r="H1573" t="s">
        <v>9414</v>
      </c>
      <c r="I1573" t="s">
        <v>1497</v>
      </c>
      <c r="J1573" t="s">
        <v>156</v>
      </c>
      <c r="K1573" t="s">
        <v>5205</v>
      </c>
      <c r="L1573" t="s">
        <v>1497</v>
      </c>
      <c r="M1573" t="s">
        <v>31</v>
      </c>
    </row>
    <row r="1574" spans="1:13" x14ac:dyDescent="0.15">
      <c r="A1574" t="s">
        <v>9415</v>
      </c>
      <c r="B1574" t="s">
        <v>14</v>
      </c>
      <c r="C1574" t="s">
        <v>118</v>
      </c>
      <c r="D1574" t="s">
        <v>5218</v>
      </c>
      <c r="E1574" t="s">
        <v>9416</v>
      </c>
      <c r="F1574" t="s">
        <v>9417</v>
      </c>
      <c r="G1574" t="s">
        <v>9418</v>
      </c>
      <c r="H1574" t="s">
        <v>9418</v>
      </c>
      <c r="I1574" t="s">
        <v>9419</v>
      </c>
      <c r="J1574" t="s">
        <v>156</v>
      </c>
      <c r="K1574" t="s">
        <v>1526</v>
      </c>
      <c r="L1574" t="s">
        <v>9419</v>
      </c>
      <c r="M1574" t="s">
        <v>31</v>
      </c>
    </row>
    <row r="1575" spans="1:13" x14ac:dyDescent="0.15">
      <c r="A1575" t="s">
        <v>9420</v>
      </c>
      <c r="B1575" t="s">
        <v>14</v>
      </c>
      <c r="C1575" t="s">
        <v>118</v>
      </c>
      <c r="D1575" t="s">
        <v>5224</v>
      </c>
      <c r="E1575" t="s">
        <v>9421</v>
      </c>
      <c r="F1575" t="s">
        <v>9422</v>
      </c>
      <c r="G1575" t="s">
        <v>9423</v>
      </c>
      <c r="H1575" t="s">
        <v>9423</v>
      </c>
      <c r="I1575" t="s">
        <v>9424</v>
      </c>
      <c r="J1575" t="s">
        <v>156</v>
      </c>
      <c r="K1575" t="s">
        <v>190</v>
      </c>
      <c r="L1575" t="s">
        <v>9424</v>
      </c>
      <c r="M1575" t="s">
        <v>31</v>
      </c>
    </row>
    <row r="1576" spans="1:13" x14ac:dyDescent="0.15">
      <c r="A1576" t="s">
        <v>9425</v>
      </c>
      <c r="B1576" t="s">
        <v>14</v>
      </c>
      <c r="C1576" t="s">
        <v>118</v>
      </c>
      <c r="D1576" t="s">
        <v>159</v>
      </c>
      <c r="E1576" t="s">
        <v>9426</v>
      </c>
      <c r="F1576" t="s">
        <v>9427</v>
      </c>
      <c r="G1576" t="s">
        <v>9428</v>
      </c>
      <c r="H1576" t="s">
        <v>9428</v>
      </c>
      <c r="I1576" t="s">
        <v>9429</v>
      </c>
      <c r="J1576" t="s">
        <v>156</v>
      </c>
      <c r="K1576" t="s">
        <v>1078</v>
      </c>
      <c r="L1576" t="s">
        <v>9429</v>
      </c>
      <c r="M1576" t="s">
        <v>183</v>
      </c>
    </row>
    <row r="1577" spans="1:13" x14ac:dyDescent="0.15">
      <c r="A1577" t="s">
        <v>9430</v>
      </c>
      <c r="B1577" t="s">
        <v>14</v>
      </c>
      <c r="C1577" t="s">
        <v>118</v>
      </c>
      <c r="D1577" t="s">
        <v>9431</v>
      </c>
      <c r="E1577" t="s">
        <v>9432</v>
      </c>
      <c r="F1577" t="s">
        <v>9433</v>
      </c>
      <c r="G1577" t="s">
        <v>3283</v>
      </c>
      <c r="H1577" t="s">
        <v>3283</v>
      </c>
      <c r="I1577" t="s">
        <v>9434</v>
      </c>
      <c r="J1577" t="s">
        <v>230</v>
      </c>
      <c r="K1577" t="s">
        <v>1541</v>
      </c>
      <c r="L1577" t="s">
        <v>9434</v>
      </c>
      <c r="M1577" t="s">
        <v>1015</v>
      </c>
    </row>
    <row r="1578" spans="1:13" x14ac:dyDescent="0.15">
      <c r="A1578" t="s">
        <v>9435</v>
      </c>
      <c r="B1578" t="s">
        <v>14</v>
      </c>
      <c r="C1578" t="s">
        <v>118</v>
      </c>
      <c r="D1578" t="s">
        <v>5167</v>
      </c>
      <c r="E1578" t="s">
        <v>9436</v>
      </c>
      <c r="F1578" t="s">
        <v>9437</v>
      </c>
      <c r="G1578" t="s">
        <v>8897</v>
      </c>
      <c r="H1578" t="s">
        <v>8897</v>
      </c>
      <c r="I1578" t="s">
        <v>9438</v>
      </c>
      <c r="J1578" t="s">
        <v>415</v>
      </c>
      <c r="K1578" t="s">
        <v>5171</v>
      </c>
      <c r="L1578" t="s">
        <v>9438</v>
      </c>
      <c r="M1578" t="s">
        <v>192</v>
      </c>
    </row>
    <row r="1579" spans="1:13" x14ac:dyDescent="0.15">
      <c r="A1579" t="s">
        <v>9439</v>
      </c>
      <c r="B1579" t="s">
        <v>14</v>
      </c>
      <c r="C1579" t="s">
        <v>118</v>
      </c>
      <c r="D1579" t="s">
        <v>9440</v>
      </c>
      <c r="E1579" t="s">
        <v>9441</v>
      </c>
      <c r="F1579" t="s">
        <v>9442</v>
      </c>
      <c r="G1579" t="s">
        <v>9443</v>
      </c>
      <c r="H1579" t="s">
        <v>9443</v>
      </c>
      <c r="I1579" t="s">
        <v>9444</v>
      </c>
      <c r="J1579" t="s">
        <v>214</v>
      </c>
      <c r="K1579" t="s">
        <v>387</v>
      </c>
      <c r="L1579" t="s">
        <v>9444</v>
      </c>
      <c r="M1579" t="s">
        <v>174</v>
      </c>
    </row>
    <row r="1580" spans="1:13" x14ac:dyDescent="0.15">
      <c r="A1580" t="s">
        <v>9445</v>
      </c>
      <c r="B1580" t="s">
        <v>14</v>
      </c>
      <c r="C1580" t="s">
        <v>118</v>
      </c>
      <c r="D1580" t="s">
        <v>9446</v>
      </c>
      <c r="E1580" t="s">
        <v>9447</v>
      </c>
      <c r="F1580" t="s">
        <v>9448</v>
      </c>
      <c r="G1580" t="s">
        <v>9449</v>
      </c>
      <c r="H1580" t="s">
        <v>9449</v>
      </c>
      <c r="I1580" t="s">
        <v>9450</v>
      </c>
      <c r="J1580" t="s">
        <v>481</v>
      </c>
      <c r="K1580" t="s">
        <v>2499</v>
      </c>
      <c r="L1580" t="s">
        <v>9450</v>
      </c>
      <c r="M1580" t="s">
        <v>41</v>
      </c>
    </row>
    <row r="1581" spans="1:13" x14ac:dyDescent="0.15">
      <c r="A1581" t="s">
        <v>9451</v>
      </c>
      <c r="B1581" t="s">
        <v>14</v>
      </c>
      <c r="C1581" t="s">
        <v>118</v>
      </c>
      <c r="D1581" t="s">
        <v>9452</v>
      </c>
      <c r="E1581" t="s">
        <v>9453</v>
      </c>
      <c r="F1581" t="s">
        <v>9454</v>
      </c>
      <c r="G1581" t="s">
        <v>9455</v>
      </c>
      <c r="H1581" t="s">
        <v>9455</v>
      </c>
      <c r="I1581" t="s">
        <v>9456</v>
      </c>
      <c r="J1581" t="s">
        <v>481</v>
      </c>
      <c r="K1581" t="s">
        <v>239</v>
      </c>
      <c r="L1581" t="s">
        <v>9456</v>
      </c>
      <c r="M1581" t="s">
        <v>80</v>
      </c>
    </row>
    <row r="1582" spans="1:13" x14ac:dyDescent="0.15">
      <c r="A1582" t="s">
        <v>9457</v>
      </c>
      <c r="B1582" t="s">
        <v>14</v>
      </c>
      <c r="C1582" t="s">
        <v>118</v>
      </c>
      <c r="D1582" t="s">
        <v>9458</v>
      </c>
      <c r="E1582" t="s">
        <v>9459</v>
      </c>
      <c r="F1582" t="s">
        <v>9460</v>
      </c>
      <c r="G1582" t="s">
        <v>9461</v>
      </c>
      <c r="H1582" t="s">
        <v>9461</v>
      </c>
      <c r="I1582" t="s">
        <v>9462</v>
      </c>
      <c r="J1582" t="s">
        <v>481</v>
      </c>
      <c r="K1582" t="s">
        <v>839</v>
      </c>
      <c r="L1582" t="s">
        <v>9462</v>
      </c>
      <c r="M1582" t="s">
        <v>41</v>
      </c>
    </row>
    <row r="1583" spans="1:13" x14ac:dyDescent="0.15">
      <c r="A1583" t="s">
        <v>9463</v>
      </c>
      <c r="B1583" t="s">
        <v>14</v>
      </c>
      <c r="C1583" t="s">
        <v>118</v>
      </c>
      <c r="D1583" t="s">
        <v>9464</v>
      </c>
      <c r="E1583" t="s">
        <v>9465</v>
      </c>
      <c r="F1583" t="s">
        <v>9466</v>
      </c>
      <c r="G1583" t="s">
        <v>9467</v>
      </c>
      <c r="H1583" t="s">
        <v>9467</v>
      </c>
      <c r="I1583" t="s">
        <v>9468</v>
      </c>
      <c r="J1583" t="s">
        <v>481</v>
      </c>
      <c r="K1583" t="s">
        <v>239</v>
      </c>
      <c r="L1583" t="s">
        <v>9468</v>
      </c>
      <c r="M1583" t="s">
        <v>126</v>
      </c>
    </row>
    <row r="1584" spans="1:13" x14ac:dyDescent="0.15">
      <c r="A1584" t="s">
        <v>9469</v>
      </c>
      <c r="B1584" t="s">
        <v>14</v>
      </c>
      <c r="C1584" t="s">
        <v>118</v>
      </c>
      <c r="D1584" t="s">
        <v>9470</v>
      </c>
      <c r="E1584" t="s">
        <v>9471</v>
      </c>
      <c r="F1584" t="s">
        <v>9472</v>
      </c>
      <c r="G1584" t="s">
        <v>9473</v>
      </c>
      <c r="H1584" t="s">
        <v>9473</v>
      </c>
      <c r="I1584" t="s">
        <v>1936</v>
      </c>
      <c r="J1584" t="s">
        <v>481</v>
      </c>
      <c r="K1584" t="s">
        <v>231</v>
      </c>
      <c r="L1584" t="s">
        <v>1936</v>
      </c>
      <c r="M1584" t="s">
        <v>104</v>
      </c>
    </row>
    <row r="1585" spans="1:13" x14ac:dyDescent="0.15">
      <c r="A1585" t="s">
        <v>9474</v>
      </c>
      <c r="B1585" t="s">
        <v>14</v>
      </c>
      <c r="C1585" t="s">
        <v>118</v>
      </c>
      <c r="D1585" t="s">
        <v>9475</v>
      </c>
      <c r="E1585" t="s">
        <v>9476</v>
      </c>
      <c r="F1585" t="s">
        <v>9477</v>
      </c>
      <c r="G1585" t="s">
        <v>429</v>
      </c>
      <c r="H1585" t="s">
        <v>429</v>
      </c>
      <c r="I1585" t="s">
        <v>9478</v>
      </c>
      <c r="J1585" t="s">
        <v>481</v>
      </c>
      <c r="K1585" t="s">
        <v>903</v>
      </c>
      <c r="L1585" t="s">
        <v>9478</v>
      </c>
      <c r="M1585" t="s">
        <v>41</v>
      </c>
    </row>
    <row r="1586" spans="1:13" x14ac:dyDescent="0.15">
      <c r="A1586" t="s">
        <v>9479</v>
      </c>
      <c r="B1586" t="s">
        <v>14</v>
      </c>
      <c r="C1586" t="s">
        <v>23</v>
      </c>
      <c r="D1586" t="s">
        <v>9480</v>
      </c>
      <c r="E1586" t="s">
        <v>9481</v>
      </c>
      <c r="F1586" t="s">
        <v>9482</v>
      </c>
      <c r="G1586" t="s">
        <v>6361</v>
      </c>
      <c r="H1586" t="s">
        <v>6361</v>
      </c>
      <c r="I1586" t="s">
        <v>2493</v>
      </c>
      <c r="J1586" t="s">
        <v>352</v>
      </c>
      <c r="K1586" t="s">
        <v>744</v>
      </c>
      <c r="L1586" t="s">
        <v>1625</v>
      </c>
      <c r="M1586" t="s">
        <v>80</v>
      </c>
    </row>
    <row r="1587" spans="1:13" x14ac:dyDescent="0.15">
      <c r="A1587" t="s">
        <v>9483</v>
      </c>
      <c r="B1587" t="s">
        <v>14</v>
      </c>
      <c r="C1587" t="s">
        <v>118</v>
      </c>
      <c r="D1587" t="s">
        <v>9484</v>
      </c>
      <c r="E1587" t="s">
        <v>9485</v>
      </c>
      <c r="F1587" t="s">
        <v>9486</v>
      </c>
      <c r="G1587" t="s">
        <v>9487</v>
      </c>
      <c r="H1587" t="s">
        <v>9487</v>
      </c>
      <c r="I1587" t="s">
        <v>9488</v>
      </c>
      <c r="J1587" t="s">
        <v>3118</v>
      </c>
      <c r="K1587" t="s">
        <v>540</v>
      </c>
      <c r="L1587" t="s">
        <v>9488</v>
      </c>
      <c r="M1587" t="s">
        <v>1015</v>
      </c>
    </row>
    <row r="1588" spans="1:13" x14ac:dyDescent="0.15">
      <c r="A1588" t="s">
        <v>9489</v>
      </c>
      <c r="B1588" t="s">
        <v>14</v>
      </c>
      <c r="C1588" t="s">
        <v>23</v>
      </c>
      <c r="D1588" t="s">
        <v>9490</v>
      </c>
      <c r="E1588" t="s">
        <v>9491</v>
      </c>
      <c r="F1588" t="s">
        <v>9492</v>
      </c>
      <c r="G1588" t="s">
        <v>9493</v>
      </c>
      <c r="H1588" t="s">
        <v>9493</v>
      </c>
      <c r="I1588" t="s">
        <v>9494</v>
      </c>
      <c r="J1588" t="s">
        <v>29</v>
      </c>
      <c r="K1588" t="s">
        <v>387</v>
      </c>
      <c r="L1588" t="s">
        <v>9494</v>
      </c>
      <c r="M1588" t="s">
        <v>104</v>
      </c>
    </row>
    <row r="1589" spans="1:13" x14ac:dyDescent="0.15">
      <c r="A1589" t="s">
        <v>9495</v>
      </c>
      <c r="B1589" t="s">
        <v>14</v>
      </c>
      <c r="C1589" t="s">
        <v>118</v>
      </c>
      <c r="D1589" t="s">
        <v>9496</v>
      </c>
      <c r="E1589" t="s">
        <v>9497</v>
      </c>
      <c r="F1589" t="s">
        <v>9498</v>
      </c>
      <c r="G1589" t="s">
        <v>7703</v>
      </c>
      <c r="H1589" t="s">
        <v>7703</v>
      </c>
      <c r="I1589" t="s">
        <v>9499</v>
      </c>
      <c r="J1589" t="s">
        <v>481</v>
      </c>
      <c r="K1589" t="s">
        <v>215</v>
      </c>
      <c r="L1589" t="s">
        <v>9499</v>
      </c>
      <c r="M1589" t="s">
        <v>126</v>
      </c>
    </row>
    <row r="1590" spans="1:13" x14ac:dyDescent="0.15">
      <c r="A1590" t="s">
        <v>9500</v>
      </c>
      <c r="B1590" t="s">
        <v>14</v>
      </c>
      <c r="C1590" t="s">
        <v>118</v>
      </c>
      <c r="D1590" t="s">
        <v>9501</v>
      </c>
      <c r="E1590" t="s">
        <v>9502</v>
      </c>
      <c r="F1590" t="s">
        <v>9503</v>
      </c>
      <c r="G1590" t="s">
        <v>9504</v>
      </c>
      <c r="H1590" t="s">
        <v>9504</v>
      </c>
      <c r="I1590" t="s">
        <v>9505</v>
      </c>
      <c r="J1590" t="s">
        <v>206</v>
      </c>
      <c r="K1590" t="s">
        <v>554</v>
      </c>
      <c r="L1590" t="s">
        <v>9505</v>
      </c>
      <c r="M1590" t="s">
        <v>174</v>
      </c>
    </row>
    <row r="1591" spans="1:13" x14ac:dyDescent="0.15">
      <c r="A1591" t="s">
        <v>9506</v>
      </c>
      <c r="B1591" t="s">
        <v>14</v>
      </c>
      <c r="C1591" t="s">
        <v>118</v>
      </c>
      <c r="D1591" t="s">
        <v>9507</v>
      </c>
      <c r="E1591" t="s">
        <v>9508</v>
      </c>
      <c r="F1591" t="s">
        <v>9503</v>
      </c>
      <c r="G1591" t="s">
        <v>9509</v>
      </c>
      <c r="H1591" t="s">
        <v>9509</v>
      </c>
      <c r="I1591" t="s">
        <v>9510</v>
      </c>
      <c r="J1591" t="s">
        <v>138</v>
      </c>
      <c r="K1591" t="s">
        <v>3607</v>
      </c>
      <c r="L1591" t="s">
        <v>9510</v>
      </c>
      <c r="M1591" t="s">
        <v>3009</v>
      </c>
    </row>
    <row r="1592" spans="1:13" x14ac:dyDescent="0.15">
      <c r="A1592" t="s">
        <v>9511</v>
      </c>
      <c r="B1592" t="s">
        <v>14</v>
      </c>
      <c r="C1592" t="s">
        <v>23</v>
      </c>
      <c r="D1592" t="s">
        <v>9512</v>
      </c>
      <c r="E1592" t="s">
        <v>9513</v>
      </c>
      <c r="F1592" t="s">
        <v>9514</v>
      </c>
      <c r="G1592" t="s">
        <v>9515</v>
      </c>
      <c r="H1592" t="s">
        <v>145</v>
      </c>
      <c r="I1592" t="s">
        <v>3773</v>
      </c>
      <c r="J1592" t="s">
        <v>344</v>
      </c>
      <c r="K1592" t="s">
        <v>1541</v>
      </c>
      <c r="L1592" t="s">
        <v>1575</v>
      </c>
      <c r="M1592" t="s">
        <v>104</v>
      </c>
    </row>
    <row r="1593" spans="1:13" x14ac:dyDescent="0.15">
      <c r="A1593" t="s">
        <v>9516</v>
      </c>
      <c r="B1593" t="s">
        <v>14</v>
      </c>
      <c r="C1593" t="s">
        <v>23</v>
      </c>
      <c r="D1593" t="s">
        <v>9517</v>
      </c>
      <c r="E1593" t="s">
        <v>9518</v>
      </c>
      <c r="F1593" t="s">
        <v>9519</v>
      </c>
      <c r="G1593" t="s">
        <v>9520</v>
      </c>
      <c r="H1593" t="s">
        <v>145</v>
      </c>
      <c r="I1593" t="s">
        <v>9521</v>
      </c>
      <c r="J1593" t="s">
        <v>344</v>
      </c>
      <c r="K1593" t="s">
        <v>64</v>
      </c>
      <c r="L1593" t="s">
        <v>6906</v>
      </c>
      <c r="M1593" t="s">
        <v>104</v>
      </c>
    </row>
    <row r="1594" spans="1:13" x14ac:dyDescent="0.15">
      <c r="A1594" t="s">
        <v>9522</v>
      </c>
      <c r="B1594" t="s">
        <v>14</v>
      </c>
      <c r="C1594" t="s">
        <v>23</v>
      </c>
      <c r="D1594" t="s">
        <v>9523</v>
      </c>
      <c r="E1594" t="s">
        <v>9524</v>
      </c>
      <c r="F1594" t="s">
        <v>9525</v>
      </c>
      <c r="H1594" t="s">
        <v>1209</v>
      </c>
      <c r="I1594" t="s">
        <v>9526</v>
      </c>
      <c r="J1594" t="s">
        <v>394</v>
      </c>
      <c r="K1594" t="s">
        <v>1541</v>
      </c>
      <c r="L1594" t="s">
        <v>2537</v>
      </c>
      <c r="M1594" t="s">
        <v>41</v>
      </c>
    </row>
    <row r="1595" spans="1:13" x14ac:dyDescent="0.15">
      <c r="A1595" t="s">
        <v>9527</v>
      </c>
      <c r="B1595" t="s">
        <v>14</v>
      </c>
      <c r="C1595" t="s">
        <v>23</v>
      </c>
      <c r="D1595" t="s">
        <v>9528</v>
      </c>
      <c r="E1595" t="s">
        <v>9529</v>
      </c>
      <c r="F1595" t="s">
        <v>9530</v>
      </c>
      <c r="G1595" t="s">
        <v>8401</v>
      </c>
      <c r="H1595" t="s">
        <v>8401</v>
      </c>
      <c r="I1595" t="s">
        <v>9531</v>
      </c>
      <c r="J1595" t="s">
        <v>9532</v>
      </c>
      <c r="K1595" t="s">
        <v>4310</v>
      </c>
      <c r="L1595" t="s">
        <v>9531</v>
      </c>
      <c r="M1595" t="s">
        <v>192</v>
      </c>
    </row>
    <row r="1596" spans="1:13" x14ac:dyDescent="0.15">
      <c r="A1596" t="s">
        <v>9533</v>
      </c>
      <c r="B1596" t="s">
        <v>14</v>
      </c>
      <c r="C1596" t="s">
        <v>118</v>
      </c>
      <c r="D1596" t="s">
        <v>9534</v>
      </c>
      <c r="E1596" t="s">
        <v>9535</v>
      </c>
      <c r="F1596" t="s">
        <v>9536</v>
      </c>
      <c r="G1596" t="s">
        <v>4802</v>
      </c>
      <c r="H1596" t="s">
        <v>4802</v>
      </c>
      <c r="I1596" t="s">
        <v>445</v>
      </c>
      <c r="J1596" t="s">
        <v>352</v>
      </c>
      <c r="K1596" t="s">
        <v>4827</v>
      </c>
      <c r="L1596" t="s">
        <v>445</v>
      </c>
      <c r="M1596" t="s">
        <v>4293</v>
      </c>
    </row>
    <row r="1597" spans="1:13" x14ac:dyDescent="0.15">
      <c r="A1597" t="s">
        <v>9537</v>
      </c>
      <c r="B1597" t="s">
        <v>14</v>
      </c>
      <c r="C1597" t="s">
        <v>23</v>
      </c>
      <c r="D1597" t="s">
        <v>9538</v>
      </c>
      <c r="E1597" t="s">
        <v>9539</v>
      </c>
      <c r="F1597" t="s">
        <v>9540</v>
      </c>
      <c r="G1597" t="s">
        <v>9541</v>
      </c>
      <c r="H1597" t="s">
        <v>9541</v>
      </c>
      <c r="I1597" t="s">
        <v>9542</v>
      </c>
      <c r="J1597" t="s">
        <v>246</v>
      </c>
      <c r="K1597" t="s">
        <v>387</v>
      </c>
      <c r="L1597" t="s">
        <v>9542</v>
      </c>
      <c r="M1597" t="s">
        <v>104</v>
      </c>
    </row>
    <row r="1598" spans="1:13" x14ac:dyDescent="0.15">
      <c r="A1598" t="s">
        <v>9543</v>
      </c>
      <c r="B1598" t="s">
        <v>14</v>
      </c>
      <c r="C1598" t="s">
        <v>118</v>
      </c>
      <c r="D1598" t="s">
        <v>9544</v>
      </c>
      <c r="E1598" t="s">
        <v>9545</v>
      </c>
      <c r="F1598" t="s">
        <v>9546</v>
      </c>
      <c r="G1598" t="s">
        <v>9547</v>
      </c>
      <c r="H1598" t="s">
        <v>9547</v>
      </c>
      <c r="I1598" t="s">
        <v>212</v>
      </c>
      <c r="J1598" t="s">
        <v>415</v>
      </c>
      <c r="K1598" t="s">
        <v>567</v>
      </c>
      <c r="L1598" t="s">
        <v>212</v>
      </c>
      <c r="M1598" t="s">
        <v>1015</v>
      </c>
    </row>
    <row r="1599" spans="1:13" x14ac:dyDescent="0.15">
      <c r="A1599" t="s">
        <v>9548</v>
      </c>
      <c r="B1599" t="s">
        <v>14</v>
      </c>
      <c r="C1599" t="s">
        <v>118</v>
      </c>
      <c r="D1599" t="s">
        <v>9549</v>
      </c>
      <c r="E1599" t="s">
        <v>9550</v>
      </c>
      <c r="F1599" t="s">
        <v>9551</v>
      </c>
      <c r="H1599" t="s">
        <v>3534</v>
      </c>
      <c r="I1599" t="s">
        <v>9552</v>
      </c>
      <c r="J1599" t="s">
        <v>3761</v>
      </c>
      <c r="K1599" t="s">
        <v>173</v>
      </c>
      <c r="L1599" t="s">
        <v>9553</v>
      </c>
      <c r="M1599" t="s">
        <v>21</v>
      </c>
    </row>
    <row r="1600" spans="1:13" x14ac:dyDescent="0.15">
      <c r="A1600" t="s">
        <v>9554</v>
      </c>
      <c r="B1600" t="s">
        <v>14</v>
      </c>
      <c r="C1600" t="s">
        <v>118</v>
      </c>
      <c r="D1600" t="s">
        <v>9555</v>
      </c>
      <c r="E1600" t="s">
        <v>9556</v>
      </c>
      <c r="F1600" t="s">
        <v>9557</v>
      </c>
      <c r="G1600" t="s">
        <v>9558</v>
      </c>
      <c r="H1600" t="s">
        <v>145</v>
      </c>
      <c r="I1600" t="s">
        <v>9559</v>
      </c>
      <c r="J1600" t="s">
        <v>147</v>
      </c>
      <c r="K1600" t="s">
        <v>9560</v>
      </c>
      <c r="L1600" t="s">
        <v>9561</v>
      </c>
      <c r="M1600" t="s">
        <v>432</v>
      </c>
    </row>
    <row r="1601" spans="1:13" x14ac:dyDescent="0.15">
      <c r="A1601" t="s">
        <v>9562</v>
      </c>
      <c r="B1601" t="s">
        <v>14</v>
      </c>
      <c r="C1601" t="s">
        <v>118</v>
      </c>
      <c r="D1601" t="s">
        <v>9563</v>
      </c>
      <c r="E1601" t="s">
        <v>9564</v>
      </c>
      <c r="F1601" t="s">
        <v>9565</v>
      </c>
      <c r="G1601" t="s">
        <v>9566</v>
      </c>
      <c r="H1601" t="s">
        <v>9566</v>
      </c>
      <c r="I1601" t="s">
        <v>9567</v>
      </c>
      <c r="J1601" t="s">
        <v>297</v>
      </c>
      <c r="K1601" t="s">
        <v>633</v>
      </c>
      <c r="L1601" t="s">
        <v>9567</v>
      </c>
      <c r="M1601" t="s">
        <v>9568</v>
      </c>
    </row>
    <row r="1602" spans="1:13" x14ac:dyDescent="0.15">
      <c r="A1602" t="s">
        <v>9569</v>
      </c>
      <c r="B1602" t="s">
        <v>14</v>
      </c>
      <c r="C1602" t="s">
        <v>118</v>
      </c>
      <c r="D1602" t="s">
        <v>9570</v>
      </c>
      <c r="E1602" t="s">
        <v>9571</v>
      </c>
      <c r="F1602" t="s">
        <v>9572</v>
      </c>
      <c r="G1602" t="s">
        <v>9573</v>
      </c>
      <c r="H1602" t="s">
        <v>9573</v>
      </c>
      <c r="I1602" t="s">
        <v>9039</v>
      </c>
      <c r="J1602" t="s">
        <v>297</v>
      </c>
      <c r="K1602" t="s">
        <v>1384</v>
      </c>
      <c r="L1602" t="s">
        <v>9039</v>
      </c>
      <c r="M1602" t="s">
        <v>9574</v>
      </c>
    </row>
    <row r="1603" spans="1:13" x14ac:dyDescent="0.15">
      <c r="A1603" t="s">
        <v>9575</v>
      </c>
      <c r="B1603" t="s">
        <v>14</v>
      </c>
      <c r="C1603" t="s">
        <v>23</v>
      </c>
      <c r="D1603" t="s">
        <v>9576</v>
      </c>
      <c r="E1603" t="s">
        <v>9577</v>
      </c>
      <c r="F1603" t="s">
        <v>9578</v>
      </c>
      <c r="G1603" t="s">
        <v>8968</v>
      </c>
      <c r="H1603" t="s">
        <v>8968</v>
      </c>
      <c r="I1603" t="s">
        <v>9579</v>
      </c>
      <c r="J1603" t="s">
        <v>206</v>
      </c>
      <c r="K1603" t="s">
        <v>574</v>
      </c>
      <c r="L1603" t="s">
        <v>9579</v>
      </c>
      <c r="M1603" t="s">
        <v>216</v>
      </c>
    </row>
    <row r="1604" spans="1:13" x14ac:dyDescent="0.15">
      <c r="A1604" t="s">
        <v>9580</v>
      </c>
      <c r="B1604" t="s">
        <v>14</v>
      </c>
      <c r="C1604" t="s">
        <v>23</v>
      </c>
      <c r="D1604" t="s">
        <v>24</v>
      </c>
      <c r="E1604" t="s">
        <v>9581</v>
      </c>
      <c r="F1604" t="s">
        <v>9582</v>
      </c>
      <c r="G1604" t="s">
        <v>9583</v>
      </c>
      <c r="H1604" t="s">
        <v>9583</v>
      </c>
      <c r="I1604" t="s">
        <v>9584</v>
      </c>
      <c r="J1604" t="s">
        <v>29</v>
      </c>
      <c r="K1604" t="s">
        <v>5205</v>
      </c>
      <c r="L1604" t="s">
        <v>9584</v>
      </c>
      <c r="M1604" t="s">
        <v>41</v>
      </c>
    </row>
    <row r="1605" spans="1:13" x14ac:dyDescent="0.15">
      <c r="A1605" t="s">
        <v>9585</v>
      </c>
      <c r="B1605" t="s">
        <v>14</v>
      </c>
      <c r="C1605" t="s">
        <v>118</v>
      </c>
      <c r="D1605" t="s">
        <v>9586</v>
      </c>
      <c r="E1605" t="s">
        <v>9587</v>
      </c>
      <c r="F1605" t="s">
        <v>9588</v>
      </c>
      <c r="G1605" t="s">
        <v>9589</v>
      </c>
      <c r="H1605" t="s">
        <v>9589</v>
      </c>
      <c r="I1605" t="s">
        <v>7303</v>
      </c>
      <c r="J1605" t="s">
        <v>138</v>
      </c>
      <c r="K1605" t="s">
        <v>360</v>
      </c>
      <c r="L1605" t="s">
        <v>7303</v>
      </c>
      <c r="M1605" t="s">
        <v>232</v>
      </c>
    </row>
    <row r="1606" spans="1:13" x14ac:dyDescent="0.15">
      <c r="A1606" t="s">
        <v>9590</v>
      </c>
      <c r="B1606" t="s">
        <v>14</v>
      </c>
      <c r="C1606" t="s">
        <v>118</v>
      </c>
      <c r="D1606" t="s">
        <v>9591</v>
      </c>
      <c r="E1606" t="s">
        <v>9592</v>
      </c>
      <c r="F1606" t="s">
        <v>9593</v>
      </c>
      <c r="G1606" t="s">
        <v>9594</v>
      </c>
      <c r="H1606" t="s">
        <v>9594</v>
      </c>
      <c r="I1606" t="s">
        <v>9595</v>
      </c>
      <c r="J1606" t="s">
        <v>473</v>
      </c>
      <c r="K1606" t="s">
        <v>554</v>
      </c>
      <c r="L1606" t="s">
        <v>9595</v>
      </c>
      <c r="M1606" t="s">
        <v>165</v>
      </c>
    </row>
    <row r="1607" spans="1:13" x14ac:dyDescent="0.15">
      <c r="A1607" t="s">
        <v>9596</v>
      </c>
      <c r="B1607" t="s">
        <v>14</v>
      </c>
      <c r="C1607" t="s">
        <v>118</v>
      </c>
      <c r="D1607" t="s">
        <v>9597</v>
      </c>
      <c r="E1607" t="s">
        <v>9598</v>
      </c>
      <c r="F1607" t="s">
        <v>9599</v>
      </c>
      <c r="G1607" t="s">
        <v>9600</v>
      </c>
      <c r="H1607" t="s">
        <v>9600</v>
      </c>
      <c r="I1607" t="s">
        <v>9601</v>
      </c>
      <c r="J1607" t="s">
        <v>473</v>
      </c>
      <c r="K1607" t="s">
        <v>694</v>
      </c>
      <c r="L1607" t="s">
        <v>9601</v>
      </c>
      <c r="M1607" t="s">
        <v>361</v>
      </c>
    </row>
    <row r="1608" spans="1:13" x14ac:dyDescent="0.15">
      <c r="A1608" t="s">
        <v>9602</v>
      </c>
      <c r="B1608" t="s">
        <v>14</v>
      </c>
      <c r="C1608" t="s">
        <v>23</v>
      </c>
      <c r="D1608" t="s">
        <v>9603</v>
      </c>
      <c r="E1608" t="s">
        <v>9604</v>
      </c>
      <c r="F1608" t="s">
        <v>9605</v>
      </c>
      <c r="G1608" t="s">
        <v>9606</v>
      </c>
      <c r="H1608" t="s">
        <v>9606</v>
      </c>
      <c r="I1608" t="s">
        <v>4075</v>
      </c>
      <c r="J1608" t="s">
        <v>230</v>
      </c>
      <c r="K1608" t="s">
        <v>263</v>
      </c>
      <c r="L1608" t="s">
        <v>4075</v>
      </c>
      <c r="M1608" t="s">
        <v>104</v>
      </c>
    </row>
    <row r="1609" spans="1:13" x14ac:dyDescent="0.15">
      <c r="A1609" t="s">
        <v>9607</v>
      </c>
      <c r="B1609" t="s">
        <v>14</v>
      </c>
      <c r="C1609" t="s">
        <v>118</v>
      </c>
      <c r="D1609" t="s">
        <v>9608</v>
      </c>
      <c r="E1609" t="s">
        <v>9609</v>
      </c>
      <c r="F1609" t="s">
        <v>9610</v>
      </c>
      <c r="G1609" t="s">
        <v>4766</v>
      </c>
      <c r="H1609" t="s">
        <v>4766</v>
      </c>
      <c r="I1609" t="s">
        <v>9611</v>
      </c>
      <c r="J1609" t="s">
        <v>1717</v>
      </c>
      <c r="K1609" t="s">
        <v>256</v>
      </c>
      <c r="L1609" t="s">
        <v>9611</v>
      </c>
      <c r="M1609" t="s">
        <v>216</v>
      </c>
    </row>
    <row r="1610" spans="1:13" x14ac:dyDescent="0.15">
      <c r="A1610" t="s">
        <v>9612</v>
      </c>
      <c r="B1610" t="s">
        <v>14</v>
      </c>
      <c r="C1610" t="s">
        <v>23</v>
      </c>
      <c r="D1610" t="s">
        <v>9613</v>
      </c>
      <c r="E1610" t="s">
        <v>9614</v>
      </c>
      <c r="F1610" t="s">
        <v>9615</v>
      </c>
      <c r="G1610" t="s">
        <v>9616</v>
      </c>
      <c r="H1610" t="s">
        <v>9616</v>
      </c>
      <c r="I1610" t="s">
        <v>9617</v>
      </c>
      <c r="J1610" t="s">
        <v>533</v>
      </c>
      <c r="K1610" t="s">
        <v>215</v>
      </c>
      <c r="L1610" t="s">
        <v>9618</v>
      </c>
      <c r="M1610" t="s">
        <v>104</v>
      </c>
    </row>
    <row r="1611" spans="1:13" x14ac:dyDescent="0.15">
      <c r="A1611" t="s">
        <v>9619</v>
      </c>
      <c r="B1611" t="s">
        <v>14</v>
      </c>
      <c r="C1611" t="s">
        <v>23</v>
      </c>
      <c r="D1611" t="s">
        <v>9620</v>
      </c>
      <c r="E1611" t="s">
        <v>9621</v>
      </c>
      <c r="F1611" t="s">
        <v>9622</v>
      </c>
      <c r="G1611" t="s">
        <v>6318</v>
      </c>
      <c r="H1611" t="s">
        <v>6318</v>
      </c>
      <c r="I1611" t="s">
        <v>9623</v>
      </c>
      <c r="J1611" t="s">
        <v>297</v>
      </c>
      <c r="K1611" t="s">
        <v>903</v>
      </c>
      <c r="L1611" t="s">
        <v>9623</v>
      </c>
      <c r="M1611" t="s">
        <v>216</v>
      </c>
    </row>
    <row r="1612" spans="1:13" x14ac:dyDescent="0.15">
      <c r="A1612" t="s">
        <v>9624</v>
      </c>
      <c r="B1612" t="s">
        <v>14</v>
      </c>
      <c r="C1612" t="s">
        <v>23</v>
      </c>
      <c r="D1612" t="s">
        <v>9625</v>
      </c>
      <c r="E1612" t="s">
        <v>9626</v>
      </c>
      <c r="F1612" t="s">
        <v>9627</v>
      </c>
      <c r="G1612" t="s">
        <v>9628</v>
      </c>
      <c r="H1612" t="s">
        <v>9628</v>
      </c>
      <c r="I1612" t="s">
        <v>9629</v>
      </c>
      <c r="J1612" t="s">
        <v>124</v>
      </c>
      <c r="K1612" t="s">
        <v>723</v>
      </c>
      <c r="L1612" t="s">
        <v>9630</v>
      </c>
      <c r="M1612" t="s">
        <v>80</v>
      </c>
    </row>
    <row r="1613" spans="1:13" x14ac:dyDescent="0.15">
      <c r="A1613" t="s">
        <v>9631</v>
      </c>
      <c r="B1613" t="s">
        <v>14</v>
      </c>
      <c r="C1613" t="s">
        <v>23</v>
      </c>
      <c r="D1613" t="s">
        <v>9632</v>
      </c>
      <c r="E1613" t="s">
        <v>9633</v>
      </c>
      <c r="F1613" t="s">
        <v>9634</v>
      </c>
      <c r="G1613" t="s">
        <v>9635</v>
      </c>
      <c r="H1613" t="s">
        <v>9635</v>
      </c>
      <c r="I1613" t="s">
        <v>8178</v>
      </c>
      <c r="J1613" t="s">
        <v>124</v>
      </c>
      <c r="K1613" t="s">
        <v>173</v>
      </c>
      <c r="L1613" t="s">
        <v>8178</v>
      </c>
      <c r="M1613" t="s">
        <v>80</v>
      </c>
    </row>
    <row r="1614" spans="1:13" x14ac:dyDescent="0.15">
      <c r="A1614" t="s">
        <v>9636</v>
      </c>
      <c r="B1614" t="s">
        <v>14</v>
      </c>
      <c r="C1614" t="s">
        <v>118</v>
      </c>
      <c r="D1614" t="s">
        <v>9637</v>
      </c>
      <c r="E1614" t="s">
        <v>9638</v>
      </c>
      <c r="F1614" t="s">
        <v>9639</v>
      </c>
      <c r="G1614" t="s">
        <v>9640</v>
      </c>
      <c r="H1614" t="s">
        <v>9640</v>
      </c>
      <c r="I1614" t="s">
        <v>9641</v>
      </c>
      <c r="J1614" t="s">
        <v>214</v>
      </c>
      <c r="K1614" t="s">
        <v>1896</v>
      </c>
      <c r="L1614" t="s">
        <v>9641</v>
      </c>
      <c r="M1614" t="s">
        <v>880</v>
      </c>
    </row>
    <row r="1615" spans="1:13" x14ac:dyDescent="0.15">
      <c r="A1615" t="s">
        <v>9642</v>
      </c>
      <c r="B1615" t="s">
        <v>14</v>
      </c>
      <c r="C1615" t="s">
        <v>118</v>
      </c>
      <c r="D1615" t="s">
        <v>9643</v>
      </c>
      <c r="E1615" t="s">
        <v>9644</v>
      </c>
      <c r="F1615" t="s">
        <v>9645</v>
      </c>
      <c r="G1615" t="s">
        <v>9646</v>
      </c>
      <c r="H1615" t="s">
        <v>9646</v>
      </c>
      <c r="I1615" t="s">
        <v>9647</v>
      </c>
      <c r="J1615" t="s">
        <v>214</v>
      </c>
      <c r="K1615" t="s">
        <v>239</v>
      </c>
      <c r="L1615" t="s">
        <v>9647</v>
      </c>
      <c r="M1615" t="s">
        <v>313</v>
      </c>
    </row>
    <row r="1616" spans="1:13" x14ac:dyDescent="0.15">
      <c r="A1616" t="s">
        <v>9648</v>
      </c>
      <c r="B1616" t="s">
        <v>14</v>
      </c>
      <c r="C1616" t="s">
        <v>118</v>
      </c>
      <c r="D1616" t="s">
        <v>9649</v>
      </c>
      <c r="E1616" t="s">
        <v>9650</v>
      </c>
      <c r="F1616" t="s">
        <v>9651</v>
      </c>
      <c r="G1616" t="s">
        <v>5330</v>
      </c>
      <c r="H1616" t="s">
        <v>5330</v>
      </c>
      <c r="I1616" t="s">
        <v>9652</v>
      </c>
      <c r="J1616" t="s">
        <v>214</v>
      </c>
      <c r="K1616" t="s">
        <v>3500</v>
      </c>
      <c r="L1616" t="s">
        <v>9652</v>
      </c>
      <c r="M1616" t="s">
        <v>279</v>
      </c>
    </row>
    <row r="1617" spans="1:13" x14ac:dyDescent="0.15">
      <c r="A1617" t="s">
        <v>9653</v>
      </c>
      <c r="B1617" t="s">
        <v>14</v>
      </c>
      <c r="C1617" t="s">
        <v>23</v>
      </c>
      <c r="D1617" t="s">
        <v>9654</v>
      </c>
      <c r="E1617" t="s">
        <v>9655</v>
      </c>
      <c r="F1617" t="s">
        <v>9656</v>
      </c>
      <c r="G1617" t="s">
        <v>9657</v>
      </c>
      <c r="H1617" t="s">
        <v>9657</v>
      </c>
      <c r="I1617" t="s">
        <v>9658</v>
      </c>
      <c r="J1617" t="s">
        <v>110</v>
      </c>
      <c r="K1617" t="s">
        <v>1743</v>
      </c>
      <c r="L1617" t="s">
        <v>9659</v>
      </c>
      <c r="M1617" t="s">
        <v>216</v>
      </c>
    </row>
    <row r="1618" spans="1:13" x14ac:dyDescent="0.15">
      <c r="A1618" t="s">
        <v>9660</v>
      </c>
      <c r="B1618" t="s">
        <v>14</v>
      </c>
      <c r="C1618" t="s">
        <v>23</v>
      </c>
      <c r="D1618" t="s">
        <v>9661</v>
      </c>
      <c r="E1618" t="s">
        <v>9662</v>
      </c>
      <c r="F1618" t="s">
        <v>9663</v>
      </c>
      <c r="G1618" t="s">
        <v>9664</v>
      </c>
      <c r="H1618" t="s">
        <v>9664</v>
      </c>
      <c r="I1618" t="s">
        <v>9665</v>
      </c>
      <c r="J1618" t="s">
        <v>514</v>
      </c>
      <c r="K1618" t="s">
        <v>360</v>
      </c>
      <c r="L1618" t="s">
        <v>9665</v>
      </c>
      <c r="M1618" t="s">
        <v>80</v>
      </c>
    </row>
    <row r="1619" spans="1:13" x14ac:dyDescent="0.15">
      <c r="A1619" t="s">
        <v>9666</v>
      </c>
      <c r="B1619" t="s">
        <v>14</v>
      </c>
      <c r="C1619" t="s">
        <v>118</v>
      </c>
      <c r="D1619" t="s">
        <v>9667</v>
      </c>
      <c r="E1619" t="s">
        <v>9668</v>
      </c>
      <c r="F1619" t="s">
        <v>9669</v>
      </c>
      <c r="G1619" t="s">
        <v>9670</v>
      </c>
      <c r="H1619" t="s">
        <v>9670</v>
      </c>
      <c r="I1619" t="s">
        <v>9671</v>
      </c>
      <c r="J1619" t="s">
        <v>514</v>
      </c>
      <c r="K1619" t="s">
        <v>1045</v>
      </c>
      <c r="L1619" t="s">
        <v>9671</v>
      </c>
      <c r="M1619" t="s">
        <v>1583</v>
      </c>
    </row>
    <row r="1620" spans="1:13" x14ac:dyDescent="0.15">
      <c r="A1620" t="s">
        <v>9672</v>
      </c>
      <c r="B1620" t="s">
        <v>14</v>
      </c>
      <c r="C1620" t="s">
        <v>23</v>
      </c>
      <c r="D1620" t="s">
        <v>9673</v>
      </c>
      <c r="E1620" t="s">
        <v>9674</v>
      </c>
      <c r="F1620" t="s">
        <v>9675</v>
      </c>
      <c r="G1620" t="s">
        <v>9676</v>
      </c>
      <c r="H1620" t="s">
        <v>9676</v>
      </c>
      <c r="I1620" t="s">
        <v>9677</v>
      </c>
      <c r="J1620" t="s">
        <v>20</v>
      </c>
      <c r="K1620" t="s">
        <v>786</v>
      </c>
      <c r="L1620" t="s">
        <v>9677</v>
      </c>
      <c r="M1620" t="s">
        <v>104</v>
      </c>
    </row>
    <row r="1621" spans="1:13" x14ac:dyDescent="0.15">
      <c r="A1621" t="s">
        <v>9678</v>
      </c>
      <c r="B1621" t="s">
        <v>14</v>
      </c>
      <c r="C1621" t="s">
        <v>23</v>
      </c>
      <c r="D1621" t="s">
        <v>9679</v>
      </c>
      <c r="E1621" t="s">
        <v>9680</v>
      </c>
      <c r="F1621" t="s">
        <v>9681</v>
      </c>
      <c r="G1621" t="s">
        <v>9682</v>
      </c>
      <c r="H1621" t="s">
        <v>9682</v>
      </c>
      <c r="I1621" t="s">
        <v>9683</v>
      </c>
      <c r="J1621" t="s">
        <v>20</v>
      </c>
      <c r="K1621" t="s">
        <v>1030</v>
      </c>
      <c r="L1621" t="s">
        <v>9684</v>
      </c>
      <c r="M1621" t="s">
        <v>41</v>
      </c>
    </row>
    <row r="1622" spans="1:13" x14ac:dyDescent="0.15">
      <c r="A1622" t="s">
        <v>9685</v>
      </c>
      <c r="B1622" t="s">
        <v>14</v>
      </c>
      <c r="C1622" t="s">
        <v>23</v>
      </c>
      <c r="D1622" t="s">
        <v>9686</v>
      </c>
      <c r="E1622" t="s">
        <v>9687</v>
      </c>
      <c r="F1622" t="s">
        <v>9688</v>
      </c>
      <c r="G1622" t="s">
        <v>1686</v>
      </c>
      <c r="H1622" t="s">
        <v>1686</v>
      </c>
      <c r="I1622" t="s">
        <v>9689</v>
      </c>
      <c r="J1622" t="s">
        <v>1194</v>
      </c>
      <c r="K1622" t="s">
        <v>4797</v>
      </c>
      <c r="L1622" t="s">
        <v>49</v>
      </c>
      <c r="M1622" t="s">
        <v>41</v>
      </c>
    </row>
    <row r="1623" spans="1:13" x14ac:dyDescent="0.15">
      <c r="A1623" t="s">
        <v>9690</v>
      </c>
      <c r="B1623" t="s">
        <v>14</v>
      </c>
      <c r="C1623" t="s">
        <v>23</v>
      </c>
      <c r="D1623" t="s">
        <v>5112</v>
      </c>
      <c r="E1623" t="s">
        <v>9691</v>
      </c>
      <c r="F1623" t="s">
        <v>9692</v>
      </c>
      <c r="G1623" t="s">
        <v>9693</v>
      </c>
      <c r="H1623" t="s">
        <v>9693</v>
      </c>
      <c r="I1623" t="s">
        <v>9694</v>
      </c>
      <c r="J1623" t="s">
        <v>521</v>
      </c>
      <c r="K1623" t="s">
        <v>3500</v>
      </c>
      <c r="L1623" t="s">
        <v>9694</v>
      </c>
      <c r="M1623" t="s">
        <v>80</v>
      </c>
    </row>
    <row r="1624" spans="1:13" x14ac:dyDescent="0.15">
      <c r="A1624" t="s">
        <v>9695</v>
      </c>
      <c r="B1624" t="s">
        <v>14</v>
      </c>
      <c r="C1624" t="s">
        <v>23</v>
      </c>
      <c r="D1624" t="s">
        <v>9696</v>
      </c>
      <c r="E1624" t="s">
        <v>9697</v>
      </c>
      <c r="F1624" t="s">
        <v>9698</v>
      </c>
      <c r="G1624" t="s">
        <v>3449</v>
      </c>
      <c r="H1624" t="s">
        <v>3449</v>
      </c>
      <c r="I1624" t="s">
        <v>9699</v>
      </c>
      <c r="J1624" t="s">
        <v>95</v>
      </c>
      <c r="K1624" t="s">
        <v>48</v>
      </c>
      <c r="L1624" t="s">
        <v>3700</v>
      </c>
      <c r="M1624" t="s">
        <v>104</v>
      </c>
    </row>
    <row r="1625" spans="1:13" x14ac:dyDescent="0.15">
      <c r="A1625" t="s">
        <v>9700</v>
      </c>
      <c r="B1625" t="s">
        <v>14</v>
      </c>
      <c r="C1625" t="s">
        <v>118</v>
      </c>
      <c r="D1625" t="s">
        <v>9701</v>
      </c>
      <c r="E1625" t="s">
        <v>9702</v>
      </c>
      <c r="F1625" t="s">
        <v>9703</v>
      </c>
      <c r="G1625" t="s">
        <v>9704</v>
      </c>
      <c r="H1625" t="s">
        <v>9704</v>
      </c>
      <c r="I1625" t="s">
        <v>729</v>
      </c>
      <c r="J1625" t="s">
        <v>124</v>
      </c>
      <c r="K1625" t="s">
        <v>1846</v>
      </c>
      <c r="L1625" t="s">
        <v>729</v>
      </c>
      <c r="M1625" t="s">
        <v>248</v>
      </c>
    </row>
    <row r="1626" spans="1:13" x14ac:dyDescent="0.15">
      <c r="A1626" t="s">
        <v>9705</v>
      </c>
      <c r="B1626" t="s">
        <v>14</v>
      </c>
      <c r="C1626" t="s">
        <v>118</v>
      </c>
      <c r="D1626" t="s">
        <v>484</v>
      </c>
      <c r="E1626" t="s">
        <v>9706</v>
      </c>
      <c r="F1626" t="s">
        <v>9707</v>
      </c>
      <c r="G1626" t="s">
        <v>1095</v>
      </c>
      <c r="H1626" t="s">
        <v>1095</v>
      </c>
      <c r="I1626" t="s">
        <v>9708</v>
      </c>
      <c r="J1626" t="s">
        <v>124</v>
      </c>
      <c r="K1626" t="s">
        <v>30</v>
      </c>
      <c r="L1626" t="s">
        <v>9708</v>
      </c>
      <c r="M1626" t="s">
        <v>353</v>
      </c>
    </row>
    <row r="1627" spans="1:13" x14ac:dyDescent="0.15">
      <c r="A1627" t="s">
        <v>9709</v>
      </c>
      <c r="B1627" t="s">
        <v>14</v>
      </c>
      <c r="C1627" t="s">
        <v>118</v>
      </c>
      <c r="D1627" t="s">
        <v>9710</v>
      </c>
      <c r="E1627" t="s">
        <v>9711</v>
      </c>
      <c r="F1627" t="s">
        <v>9712</v>
      </c>
      <c r="G1627" t="s">
        <v>5245</v>
      </c>
      <c r="H1627" t="s">
        <v>5245</v>
      </c>
      <c r="I1627" t="s">
        <v>9713</v>
      </c>
      <c r="J1627" t="s">
        <v>124</v>
      </c>
      <c r="K1627" t="s">
        <v>4310</v>
      </c>
      <c r="L1627" t="s">
        <v>9713</v>
      </c>
      <c r="M1627" t="s">
        <v>353</v>
      </c>
    </row>
    <row r="1628" spans="1:13" x14ac:dyDescent="0.15">
      <c r="A1628" t="s">
        <v>9714</v>
      </c>
      <c r="B1628" t="s">
        <v>14</v>
      </c>
      <c r="C1628" t="s">
        <v>118</v>
      </c>
      <c r="D1628" t="s">
        <v>490</v>
      </c>
      <c r="E1628" t="s">
        <v>9715</v>
      </c>
      <c r="F1628" t="s">
        <v>9716</v>
      </c>
      <c r="G1628" t="s">
        <v>9717</v>
      </c>
      <c r="H1628" t="s">
        <v>9717</v>
      </c>
      <c r="I1628" t="s">
        <v>9718</v>
      </c>
      <c r="J1628" t="s">
        <v>124</v>
      </c>
      <c r="K1628" t="s">
        <v>424</v>
      </c>
      <c r="L1628" t="s">
        <v>9718</v>
      </c>
      <c r="M1628" t="s">
        <v>353</v>
      </c>
    </row>
    <row r="1629" spans="1:13" x14ac:dyDescent="0.15">
      <c r="A1629" t="s">
        <v>9719</v>
      </c>
      <c r="B1629" t="s">
        <v>14</v>
      </c>
      <c r="C1629" t="s">
        <v>23</v>
      </c>
      <c r="D1629" t="s">
        <v>9720</v>
      </c>
      <c r="E1629" t="s">
        <v>9721</v>
      </c>
      <c r="F1629" t="s">
        <v>9722</v>
      </c>
      <c r="H1629" t="s">
        <v>3655</v>
      </c>
      <c r="I1629" t="s">
        <v>5097</v>
      </c>
      <c r="J1629" t="s">
        <v>1724</v>
      </c>
      <c r="K1629" t="s">
        <v>811</v>
      </c>
      <c r="L1629" t="s">
        <v>5097</v>
      </c>
      <c r="M1629" t="s">
        <v>80</v>
      </c>
    </row>
    <row r="1630" spans="1:13" x14ac:dyDescent="0.15">
      <c r="A1630" t="s">
        <v>9723</v>
      </c>
      <c r="B1630" t="s">
        <v>14</v>
      </c>
      <c r="C1630" t="s">
        <v>118</v>
      </c>
      <c r="D1630" t="s">
        <v>9724</v>
      </c>
      <c r="E1630" t="s">
        <v>9725</v>
      </c>
      <c r="F1630" t="s">
        <v>9726</v>
      </c>
      <c r="G1630" t="s">
        <v>9727</v>
      </c>
      <c r="H1630" t="s">
        <v>9727</v>
      </c>
      <c r="I1630" t="s">
        <v>9728</v>
      </c>
      <c r="J1630" t="s">
        <v>9729</v>
      </c>
      <c r="K1630" t="s">
        <v>231</v>
      </c>
      <c r="L1630" t="s">
        <v>9728</v>
      </c>
      <c r="M1630" t="s">
        <v>1015</v>
      </c>
    </row>
    <row r="1631" spans="1:13" x14ac:dyDescent="0.15">
      <c r="A1631" t="s">
        <v>9730</v>
      </c>
      <c r="B1631" t="s">
        <v>14</v>
      </c>
      <c r="C1631" t="s">
        <v>23</v>
      </c>
      <c r="D1631" t="s">
        <v>9731</v>
      </c>
      <c r="E1631" t="s">
        <v>9732</v>
      </c>
      <c r="F1631" t="s">
        <v>9733</v>
      </c>
      <c r="G1631" t="s">
        <v>7084</v>
      </c>
      <c r="H1631" t="s">
        <v>7084</v>
      </c>
      <c r="I1631" t="s">
        <v>1704</v>
      </c>
      <c r="J1631" t="s">
        <v>230</v>
      </c>
      <c r="K1631" t="s">
        <v>772</v>
      </c>
      <c r="L1631" t="s">
        <v>1704</v>
      </c>
      <c r="M1631" t="s">
        <v>41</v>
      </c>
    </row>
    <row r="1632" spans="1:13" x14ac:dyDescent="0.15">
      <c r="A1632" t="s">
        <v>9734</v>
      </c>
      <c r="B1632" t="s">
        <v>14</v>
      </c>
      <c r="C1632" t="s">
        <v>23</v>
      </c>
      <c r="D1632" t="s">
        <v>9735</v>
      </c>
      <c r="E1632" t="s">
        <v>9736</v>
      </c>
      <c r="F1632" t="s">
        <v>9737</v>
      </c>
      <c r="G1632" t="s">
        <v>9738</v>
      </c>
      <c r="H1632" t="s">
        <v>9738</v>
      </c>
      <c r="I1632" t="s">
        <v>9739</v>
      </c>
      <c r="J1632" t="s">
        <v>352</v>
      </c>
      <c r="K1632" t="s">
        <v>744</v>
      </c>
      <c r="L1632" t="s">
        <v>3657</v>
      </c>
      <c r="M1632" t="s">
        <v>80</v>
      </c>
    </row>
    <row r="1633" spans="1:13" x14ac:dyDescent="0.15">
      <c r="A1633" t="s">
        <v>9740</v>
      </c>
      <c r="B1633" t="s">
        <v>14</v>
      </c>
      <c r="C1633" t="s">
        <v>23</v>
      </c>
      <c r="D1633" t="s">
        <v>9741</v>
      </c>
      <c r="E1633" t="s">
        <v>9742</v>
      </c>
      <c r="F1633" t="s">
        <v>9743</v>
      </c>
      <c r="G1633" t="s">
        <v>9744</v>
      </c>
      <c r="H1633" t="s">
        <v>9744</v>
      </c>
      <c r="I1633" t="s">
        <v>9745</v>
      </c>
      <c r="J1633" t="s">
        <v>206</v>
      </c>
      <c r="K1633" t="s">
        <v>1800</v>
      </c>
      <c r="L1633" t="s">
        <v>9745</v>
      </c>
      <c r="M1633" t="s">
        <v>104</v>
      </c>
    </row>
    <row r="1634" spans="1:13" x14ac:dyDescent="0.15">
      <c r="A1634" t="s">
        <v>9746</v>
      </c>
      <c r="B1634" t="s">
        <v>14</v>
      </c>
      <c r="C1634" t="s">
        <v>23</v>
      </c>
      <c r="D1634" t="s">
        <v>9747</v>
      </c>
      <c r="E1634" t="s">
        <v>9748</v>
      </c>
      <c r="F1634" t="s">
        <v>9749</v>
      </c>
      <c r="G1634" t="s">
        <v>9750</v>
      </c>
      <c r="H1634" t="s">
        <v>9750</v>
      </c>
      <c r="I1634" t="s">
        <v>1831</v>
      </c>
      <c r="J1634" t="s">
        <v>352</v>
      </c>
      <c r="K1634" t="s">
        <v>540</v>
      </c>
      <c r="L1634" t="s">
        <v>1831</v>
      </c>
      <c r="M1634" t="s">
        <v>104</v>
      </c>
    </row>
    <row r="1635" spans="1:13" x14ac:dyDescent="0.15">
      <c r="A1635" t="s">
        <v>9751</v>
      </c>
      <c r="B1635" t="s">
        <v>14</v>
      </c>
      <c r="C1635" t="s">
        <v>23</v>
      </c>
      <c r="D1635" t="s">
        <v>9752</v>
      </c>
      <c r="E1635" t="s">
        <v>9753</v>
      </c>
      <c r="F1635" t="s">
        <v>9754</v>
      </c>
      <c r="G1635" t="s">
        <v>9755</v>
      </c>
      <c r="H1635" t="s">
        <v>9755</v>
      </c>
      <c r="I1635" t="s">
        <v>3111</v>
      </c>
      <c r="J1635" t="s">
        <v>352</v>
      </c>
      <c r="K1635" t="s">
        <v>4158</v>
      </c>
      <c r="L1635" t="s">
        <v>3039</v>
      </c>
      <c r="M1635" t="s">
        <v>41</v>
      </c>
    </row>
    <row r="1636" spans="1:13" x14ac:dyDescent="0.15">
      <c r="A1636" t="s">
        <v>9756</v>
      </c>
      <c r="B1636" t="s">
        <v>14</v>
      </c>
      <c r="C1636" t="s">
        <v>118</v>
      </c>
      <c r="D1636" t="s">
        <v>9757</v>
      </c>
      <c r="E1636" t="s">
        <v>9758</v>
      </c>
      <c r="F1636" t="s">
        <v>9759</v>
      </c>
      <c r="G1636" t="s">
        <v>9760</v>
      </c>
      <c r="H1636" t="s">
        <v>9760</v>
      </c>
      <c r="I1636" t="s">
        <v>9761</v>
      </c>
      <c r="J1636" t="s">
        <v>2698</v>
      </c>
      <c r="K1636" t="s">
        <v>239</v>
      </c>
      <c r="L1636" t="s">
        <v>9761</v>
      </c>
      <c r="M1636" t="s">
        <v>183</v>
      </c>
    </row>
    <row r="1637" spans="1:13" x14ac:dyDescent="0.15">
      <c r="A1637" t="s">
        <v>9762</v>
      </c>
      <c r="B1637" t="s">
        <v>14</v>
      </c>
      <c r="C1637" t="s">
        <v>23</v>
      </c>
      <c r="D1637" t="s">
        <v>9763</v>
      </c>
      <c r="E1637" t="s">
        <v>9764</v>
      </c>
      <c r="F1637" t="s">
        <v>9765</v>
      </c>
      <c r="G1637" t="s">
        <v>9766</v>
      </c>
      <c r="H1637" t="s">
        <v>9766</v>
      </c>
      <c r="I1637" t="s">
        <v>9767</v>
      </c>
      <c r="J1637" t="s">
        <v>4049</v>
      </c>
      <c r="K1637" t="s">
        <v>3578</v>
      </c>
      <c r="L1637" t="s">
        <v>9768</v>
      </c>
      <c r="M1637" t="s">
        <v>80</v>
      </c>
    </row>
    <row r="1638" spans="1:13" x14ac:dyDescent="0.15">
      <c r="A1638" t="s">
        <v>9769</v>
      </c>
      <c r="B1638" t="s">
        <v>14</v>
      </c>
      <c r="C1638" t="s">
        <v>23</v>
      </c>
      <c r="D1638" t="s">
        <v>9770</v>
      </c>
      <c r="E1638" t="s">
        <v>9771</v>
      </c>
      <c r="F1638" t="s">
        <v>9772</v>
      </c>
      <c r="G1638" t="s">
        <v>7064</v>
      </c>
      <c r="H1638" t="s">
        <v>7064</v>
      </c>
      <c r="I1638" t="s">
        <v>9773</v>
      </c>
      <c r="J1638" t="s">
        <v>297</v>
      </c>
      <c r="K1638" t="s">
        <v>8784</v>
      </c>
      <c r="L1638" t="s">
        <v>9774</v>
      </c>
      <c r="M1638" t="s">
        <v>41</v>
      </c>
    </row>
    <row r="1639" spans="1:13" x14ac:dyDescent="0.15">
      <c r="A1639" t="s">
        <v>9775</v>
      </c>
      <c r="B1639" t="s">
        <v>14</v>
      </c>
      <c r="C1639" t="s">
        <v>118</v>
      </c>
      <c r="D1639" t="s">
        <v>9776</v>
      </c>
      <c r="E1639" t="s">
        <v>9777</v>
      </c>
      <c r="F1639" t="s">
        <v>9778</v>
      </c>
      <c r="G1639" t="s">
        <v>9779</v>
      </c>
      <c r="H1639" t="s">
        <v>9779</v>
      </c>
      <c r="I1639" t="s">
        <v>9780</v>
      </c>
      <c r="J1639" t="s">
        <v>533</v>
      </c>
      <c r="K1639" t="s">
        <v>1236</v>
      </c>
      <c r="L1639" t="s">
        <v>9781</v>
      </c>
      <c r="M1639" t="s">
        <v>183</v>
      </c>
    </row>
    <row r="1640" spans="1:13" x14ac:dyDescent="0.15">
      <c r="A1640" t="s">
        <v>9782</v>
      </c>
      <c r="B1640" t="s">
        <v>14</v>
      </c>
      <c r="C1640" t="s">
        <v>194</v>
      </c>
      <c r="D1640" t="s">
        <v>9783</v>
      </c>
      <c r="E1640" t="s">
        <v>9784</v>
      </c>
      <c r="F1640" t="s">
        <v>9785</v>
      </c>
      <c r="G1640" t="s">
        <v>9786</v>
      </c>
      <c r="H1640" t="s">
        <v>9786</v>
      </c>
      <c r="J1640" t="s">
        <v>481</v>
      </c>
      <c r="M1640" t="s">
        <v>139</v>
      </c>
    </row>
    <row r="1641" spans="1:13" x14ac:dyDescent="0.15">
      <c r="A1641" t="s">
        <v>9787</v>
      </c>
      <c r="B1641" t="s">
        <v>14</v>
      </c>
      <c r="C1641" t="s">
        <v>194</v>
      </c>
      <c r="D1641" t="s">
        <v>9788</v>
      </c>
      <c r="E1641" t="s">
        <v>9789</v>
      </c>
      <c r="F1641" t="s">
        <v>9790</v>
      </c>
      <c r="G1641" t="s">
        <v>9791</v>
      </c>
      <c r="H1641" t="s">
        <v>9791</v>
      </c>
      <c r="J1641" t="s">
        <v>481</v>
      </c>
      <c r="M1641" t="s">
        <v>139</v>
      </c>
    </row>
    <row r="1642" spans="1:13" x14ac:dyDescent="0.15">
      <c r="A1642" t="s">
        <v>9792</v>
      </c>
      <c r="B1642" t="s">
        <v>14</v>
      </c>
      <c r="C1642" t="s">
        <v>118</v>
      </c>
      <c r="D1642" t="s">
        <v>9793</v>
      </c>
      <c r="E1642" t="s">
        <v>9794</v>
      </c>
      <c r="F1642" t="s">
        <v>9795</v>
      </c>
      <c r="G1642" t="s">
        <v>9796</v>
      </c>
      <c r="H1642" t="s">
        <v>9796</v>
      </c>
      <c r="I1642" t="s">
        <v>9797</v>
      </c>
      <c r="J1642" t="s">
        <v>230</v>
      </c>
      <c r="K1642" t="s">
        <v>30</v>
      </c>
      <c r="L1642" t="s">
        <v>9797</v>
      </c>
      <c r="M1642" t="s">
        <v>3852</v>
      </c>
    </row>
    <row r="1643" spans="1:13" x14ac:dyDescent="0.15">
      <c r="A1643" t="s">
        <v>9798</v>
      </c>
      <c r="B1643" t="s">
        <v>14</v>
      </c>
      <c r="C1643" t="s">
        <v>118</v>
      </c>
      <c r="D1643" t="s">
        <v>9799</v>
      </c>
      <c r="E1643" t="s">
        <v>9800</v>
      </c>
      <c r="F1643" t="s">
        <v>9801</v>
      </c>
      <c r="G1643" t="s">
        <v>9802</v>
      </c>
      <c r="H1643" t="s">
        <v>9802</v>
      </c>
      <c r="I1643" t="s">
        <v>9803</v>
      </c>
      <c r="J1643" t="s">
        <v>255</v>
      </c>
      <c r="K1643" t="s">
        <v>256</v>
      </c>
      <c r="L1643" t="s">
        <v>9803</v>
      </c>
      <c r="M1643" t="s">
        <v>3238</v>
      </c>
    </row>
    <row r="1644" spans="1:13" x14ac:dyDescent="0.15">
      <c r="A1644" t="s">
        <v>9804</v>
      </c>
      <c r="B1644" t="s">
        <v>14</v>
      </c>
      <c r="C1644" t="s">
        <v>23</v>
      </c>
      <c r="D1644" t="s">
        <v>9805</v>
      </c>
      <c r="E1644" t="s">
        <v>9806</v>
      </c>
      <c r="F1644" t="s">
        <v>9807</v>
      </c>
      <c r="G1644" t="s">
        <v>9808</v>
      </c>
      <c r="H1644" t="s">
        <v>9808</v>
      </c>
      <c r="I1644" t="s">
        <v>9809</v>
      </c>
      <c r="J1644" t="s">
        <v>95</v>
      </c>
      <c r="K1644" t="s">
        <v>87</v>
      </c>
      <c r="L1644" t="s">
        <v>7916</v>
      </c>
      <c r="M1644" t="s">
        <v>80</v>
      </c>
    </row>
    <row r="1645" spans="1:13" x14ac:dyDescent="0.15">
      <c r="A1645" t="s">
        <v>9810</v>
      </c>
      <c r="B1645" t="s">
        <v>14</v>
      </c>
      <c r="C1645" t="s">
        <v>118</v>
      </c>
      <c r="D1645" t="s">
        <v>9811</v>
      </c>
      <c r="E1645" t="s">
        <v>9812</v>
      </c>
      <c r="F1645" t="s">
        <v>9813</v>
      </c>
      <c r="G1645" t="s">
        <v>9814</v>
      </c>
      <c r="H1645" t="s">
        <v>9814</v>
      </c>
      <c r="I1645" t="s">
        <v>9815</v>
      </c>
      <c r="J1645" t="s">
        <v>533</v>
      </c>
      <c r="K1645" t="s">
        <v>2375</v>
      </c>
      <c r="L1645" t="s">
        <v>9815</v>
      </c>
      <c r="M1645" t="s">
        <v>773</v>
      </c>
    </row>
    <row r="1646" spans="1:13" x14ac:dyDescent="0.15">
      <c r="A1646" t="s">
        <v>9816</v>
      </c>
      <c r="B1646" t="s">
        <v>14</v>
      </c>
      <c r="C1646" t="s">
        <v>118</v>
      </c>
      <c r="D1646" t="s">
        <v>9817</v>
      </c>
      <c r="E1646" t="s">
        <v>9818</v>
      </c>
      <c r="F1646" t="s">
        <v>9819</v>
      </c>
      <c r="G1646" t="s">
        <v>9820</v>
      </c>
      <c r="H1646" t="s">
        <v>9820</v>
      </c>
      <c r="I1646" t="s">
        <v>9821</v>
      </c>
      <c r="J1646" t="s">
        <v>181</v>
      </c>
      <c r="K1646" t="s">
        <v>2037</v>
      </c>
      <c r="L1646" t="s">
        <v>9821</v>
      </c>
      <c r="M1646" t="s">
        <v>1015</v>
      </c>
    </row>
    <row r="1647" spans="1:13" x14ac:dyDescent="0.15">
      <c r="A1647" t="s">
        <v>9822</v>
      </c>
      <c r="B1647" t="s">
        <v>14</v>
      </c>
      <c r="C1647" t="s">
        <v>118</v>
      </c>
      <c r="D1647" t="s">
        <v>9823</v>
      </c>
      <c r="E1647" t="s">
        <v>9824</v>
      </c>
      <c r="F1647" t="s">
        <v>9825</v>
      </c>
      <c r="G1647" t="s">
        <v>9826</v>
      </c>
      <c r="H1647" t="s">
        <v>9826</v>
      </c>
      <c r="I1647" t="s">
        <v>9827</v>
      </c>
      <c r="J1647" t="s">
        <v>181</v>
      </c>
      <c r="K1647" t="s">
        <v>5415</v>
      </c>
      <c r="L1647" t="s">
        <v>6341</v>
      </c>
      <c r="M1647" t="s">
        <v>21</v>
      </c>
    </row>
    <row r="1648" spans="1:13" x14ac:dyDescent="0.15">
      <c r="A1648" t="s">
        <v>9828</v>
      </c>
      <c r="B1648" t="s">
        <v>14</v>
      </c>
      <c r="C1648" t="s">
        <v>118</v>
      </c>
      <c r="D1648" t="s">
        <v>5230</v>
      </c>
      <c r="E1648" t="s">
        <v>9829</v>
      </c>
      <c r="F1648" t="s">
        <v>9830</v>
      </c>
      <c r="H1648" t="s">
        <v>145</v>
      </c>
      <c r="I1648" t="s">
        <v>145</v>
      </c>
      <c r="J1648" t="s">
        <v>5232</v>
      </c>
      <c r="K1648" t="s">
        <v>1632</v>
      </c>
      <c r="L1648" t="s">
        <v>2449</v>
      </c>
      <c r="M1648" t="s">
        <v>21</v>
      </c>
    </row>
    <row r="1649" spans="1:13" x14ac:dyDescent="0.15">
      <c r="A1649" t="s">
        <v>9831</v>
      </c>
      <c r="B1649" t="s">
        <v>14</v>
      </c>
      <c r="C1649" t="s">
        <v>118</v>
      </c>
      <c r="D1649" t="s">
        <v>9832</v>
      </c>
      <c r="E1649" t="s">
        <v>9833</v>
      </c>
      <c r="F1649" t="s">
        <v>9834</v>
      </c>
      <c r="G1649" t="s">
        <v>430</v>
      </c>
      <c r="H1649" t="s">
        <v>430</v>
      </c>
      <c r="I1649" t="s">
        <v>9835</v>
      </c>
      <c r="J1649" t="s">
        <v>1945</v>
      </c>
      <c r="K1649" t="s">
        <v>231</v>
      </c>
      <c r="L1649" t="s">
        <v>9835</v>
      </c>
      <c r="M1649" t="s">
        <v>192</v>
      </c>
    </row>
    <row r="1650" spans="1:13" x14ac:dyDescent="0.15">
      <c r="A1650" t="s">
        <v>9836</v>
      </c>
      <c r="B1650" t="s">
        <v>14</v>
      </c>
      <c r="C1650" t="s">
        <v>118</v>
      </c>
      <c r="D1650" t="s">
        <v>9837</v>
      </c>
      <c r="E1650" t="s">
        <v>9838</v>
      </c>
      <c r="F1650" t="s">
        <v>9839</v>
      </c>
      <c r="G1650" t="s">
        <v>430</v>
      </c>
      <c r="H1650" t="s">
        <v>430</v>
      </c>
      <c r="I1650" t="s">
        <v>9835</v>
      </c>
      <c r="J1650" t="s">
        <v>1945</v>
      </c>
      <c r="K1650" t="s">
        <v>271</v>
      </c>
      <c r="L1650" t="s">
        <v>9835</v>
      </c>
      <c r="M1650" t="s">
        <v>192</v>
      </c>
    </row>
    <row r="1651" spans="1:13" x14ac:dyDescent="0.15">
      <c r="A1651" t="s">
        <v>9840</v>
      </c>
      <c r="B1651" t="s">
        <v>14</v>
      </c>
      <c r="C1651" t="s">
        <v>118</v>
      </c>
      <c r="D1651" t="s">
        <v>9841</v>
      </c>
      <c r="E1651" t="s">
        <v>9842</v>
      </c>
      <c r="F1651" t="s">
        <v>9843</v>
      </c>
      <c r="H1651" t="s">
        <v>9844</v>
      </c>
      <c r="I1651" t="s">
        <v>9845</v>
      </c>
      <c r="J1651" t="s">
        <v>626</v>
      </c>
      <c r="K1651" t="s">
        <v>608</v>
      </c>
      <c r="L1651" t="s">
        <v>5139</v>
      </c>
      <c r="M1651" t="s">
        <v>139</v>
      </c>
    </row>
    <row r="1652" spans="1:13" x14ac:dyDescent="0.15">
      <c r="A1652" t="s">
        <v>9846</v>
      </c>
      <c r="B1652" t="s">
        <v>14</v>
      </c>
      <c r="C1652" t="s">
        <v>118</v>
      </c>
      <c r="D1652" t="s">
        <v>9847</v>
      </c>
      <c r="E1652" t="s">
        <v>9848</v>
      </c>
      <c r="F1652" t="s">
        <v>9849</v>
      </c>
      <c r="G1652" t="s">
        <v>9850</v>
      </c>
      <c r="H1652" t="s">
        <v>9850</v>
      </c>
      <c r="I1652" t="s">
        <v>9851</v>
      </c>
      <c r="J1652" t="s">
        <v>1423</v>
      </c>
      <c r="K1652" t="s">
        <v>312</v>
      </c>
      <c r="L1652" t="s">
        <v>9851</v>
      </c>
      <c r="M1652" t="s">
        <v>174</v>
      </c>
    </row>
    <row r="1653" spans="1:13" x14ac:dyDescent="0.15">
      <c r="A1653" t="s">
        <v>9852</v>
      </c>
      <c r="B1653" t="s">
        <v>14</v>
      </c>
      <c r="C1653" t="s">
        <v>15</v>
      </c>
      <c r="D1653" t="s">
        <v>9853</v>
      </c>
      <c r="E1653" t="s">
        <v>9854</v>
      </c>
      <c r="F1653" t="s">
        <v>9855</v>
      </c>
      <c r="G1653" t="s">
        <v>9856</v>
      </c>
      <c r="H1653" t="s">
        <v>9856</v>
      </c>
      <c r="J1653" t="s">
        <v>138</v>
      </c>
      <c r="M1653" t="s">
        <v>139</v>
      </c>
    </row>
    <row r="1654" spans="1:13" x14ac:dyDescent="0.15">
      <c r="A1654" t="s">
        <v>9857</v>
      </c>
      <c r="B1654" t="s">
        <v>14</v>
      </c>
      <c r="C1654" t="s">
        <v>118</v>
      </c>
      <c r="D1654" t="s">
        <v>9858</v>
      </c>
      <c r="E1654" t="s">
        <v>9859</v>
      </c>
      <c r="F1654" t="s">
        <v>9860</v>
      </c>
      <c r="G1654" t="s">
        <v>9861</v>
      </c>
      <c r="H1654" t="s">
        <v>9861</v>
      </c>
      <c r="I1654" t="s">
        <v>7531</v>
      </c>
      <c r="J1654" t="s">
        <v>2698</v>
      </c>
      <c r="K1654" t="s">
        <v>30</v>
      </c>
      <c r="L1654" t="s">
        <v>7531</v>
      </c>
      <c r="M1654" t="s">
        <v>80</v>
      </c>
    </row>
    <row r="1655" spans="1:13" x14ac:dyDescent="0.15">
      <c r="A1655" t="s">
        <v>9862</v>
      </c>
      <c r="B1655" t="s">
        <v>14</v>
      </c>
      <c r="C1655" t="s">
        <v>118</v>
      </c>
      <c r="D1655" t="s">
        <v>119</v>
      </c>
      <c r="E1655" t="s">
        <v>9863</v>
      </c>
      <c r="F1655" t="s">
        <v>9864</v>
      </c>
      <c r="G1655" t="s">
        <v>9865</v>
      </c>
      <c r="H1655" t="s">
        <v>9865</v>
      </c>
      <c r="I1655" t="s">
        <v>9866</v>
      </c>
      <c r="J1655" t="s">
        <v>124</v>
      </c>
      <c r="K1655" t="s">
        <v>5171</v>
      </c>
      <c r="L1655" t="s">
        <v>9866</v>
      </c>
      <c r="M1655" t="s">
        <v>192</v>
      </c>
    </row>
    <row r="1656" spans="1:13" x14ac:dyDescent="0.15">
      <c r="A1656" t="s">
        <v>9867</v>
      </c>
      <c r="B1656" t="s">
        <v>14</v>
      </c>
      <c r="C1656" t="s">
        <v>118</v>
      </c>
      <c r="D1656" t="s">
        <v>9868</v>
      </c>
      <c r="E1656" t="s">
        <v>9869</v>
      </c>
      <c r="F1656" t="s">
        <v>9870</v>
      </c>
      <c r="G1656" t="s">
        <v>9871</v>
      </c>
      <c r="H1656" t="s">
        <v>9871</v>
      </c>
      <c r="I1656" t="s">
        <v>9872</v>
      </c>
      <c r="J1656" t="s">
        <v>2698</v>
      </c>
      <c r="K1656" t="s">
        <v>873</v>
      </c>
      <c r="L1656" t="s">
        <v>9872</v>
      </c>
      <c r="M1656" t="s">
        <v>104</v>
      </c>
    </row>
    <row r="1657" spans="1:13" x14ac:dyDescent="0.15">
      <c r="A1657" t="s">
        <v>9873</v>
      </c>
      <c r="B1657" t="s">
        <v>14</v>
      </c>
      <c r="C1657" t="s">
        <v>118</v>
      </c>
      <c r="D1657" t="s">
        <v>3113</v>
      </c>
      <c r="E1657" t="s">
        <v>9874</v>
      </c>
      <c r="F1657" t="s">
        <v>9875</v>
      </c>
      <c r="H1657" t="s">
        <v>9876</v>
      </c>
      <c r="I1657" t="s">
        <v>9877</v>
      </c>
      <c r="J1657" t="s">
        <v>3118</v>
      </c>
      <c r="K1657" t="s">
        <v>215</v>
      </c>
      <c r="L1657" t="s">
        <v>1255</v>
      </c>
      <c r="M1657" t="s">
        <v>183</v>
      </c>
    </row>
    <row r="1658" spans="1:13" x14ac:dyDescent="0.15">
      <c r="A1658" t="s">
        <v>9878</v>
      </c>
      <c r="B1658" t="s">
        <v>14</v>
      </c>
      <c r="C1658" t="s">
        <v>23</v>
      </c>
      <c r="D1658" t="s">
        <v>9879</v>
      </c>
      <c r="E1658" t="s">
        <v>9880</v>
      </c>
      <c r="F1658" t="s">
        <v>9881</v>
      </c>
      <c r="H1658" t="s">
        <v>145</v>
      </c>
      <c r="I1658" t="s">
        <v>5110</v>
      </c>
      <c r="J1658" t="s">
        <v>626</v>
      </c>
      <c r="K1658" t="s">
        <v>5186</v>
      </c>
      <c r="L1658" t="s">
        <v>7149</v>
      </c>
      <c r="M1658" t="s">
        <v>104</v>
      </c>
    </row>
    <row r="1659" spans="1:13" x14ac:dyDescent="0.15">
      <c r="A1659" t="s">
        <v>9882</v>
      </c>
      <c r="B1659" t="s">
        <v>14</v>
      </c>
      <c r="C1659" t="s">
        <v>118</v>
      </c>
      <c r="D1659" t="s">
        <v>9883</v>
      </c>
      <c r="E1659" t="s">
        <v>9884</v>
      </c>
      <c r="F1659" t="s">
        <v>9885</v>
      </c>
      <c r="G1659" t="s">
        <v>9886</v>
      </c>
      <c r="H1659" t="s">
        <v>9886</v>
      </c>
      <c r="I1659" t="s">
        <v>9887</v>
      </c>
      <c r="J1659" t="s">
        <v>124</v>
      </c>
      <c r="K1659" t="s">
        <v>731</v>
      </c>
      <c r="L1659" t="s">
        <v>9887</v>
      </c>
      <c r="M1659" t="s">
        <v>2847</v>
      </c>
    </row>
    <row r="1660" spans="1:13" x14ac:dyDescent="0.15">
      <c r="A1660" t="s">
        <v>9888</v>
      </c>
      <c r="B1660" t="s">
        <v>14</v>
      </c>
      <c r="C1660" t="s">
        <v>118</v>
      </c>
      <c r="D1660" t="s">
        <v>9889</v>
      </c>
      <c r="E1660" t="s">
        <v>9890</v>
      </c>
      <c r="F1660" t="s">
        <v>9891</v>
      </c>
      <c r="G1660" t="s">
        <v>9892</v>
      </c>
      <c r="H1660" t="s">
        <v>9892</v>
      </c>
      <c r="I1660" t="s">
        <v>9893</v>
      </c>
      <c r="J1660" t="s">
        <v>124</v>
      </c>
      <c r="K1660" t="s">
        <v>9894</v>
      </c>
      <c r="L1660" t="s">
        <v>9893</v>
      </c>
      <c r="M1660" t="s">
        <v>3382</v>
      </c>
    </row>
    <row r="1661" spans="1:13" x14ac:dyDescent="0.15">
      <c r="A1661" t="s">
        <v>9895</v>
      </c>
      <c r="B1661" t="s">
        <v>14</v>
      </c>
      <c r="C1661" t="s">
        <v>118</v>
      </c>
      <c r="D1661" t="s">
        <v>9896</v>
      </c>
      <c r="E1661" t="s">
        <v>9897</v>
      </c>
      <c r="F1661" t="s">
        <v>9898</v>
      </c>
      <c r="G1661" t="s">
        <v>9899</v>
      </c>
      <c r="H1661" t="s">
        <v>9899</v>
      </c>
      <c r="I1661" t="s">
        <v>9900</v>
      </c>
      <c r="J1661" t="s">
        <v>124</v>
      </c>
      <c r="K1661" t="s">
        <v>2499</v>
      </c>
      <c r="L1661" t="s">
        <v>9900</v>
      </c>
      <c r="M1661" t="s">
        <v>4293</v>
      </c>
    </row>
    <row r="1662" spans="1:13" x14ac:dyDescent="0.15">
      <c r="A1662" t="s">
        <v>9901</v>
      </c>
      <c r="B1662" t="s">
        <v>14</v>
      </c>
      <c r="C1662" t="s">
        <v>118</v>
      </c>
      <c r="D1662" t="s">
        <v>185</v>
      </c>
      <c r="E1662" t="s">
        <v>9902</v>
      </c>
      <c r="F1662" t="s">
        <v>9903</v>
      </c>
      <c r="G1662" t="s">
        <v>6130</v>
      </c>
      <c r="H1662" t="s">
        <v>6130</v>
      </c>
      <c r="I1662" t="s">
        <v>9904</v>
      </c>
      <c r="J1662" t="s">
        <v>20</v>
      </c>
      <c r="K1662" t="s">
        <v>125</v>
      </c>
      <c r="L1662" t="s">
        <v>9904</v>
      </c>
      <c r="M1662" t="s">
        <v>165</v>
      </c>
    </row>
    <row r="1663" spans="1:13" x14ac:dyDescent="0.15">
      <c r="A1663" t="s">
        <v>9905</v>
      </c>
      <c r="B1663" t="s">
        <v>14</v>
      </c>
      <c r="C1663" t="s">
        <v>23</v>
      </c>
      <c r="D1663" t="s">
        <v>9906</v>
      </c>
      <c r="E1663" t="s">
        <v>9907</v>
      </c>
      <c r="F1663" t="s">
        <v>9908</v>
      </c>
      <c r="G1663" t="s">
        <v>9909</v>
      </c>
      <c r="H1663" t="s">
        <v>9909</v>
      </c>
      <c r="I1663" t="s">
        <v>9910</v>
      </c>
      <c r="J1663" t="s">
        <v>415</v>
      </c>
      <c r="K1663" t="s">
        <v>1352</v>
      </c>
      <c r="L1663" t="s">
        <v>9911</v>
      </c>
      <c r="M1663" t="s">
        <v>41</v>
      </c>
    </row>
    <row r="1664" spans="1:13" x14ac:dyDescent="0.15">
      <c r="A1664" t="s">
        <v>9912</v>
      </c>
      <c r="B1664" t="s">
        <v>14</v>
      </c>
      <c r="C1664" t="s">
        <v>194</v>
      </c>
      <c r="D1664" t="s">
        <v>9913</v>
      </c>
      <c r="E1664" t="s">
        <v>9914</v>
      </c>
      <c r="F1664" t="s">
        <v>9915</v>
      </c>
      <c r="H1664" t="s">
        <v>9916</v>
      </c>
      <c r="J1664" t="s">
        <v>352</v>
      </c>
      <c r="M1664" t="s">
        <v>139</v>
      </c>
    </row>
    <row r="1665" spans="1:13" x14ac:dyDescent="0.15">
      <c r="A1665" t="s">
        <v>9917</v>
      </c>
      <c r="B1665" t="s">
        <v>14</v>
      </c>
      <c r="C1665" t="s">
        <v>118</v>
      </c>
      <c r="D1665" t="s">
        <v>9918</v>
      </c>
      <c r="E1665" t="s">
        <v>9919</v>
      </c>
      <c r="F1665" t="s">
        <v>9920</v>
      </c>
      <c r="G1665" t="s">
        <v>145</v>
      </c>
      <c r="H1665" t="s">
        <v>145</v>
      </c>
      <c r="I1665" t="s">
        <v>145</v>
      </c>
      <c r="J1665" t="s">
        <v>172</v>
      </c>
      <c r="K1665" t="s">
        <v>387</v>
      </c>
      <c r="L1665" t="s">
        <v>3577</v>
      </c>
      <c r="M1665" t="s">
        <v>192</v>
      </c>
    </row>
    <row r="1666" spans="1:13" x14ac:dyDescent="0.15">
      <c r="A1666" t="s">
        <v>9921</v>
      </c>
      <c r="B1666" t="s">
        <v>14</v>
      </c>
      <c r="C1666" t="s">
        <v>118</v>
      </c>
      <c r="D1666" t="s">
        <v>9922</v>
      </c>
      <c r="E1666" t="s">
        <v>9923</v>
      </c>
      <c r="F1666" t="s">
        <v>9924</v>
      </c>
      <c r="G1666" t="s">
        <v>145</v>
      </c>
      <c r="H1666" t="s">
        <v>145</v>
      </c>
      <c r="I1666" t="s">
        <v>145</v>
      </c>
      <c r="J1666" t="s">
        <v>172</v>
      </c>
      <c r="K1666" t="s">
        <v>786</v>
      </c>
      <c r="L1666" t="s">
        <v>9925</v>
      </c>
      <c r="M1666" t="s">
        <v>192</v>
      </c>
    </row>
    <row r="1667" spans="1:13" x14ac:dyDescent="0.15">
      <c r="A1667" t="s">
        <v>9926</v>
      </c>
      <c r="B1667" t="s">
        <v>14</v>
      </c>
      <c r="C1667" t="s">
        <v>23</v>
      </c>
      <c r="D1667" t="s">
        <v>5193</v>
      </c>
      <c r="E1667" t="s">
        <v>9927</v>
      </c>
      <c r="F1667" t="s">
        <v>9928</v>
      </c>
      <c r="H1667" t="s">
        <v>8528</v>
      </c>
      <c r="I1667" t="s">
        <v>8666</v>
      </c>
      <c r="J1667" t="s">
        <v>1423</v>
      </c>
      <c r="K1667" t="s">
        <v>5198</v>
      </c>
      <c r="L1667" t="s">
        <v>8666</v>
      </c>
      <c r="M1667" t="s">
        <v>216</v>
      </c>
    </row>
    <row r="1668" spans="1:13" x14ac:dyDescent="0.15">
      <c r="A1668" t="s">
        <v>9929</v>
      </c>
      <c r="B1668" t="s">
        <v>14</v>
      </c>
      <c r="C1668" t="s">
        <v>23</v>
      </c>
      <c r="D1668" t="s">
        <v>5081</v>
      </c>
      <c r="E1668" t="s">
        <v>9930</v>
      </c>
      <c r="F1668" t="s">
        <v>9931</v>
      </c>
      <c r="G1668" t="s">
        <v>2881</v>
      </c>
      <c r="H1668" t="s">
        <v>2881</v>
      </c>
      <c r="I1668" t="s">
        <v>9932</v>
      </c>
      <c r="J1668" t="s">
        <v>206</v>
      </c>
      <c r="K1668" t="s">
        <v>938</v>
      </c>
      <c r="L1668" t="s">
        <v>9932</v>
      </c>
      <c r="M1668" t="s">
        <v>104</v>
      </c>
    </row>
    <row r="1669" spans="1:13" x14ac:dyDescent="0.15">
      <c r="A1669" t="s">
        <v>9933</v>
      </c>
      <c r="B1669" t="s">
        <v>14</v>
      </c>
      <c r="C1669" t="s">
        <v>118</v>
      </c>
      <c r="D1669" t="s">
        <v>9934</v>
      </c>
      <c r="E1669" t="s">
        <v>9935</v>
      </c>
      <c r="F1669" t="s">
        <v>9936</v>
      </c>
      <c r="G1669" t="s">
        <v>9937</v>
      </c>
      <c r="H1669" t="s">
        <v>9937</v>
      </c>
      <c r="I1669" t="s">
        <v>9938</v>
      </c>
      <c r="J1669" t="s">
        <v>481</v>
      </c>
      <c r="K1669" t="s">
        <v>48</v>
      </c>
      <c r="L1669" t="s">
        <v>9938</v>
      </c>
      <c r="M1669" t="s">
        <v>248</v>
      </c>
    </row>
    <row r="1670" spans="1:13" x14ac:dyDescent="0.15">
      <c r="A1670" t="s">
        <v>9939</v>
      </c>
      <c r="B1670" t="s">
        <v>14</v>
      </c>
      <c r="C1670" t="s">
        <v>118</v>
      </c>
      <c r="D1670" t="s">
        <v>9940</v>
      </c>
      <c r="E1670" t="s">
        <v>9941</v>
      </c>
      <c r="F1670" t="s">
        <v>9942</v>
      </c>
      <c r="G1670" t="s">
        <v>9943</v>
      </c>
      <c r="H1670" t="s">
        <v>9943</v>
      </c>
      <c r="I1670" t="s">
        <v>9944</v>
      </c>
      <c r="J1670" t="s">
        <v>481</v>
      </c>
      <c r="K1670" t="s">
        <v>39</v>
      </c>
      <c r="L1670" t="s">
        <v>9944</v>
      </c>
      <c r="M1670" t="s">
        <v>1385</v>
      </c>
    </row>
    <row r="1671" spans="1:13" x14ac:dyDescent="0.15">
      <c r="A1671" t="s">
        <v>9945</v>
      </c>
      <c r="B1671" t="s">
        <v>14</v>
      </c>
      <c r="C1671" t="s">
        <v>118</v>
      </c>
      <c r="D1671" t="s">
        <v>9946</v>
      </c>
      <c r="E1671" t="s">
        <v>9947</v>
      </c>
      <c r="F1671" t="s">
        <v>9948</v>
      </c>
      <c r="G1671" t="s">
        <v>9949</v>
      </c>
      <c r="H1671" t="s">
        <v>9949</v>
      </c>
      <c r="I1671" t="s">
        <v>9950</v>
      </c>
      <c r="J1671" t="s">
        <v>2181</v>
      </c>
      <c r="K1671" t="s">
        <v>5614</v>
      </c>
      <c r="L1671" t="s">
        <v>9950</v>
      </c>
      <c r="M1671" t="s">
        <v>192</v>
      </c>
    </row>
    <row r="1672" spans="1:13" x14ac:dyDescent="0.15">
      <c r="A1672" t="s">
        <v>9951</v>
      </c>
      <c r="B1672" t="s">
        <v>14</v>
      </c>
      <c r="C1672" t="s">
        <v>118</v>
      </c>
      <c r="D1672" t="s">
        <v>9952</v>
      </c>
      <c r="E1672" t="s">
        <v>9953</v>
      </c>
      <c r="F1672" t="s">
        <v>9954</v>
      </c>
      <c r="H1672" t="s">
        <v>145</v>
      </c>
      <c r="I1672" t="s">
        <v>145</v>
      </c>
      <c r="J1672" t="s">
        <v>172</v>
      </c>
      <c r="K1672" t="s">
        <v>608</v>
      </c>
      <c r="L1672" t="s">
        <v>9955</v>
      </c>
      <c r="M1672" t="s">
        <v>165</v>
      </c>
    </row>
    <row r="1673" spans="1:13" x14ac:dyDescent="0.15">
      <c r="A1673" t="s">
        <v>9956</v>
      </c>
      <c r="B1673" t="s">
        <v>14</v>
      </c>
      <c r="C1673" t="s">
        <v>118</v>
      </c>
      <c r="D1673" t="s">
        <v>9957</v>
      </c>
      <c r="E1673" t="s">
        <v>9958</v>
      </c>
      <c r="F1673" t="s">
        <v>9959</v>
      </c>
      <c r="H1673" t="s">
        <v>145</v>
      </c>
      <c r="I1673" t="s">
        <v>145</v>
      </c>
      <c r="J1673" t="s">
        <v>172</v>
      </c>
      <c r="K1673" t="s">
        <v>339</v>
      </c>
      <c r="L1673" t="s">
        <v>9960</v>
      </c>
      <c r="M1673" t="s">
        <v>174</v>
      </c>
    </row>
  </sheetData>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2935"/>
  <sheetViews>
    <sheetView tabSelected="1" workbookViewId="0">
      <selection activeCell="E22" sqref="E22"/>
    </sheetView>
  </sheetViews>
  <sheetFormatPr defaultRowHeight="13.5" x14ac:dyDescent="0.15"/>
  <cols>
    <col min="1" max="1" width="14" customWidth="1"/>
    <col min="2" max="2" width="21.5" customWidth="1"/>
    <col min="3" max="3" width="50" customWidth="1"/>
    <col min="4" max="4" width="18" customWidth="1"/>
    <col min="5" max="5" width="20" customWidth="1"/>
    <col min="6" max="7" width="16" style="5" customWidth="1"/>
    <col min="8" max="8" width="15.25" customWidth="1"/>
    <col min="9" max="9" width="15.875" style="2" bestFit="1" customWidth="1"/>
    <col min="10" max="10" width="13.75" bestFit="1" customWidth="1"/>
    <col min="11" max="11" width="11.75" style="2" bestFit="1" customWidth="1"/>
    <col min="12" max="12" width="35" customWidth="1"/>
    <col min="13" max="13" width="12" customWidth="1"/>
  </cols>
  <sheetData>
    <row r="1" spans="1:14" x14ac:dyDescent="0.15">
      <c r="A1">
        <f t="shared" ref="A1:E1" si="0">SUBTOTAL(3,A3:A9999)</f>
        <v>2933</v>
      </c>
      <c r="B1">
        <f t="shared" si="0"/>
        <v>2933</v>
      </c>
      <c r="C1">
        <f t="shared" si="0"/>
        <v>2933</v>
      </c>
      <c r="D1">
        <f t="shared" si="0"/>
        <v>2933</v>
      </c>
      <c r="E1">
        <f t="shared" si="0"/>
        <v>2933</v>
      </c>
      <c r="F1" s="5">
        <f t="shared" ref="F1:K1" si="1">SUBTOTAL(1,F3:F9999)</f>
        <v>10506254.616033755</v>
      </c>
      <c r="G1" s="5">
        <f t="shared" si="1"/>
        <v>10423146.632821724</v>
      </c>
      <c r="H1" s="5">
        <f t="shared" si="1"/>
        <v>8470952.6255826</v>
      </c>
      <c r="I1" s="2" t="e">
        <f t="shared" si="1"/>
        <v>#VALUE!</v>
      </c>
      <c r="J1" s="5">
        <f t="shared" si="1"/>
        <v>8952051.5874471087</v>
      </c>
      <c r="K1" s="2" t="e">
        <f t="shared" si="1"/>
        <v>#VALUE!</v>
      </c>
      <c r="L1">
        <f>SUBTOTAL(3,L3:L9999)</f>
        <v>2836</v>
      </c>
      <c r="M1">
        <f>SUBTOTAL(3,M3:M9999)</f>
        <v>2932</v>
      </c>
    </row>
    <row r="2" spans="1:14" x14ac:dyDescent="0.15">
      <c r="A2" s="1" t="s">
        <v>1</v>
      </c>
      <c r="B2" s="1" t="s">
        <v>9</v>
      </c>
      <c r="C2" s="1" t="s">
        <v>3</v>
      </c>
      <c r="D2" s="1" t="s">
        <v>2</v>
      </c>
      <c r="E2" s="1" t="s">
        <v>5</v>
      </c>
      <c r="F2" s="6" t="s">
        <v>6</v>
      </c>
      <c r="G2" s="6" t="s">
        <v>7</v>
      </c>
      <c r="H2" s="1" t="s">
        <v>8</v>
      </c>
      <c r="I2" s="3" t="s">
        <v>15920</v>
      </c>
      <c r="J2" s="1" t="s">
        <v>11</v>
      </c>
      <c r="K2" s="3" t="s">
        <v>15919</v>
      </c>
      <c r="L2" s="1" t="s">
        <v>10</v>
      </c>
      <c r="M2" s="1" t="s">
        <v>12</v>
      </c>
    </row>
    <row r="3" spans="1:14" x14ac:dyDescent="0.15">
      <c r="A3" t="s">
        <v>9961</v>
      </c>
      <c r="B3" t="s">
        <v>9964</v>
      </c>
      <c r="C3" t="s">
        <v>9962</v>
      </c>
      <c r="D3" t="s">
        <v>23</v>
      </c>
      <c r="E3" t="s">
        <v>9963</v>
      </c>
      <c r="F3" s="5" t="str">
        <f>G3</f>
        <v>********</v>
      </c>
      <c r="G3" s="5" t="s">
        <v>145</v>
      </c>
      <c r="H3" t="s">
        <v>145</v>
      </c>
      <c r="I3" s="2" t="e">
        <f>H3/G3</f>
        <v>#VALUE!</v>
      </c>
      <c r="J3" s="4">
        <v>3300000</v>
      </c>
      <c r="K3" s="2" t="e">
        <f>J3/G3</f>
        <v>#VALUE!</v>
      </c>
      <c r="L3" t="s">
        <v>5186</v>
      </c>
      <c r="M3" t="s">
        <v>432</v>
      </c>
      <c r="N3" t="b">
        <f>F3&lt;&gt;G3</f>
        <v>0</v>
      </c>
    </row>
    <row r="4" spans="1:14" x14ac:dyDescent="0.15">
      <c r="A4" t="s">
        <v>9961</v>
      </c>
      <c r="B4" t="s">
        <v>9967</v>
      </c>
      <c r="C4" t="s">
        <v>9965</v>
      </c>
      <c r="D4" t="s">
        <v>23</v>
      </c>
      <c r="E4" t="s">
        <v>9966</v>
      </c>
      <c r="F4" s="5">
        <v>6000000</v>
      </c>
      <c r="G4" s="5">
        <v>6000000</v>
      </c>
      <c r="H4" s="4">
        <v>4732000</v>
      </c>
      <c r="I4" s="2">
        <f t="shared" ref="I4:I67" si="2">H4/G4</f>
        <v>0.78866666666666663</v>
      </c>
      <c r="J4" s="4">
        <v>4733000</v>
      </c>
      <c r="K4" s="2">
        <f t="shared" ref="K4:K67" si="3">J4/G4</f>
        <v>0.78883333333333339</v>
      </c>
      <c r="L4" t="s">
        <v>687</v>
      </c>
      <c r="M4" t="s">
        <v>165</v>
      </c>
      <c r="N4" t="b">
        <f t="shared" ref="N4:N67" si="4">F4&lt;&gt;G4</f>
        <v>0</v>
      </c>
    </row>
    <row r="5" spans="1:14" x14ac:dyDescent="0.15">
      <c r="A5" t="s">
        <v>9961</v>
      </c>
      <c r="B5" t="s">
        <v>9967</v>
      </c>
      <c r="C5" t="s">
        <v>9968</v>
      </c>
      <c r="D5" t="s">
        <v>23</v>
      </c>
      <c r="E5" t="s">
        <v>9969</v>
      </c>
      <c r="F5" s="5">
        <v>6730000</v>
      </c>
      <c r="G5" s="5">
        <v>6730000</v>
      </c>
      <c r="H5" s="4">
        <v>5349000</v>
      </c>
      <c r="I5" s="2">
        <f t="shared" si="2"/>
        <v>0.79479940564635954</v>
      </c>
      <c r="J5" s="4">
        <v>5349000</v>
      </c>
      <c r="K5" s="2">
        <f t="shared" si="3"/>
        <v>0.79479940564635954</v>
      </c>
      <c r="L5" t="s">
        <v>271</v>
      </c>
      <c r="M5" t="s">
        <v>174</v>
      </c>
      <c r="N5" t="b">
        <f t="shared" si="4"/>
        <v>0</v>
      </c>
    </row>
    <row r="6" spans="1:14" x14ac:dyDescent="0.15">
      <c r="A6" t="s">
        <v>9961</v>
      </c>
      <c r="B6" t="s">
        <v>9967</v>
      </c>
      <c r="C6" t="s">
        <v>9970</v>
      </c>
      <c r="D6" t="s">
        <v>23</v>
      </c>
      <c r="E6" t="s">
        <v>9971</v>
      </c>
      <c r="F6" s="5">
        <v>6990000</v>
      </c>
      <c r="G6" s="5">
        <v>6990000</v>
      </c>
      <c r="H6" s="4">
        <v>5547000</v>
      </c>
      <c r="I6" s="2">
        <f t="shared" si="2"/>
        <v>0.79356223175965668</v>
      </c>
      <c r="J6" s="4">
        <v>5547000</v>
      </c>
      <c r="K6" s="2">
        <f t="shared" si="3"/>
        <v>0.79356223175965668</v>
      </c>
      <c r="L6" t="s">
        <v>1541</v>
      </c>
      <c r="M6" t="s">
        <v>174</v>
      </c>
      <c r="N6" t="b">
        <f t="shared" si="4"/>
        <v>0</v>
      </c>
    </row>
    <row r="7" spans="1:14" x14ac:dyDescent="0.15">
      <c r="A7" t="s">
        <v>9961</v>
      </c>
      <c r="B7" t="s">
        <v>9967</v>
      </c>
      <c r="C7" t="s">
        <v>9972</v>
      </c>
      <c r="D7" t="s">
        <v>23</v>
      </c>
      <c r="E7" t="s">
        <v>9973</v>
      </c>
      <c r="F7" s="5">
        <v>7230000</v>
      </c>
      <c r="G7" s="5">
        <v>7230000</v>
      </c>
      <c r="H7" s="4">
        <v>5804000</v>
      </c>
      <c r="I7" s="2">
        <f t="shared" si="2"/>
        <v>0.80276625172890737</v>
      </c>
      <c r="J7" s="4">
        <v>6980000</v>
      </c>
      <c r="K7" s="2">
        <f t="shared" si="3"/>
        <v>0.96542185338865838</v>
      </c>
      <c r="L7" t="s">
        <v>239</v>
      </c>
      <c r="M7" t="s">
        <v>165</v>
      </c>
      <c r="N7" t="b">
        <f t="shared" si="4"/>
        <v>0</v>
      </c>
    </row>
    <row r="8" spans="1:14" x14ac:dyDescent="0.15">
      <c r="A8" t="s">
        <v>9961</v>
      </c>
      <c r="B8" t="s">
        <v>9976</v>
      </c>
      <c r="C8" t="s">
        <v>9974</v>
      </c>
      <c r="D8" t="s">
        <v>23</v>
      </c>
      <c r="E8" t="s">
        <v>9975</v>
      </c>
      <c r="F8" s="5">
        <f t="shared" ref="F8:F16" si="5">G8</f>
        <v>4130000</v>
      </c>
      <c r="G8" s="5">
        <v>4130000</v>
      </c>
      <c r="H8" s="4">
        <v>3315000</v>
      </c>
      <c r="I8" s="2">
        <f t="shared" si="2"/>
        <v>0.80266343825665865</v>
      </c>
      <c r="J8" s="4">
        <v>3315000</v>
      </c>
      <c r="K8" s="2">
        <f t="shared" si="3"/>
        <v>0.80266343825665865</v>
      </c>
      <c r="L8" t="s">
        <v>3251</v>
      </c>
      <c r="M8" t="s">
        <v>432</v>
      </c>
      <c r="N8" t="b">
        <f t="shared" si="4"/>
        <v>0</v>
      </c>
    </row>
    <row r="9" spans="1:14" x14ac:dyDescent="0.15">
      <c r="A9" t="s">
        <v>9961</v>
      </c>
      <c r="B9" t="s">
        <v>9976</v>
      </c>
      <c r="C9" t="s">
        <v>9977</v>
      </c>
      <c r="D9" t="s">
        <v>23</v>
      </c>
      <c r="E9" t="s">
        <v>9978</v>
      </c>
      <c r="F9" s="5">
        <f t="shared" si="5"/>
        <v>3430000</v>
      </c>
      <c r="G9" s="5">
        <v>3430000</v>
      </c>
      <c r="H9" s="4">
        <v>2753000</v>
      </c>
      <c r="I9" s="2">
        <f t="shared" si="2"/>
        <v>0.8026239067055394</v>
      </c>
      <c r="J9" s="4">
        <v>3200000</v>
      </c>
      <c r="K9" s="2">
        <f t="shared" si="3"/>
        <v>0.93294460641399413</v>
      </c>
      <c r="L9" t="s">
        <v>1783</v>
      </c>
      <c r="M9" t="s">
        <v>432</v>
      </c>
      <c r="N9" t="b">
        <f t="shared" si="4"/>
        <v>0</v>
      </c>
    </row>
    <row r="10" spans="1:14" x14ac:dyDescent="0.15">
      <c r="A10" t="s">
        <v>9961</v>
      </c>
      <c r="B10" t="s">
        <v>9976</v>
      </c>
      <c r="C10" t="s">
        <v>9979</v>
      </c>
      <c r="D10" t="s">
        <v>23</v>
      </c>
      <c r="E10" t="s">
        <v>9980</v>
      </c>
      <c r="F10" s="5">
        <f t="shared" si="5"/>
        <v>4110000</v>
      </c>
      <c r="G10" s="5">
        <v>4110000</v>
      </c>
      <c r="H10" s="4">
        <v>3227000</v>
      </c>
      <c r="I10" s="2">
        <f t="shared" si="2"/>
        <v>0.78515815085158147</v>
      </c>
      <c r="J10" s="4">
        <v>3880000</v>
      </c>
      <c r="K10" s="2">
        <f t="shared" si="3"/>
        <v>0.94403892944038925</v>
      </c>
      <c r="L10" t="s">
        <v>9981</v>
      </c>
      <c r="M10" t="s">
        <v>432</v>
      </c>
      <c r="N10" t="b">
        <f t="shared" si="4"/>
        <v>0</v>
      </c>
    </row>
    <row r="11" spans="1:14" x14ac:dyDescent="0.15">
      <c r="A11" t="s">
        <v>9961</v>
      </c>
      <c r="B11" t="s">
        <v>9976</v>
      </c>
      <c r="C11" t="s">
        <v>9982</v>
      </c>
      <c r="D11" t="s">
        <v>23</v>
      </c>
      <c r="E11" t="s">
        <v>9983</v>
      </c>
      <c r="F11" s="5">
        <f t="shared" si="5"/>
        <v>4540000</v>
      </c>
      <c r="G11" s="5">
        <v>4540000</v>
      </c>
      <c r="H11" s="4">
        <v>3643000</v>
      </c>
      <c r="I11" s="2">
        <f t="shared" si="2"/>
        <v>0.80242290748898681</v>
      </c>
      <c r="J11" s="4">
        <v>3643000</v>
      </c>
      <c r="K11" s="2">
        <f t="shared" si="3"/>
        <v>0.80242290748898681</v>
      </c>
      <c r="L11" t="s">
        <v>9984</v>
      </c>
      <c r="M11" t="s">
        <v>432</v>
      </c>
      <c r="N11" t="b">
        <f t="shared" si="4"/>
        <v>0</v>
      </c>
    </row>
    <row r="12" spans="1:14" x14ac:dyDescent="0.15">
      <c r="A12" t="s">
        <v>9961</v>
      </c>
      <c r="B12" t="s">
        <v>9987</v>
      </c>
      <c r="C12" t="s">
        <v>9985</v>
      </c>
      <c r="D12" t="s">
        <v>23</v>
      </c>
      <c r="E12" t="s">
        <v>9986</v>
      </c>
      <c r="F12" s="5" t="str">
        <f t="shared" si="5"/>
        <v>********</v>
      </c>
      <c r="G12" s="5" t="s">
        <v>145</v>
      </c>
      <c r="H12" t="s">
        <v>145</v>
      </c>
      <c r="I12" s="2" t="e">
        <f t="shared" si="2"/>
        <v>#VALUE!</v>
      </c>
      <c r="J12" s="4">
        <v>3300000</v>
      </c>
      <c r="K12" s="2" t="e">
        <f t="shared" si="3"/>
        <v>#VALUE!</v>
      </c>
      <c r="L12" t="s">
        <v>9988</v>
      </c>
      <c r="M12" t="s">
        <v>192</v>
      </c>
      <c r="N12" t="b">
        <f t="shared" si="4"/>
        <v>0</v>
      </c>
    </row>
    <row r="13" spans="1:14" x14ac:dyDescent="0.15">
      <c r="A13" t="s">
        <v>9961</v>
      </c>
      <c r="B13" t="s">
        <v>9964</v>
      </c>
      <c r="C13" t="s">
        <v>9989</v>
      </c>
      <c r="D13" t="s">
        <v>23</v>
      </c>
      <c r="E13" t="s">
        <v>9990</v>
      </c>
      <c r="F13" s="5" t="str">
        <f t="shared" si="5"/>
        <v>********</v>
      </c>
      <c r="G13" s="5" t="s">
        <v>145</v>
      </c>
      <c r="H13" t="s">
        <v>145</v>
      </c>
      <c r="I13" s="2" t="e">
        <f t="shared" si="2"/>
        <v>#VALUE!</v>
      </c>
      <c r="J13" s="4">
        <v>505000</v>
      </c>
      <c r="K13" s="2" t="e">
        <f t="shared" si="3"/>
        <v>#VALUE!</v>
      </c>
      <c r="L13" t="s">
        <v>9991</v>
      </c>
      <c r="M13" t="s">
        <v>126</v>
      </c>
      <c r="N13" t="b">
        <f t="shared" si="4"/>
        <v>0</v>
      </c>
    </row>
    <row r="14" spans="1:14" x14ac:dyDescent="0.15">
      <c r="A14" t="s">
        <v>9961</v>
      </c>
      <c r="B14" t="s">
        <v>9964</v>
      </c>
      <c r="C14" t="s">
        <v>9992</v>
      </c>
      <c r="D14" t="s">
        <v>23</v>
      </c>
      <c r="E14" t="s">
        <v>9993</v>
      </c>
      <c r="F14" s="5" t="str">
        <f t="shared" si="5"/>
        <v>********</v>
      </c>
      <c r="G14" s="5" t="s">
        <v>145</v>
      </c>
      <c r="H14" t="s">
        <v>145</v>
      </c>
      <c r="I14" s="2" t="e">
        <f t="shared" si="2"/>
        <v>#VALUE!</v>
      </c>
      <c r="J14" s="4">
        <v>4500000</v>
      </c>
      <c r="K14" s="2" t="e">
        <f t="shared" si="3"/>
        <v>#VALUE!</v>
      </c>
      <c r="L14" t="s">
        <v>608</v>
      </c>
      <c r="M14" t="s">
        <v>432</v>
      </c>
      <c r="N14" t="b">
        <f t="shared" si="4"/>
        <v>0</v>
      </c>
    </row>
    <row r="15" spans="1:14" x14ac:dyDescent="0.15">
      <c r="A15" t="s">
        <v>9961</v>
      </c>
      <c r="B15" t="s">
        <v>9964</v>
      </c>
      <c r="C15" t="s">
        <v>9994</v>
      </c>
      <c r="D15" t="s">
        <v>15</v>
      </c>
      <c r="E15" t="s">
        <v>9995</v>
      </c>
      <c r="F15" s="5" t="str">
        <f t="shared" si="5"/>
        <v>********</v>
      </c>
      <c r="G15" s="5" t="s">
        <v>145</v>
      </c>
      <c r="I15" s="2" t="e">
        <f t="shared" si="2"/>
        <v>#VALUE!</v>
      </c>
      <c r="K15" s="2" t="e">
        <f t="shared" si="3"/>
        <v>#VALUE!</v>
      </c>
      <c r="M15" t="s">
        <v>21</v>
      </c>
      <c r="N15" t="b">
        <f t="shared" si="4"/>
        <v>0</v>
      </c>
    </row>
    <row r="16" spans="1:14" x14ac:dyDescent="0.15">
      <c r="A16" t="s">
        <v>9961</v>
      </c>
      <c r="B16" t="s">
        <v>9964</v>
      </c>
      <c r="C16" t="s">
        <v>9996</v>
      </c>
      <c r="D16" t="s">
        <v>15</v>
      </c>
      <c r="E16" t="s">
        <v>9997</v>
      </c>
      <c r="F16" s="5" t="str">
        <f t="shared" si="5"/>
        <v>********</v>
      </c>
      <c r="G16" s="5" t="s">
        <v>145</v>
      </c>
      <c r="I16" s="2" t="e">
        <f t="shared" si="2"/>
        <v>#VALUE!</v>
      </c>
      <c r="K16" s="2" t="e">
        <f t="shared" si="3"/>
        <v>#VALUE!</v>
      </c>
      <c r="M16" t="s">
        <v>21</v>
      </c>
      <c r="N16" t="b">
        <f t="shared" si="4"/>
        <v>0</v>
      </c>
    </row>
    <row r="17" spans="1:14" x14ac:dyDescent="0.15">
      <c r="A17" t="s">
        <v>9961</v>
      </c>
      <c r="B17" t="s">
        <v>9967</v>
      </c>
      <c r="C17" t="s">
        <v>9998</v>
      </c>
      <c r="D17" t="s">
        <v>15</v>
      </c>
      <c r="E17" t="s">
        <v>9999</v>
      </c>
      <c r="F17" s="5">
        <v>2880000</v>
      </c>
      <c r="G17" s="5">
        <v>2880000</v>
      </c>
      <c r="I17" s="2">
        <f t="shared" si="2"/>
        <v>0</v>
      </c>
      <c r="K17" s="2">
        <f t="shared" si="3"/>
        <v>0</v>
      </c>
      <c r="M17" t="s">
        <v>139</v>
      </c>
      <c r="N17" t="b">
        <f t="shared" si="4"/>
        <v>0</v>
      </c>
    </row>
    <row r="18" spans="1:14" x14ac:dyDescent="0.15">
      <c r="A18" t="s">
        <v>9961</v>
      </c>
      <c r="B18" t="s">
        <v>10002</v>
      </c>
      <c r="C18" t="s">
        <v>10000</v>
      </c>
      <c r="D18" t="s">
        <v>23</v>
      </c>
      <c r="E18" t="s">
        <v>10001</v>
      </c>
      <c r="F18" s="5">
        <f t="shared" ref="F18:F35" si="6">G18</f>
        <v>4540000</v>
      </c>
      <c r="G18" s="5">
        <v>4540000</v>
      </c>
      <c r="H18" s="4">
        <v>3644000</v>
      </c>
      <c r="I18" s="2">
        <f t="shared" si="2"/>
        <v>0.8026431718061674</v>
      </c>
      <c r="J18" s="4">
        <v>4100000</v>
      </c>
      <c r="K18" s="2">
        <f t="shared" si="3"/>
        <v>0.90308370044052866</v>
      </c>
      <c r="L18" t="s">
        <v>903</v>
      </c>
      <c r="M18" t="s">
        <v>432</v>
      </c>
      <c r="N18" t="b">
        <f t="shared" si="4"/>
        <v>0</v>
      </c>
    </row>
    <row r="19" spans="1:14" x14ac:dyDescent="0.15">
      <c r="A19" t="s">
        <v>9961</v>
      </c>
      <c r="B19" t="s">
        <v>10005</v>
      </c>
      <c r="C19" t="s">
        <v>10003</v>
      </c>
      <c r="D19" t="s">
        <v>23</v>
      </c>
      <c r="E19" t="s">
        <v>10004</v>
      </c>
      <c r="F19" s="5" t="str">
        <f t="shared" si="6"/>
        <v>********</v>
      </c>
      <c r="G19" s="5" t="s">
        <v>145</v>
      </c>
      <c r="H19" t="s">
        <v>145</v>
      </c>
      <c r="I19" s="2" t="e">
        <f t="shared" si="2"/>
        <v>#VALUE!</v>
      </c>
      <c r="J19" s="4">
        <v>13500000</v>
      </c>
      <c r="K19" s="2" t="e">
        <f t="shared" si="3"/>
        <v>#VALUE!</v>
      </c>
      <c r="L19" t="s">
        <v>1458</v>
      </c>
      <c r="M19" t="s">
        <v>80</v>
      </c>
      <c r="N19" t="b">
        <f t="shared" si="4"/>
        <v>0</v>
      </c>
    </row>
    <row r="20" spans="1:14" x14ac:dyDescent="0.15">
      <c r="A20" t="s">
        <v>9961</v>
      </c>
      <c r="B20" t="s">
        <v>10008</v>
      </c>
      <c r="C20" t="s">
        <v>10006</v>
      </c>
      <c r="D20" t="s">
        <v>23</v>
      </c>
      <c r="E20" t="s">
        <v>10007</v>
      </c>
      <c r="F20" s="5" t="str">
        <f t="shared" si="6"/>
        <v>********</v>
      </c>
      <c r="G20" s="5" t="s">
        <v>145</v>
      </c>
      <c r="H20" t="s">
        <v>145</v>
      </c>
      <c r="I20" s="2" t="e">
        <f t="shared" si="2"/>
        <v>#VALUE!</v>
      </c>
      <c r="J20" s="4">
        <v>10600000</v>
      </c>
      <c r="K20" s="2" t="e">
        <f t="shared" si="3"/>
        <v>#VALUE!</v>
      </c>
      <c r="L20" t="s">
        <v>9405</v>
      </c>
      <c r="M20" t="s">
        <v>80</v>
      </c>
      <c r="N20" t="b">
        <f t="shared" si="4"/>
        <v>0</v>
      </c>
    </row>
    <row r="21" spans="1:14" x14ac:dyDescent="0.15">
      <c r="A21" t="s">
        <v>9961</v>
      </c>
      <c r="B21" t="s">
        <v>10008</v>
      </c>
      <c r="C21" t="s">
        <v>10009</v>
      </c>
      <c r="D21" t="s">
        <v>23</v>
      </c>
      <c r="E21" t="s">
        <v>10010</v>
      </c>
      <c r="F21" s="5" t="str">
        <f t="shared" si="6"/>
        <v>********</v>
      </c>
      <c r="G21" s="5" t="s">
        <v>145</v>
      </c>
      <c r="H21" t="s">
        <v>145</v>
      </c>
      <c r="I21" s="2" t="e">
        <f t="shared" si="2"/>
        <v>#VALUE!</v>
      </c>
      <c r="J21" s="4">
        <v>18600000</v>
      </c>
      <c r="K21" s="2" t="e">
        <f t="shared" si="3"/>
        <v>#VALUE!</v>
      </c>
      <c r="L21" t="s">
        <v>1030</v>
      </c>
      <c r="M21" t="s">
        <v>192</v>
      </c>
      <c r="N21" t="b">
        <f t="shared" si="4"/>
        <v>0</v>
      </c>
    </row>
    <row r="22" spans="1:14" x14ac:dyDescent="0.15">
      <c r="A22" t="s">
        <v>9961</v>
      </c>
      <c r="B22" t="s">
        <v>9964</v>
      </c>
      <c r="C22" t="s">
        <v>10011</v>
      </c>
      <c r="D22" t="s">
        <v>15</v>
      </c>
      <c r="E22" t="s">
        <v>10012</v>
      </c>
      <c r="F22" s="5" t="str">
        <f t="shared" si="6"/>
        <v>********</v>
      </c>
      <c r="G22" s="5" t="s">
        <v>145</v>
      </c>
      <c r="I22" s="2" t="e">
        <f t="shared" si="2"/>
        <v>#VALUE!</v>
      </c>
      <c r="K22" s="2" t="e">
        <f t="shared" si="3"/>
        <v>#VALUE!</v>
      </c>
      <c r="M22" t="s">
        <v>1015</v>
      </c>
      <c r="N22" t="b">
        <f t="shared" si="4"/>
        <v>0</v>
      </c>
    </row>
    <row r="23" spans="1:14" x14ac:dyDescent="0.15">
      <c r="A23" t="s">
        <v>9961</v>
      </c>
      <c r="B23" t="s">
        <v>9964</v>
      </c>
      <c r="C23" t="s">
        <v>10013</v>
      </c>
      <c r="D23" t="s">
        <v>23</v>
      </c>
      <c r="E23" t="s">
        <v>10014</v>
      </c>
      <c r="F23" s="5" t="str">
        <f t="shared" si="6"/>
        <v>********</v>
      </c>
      <c r="G23" s="5" t="s">
        <v>145</v>
      </c>
      <c r="H23" t="s">
        <v>145</v>
      </c>
      <c r="I23" s="2" t="e">
        <f t="shared" si="2"/>
        <v>#VALUE!</v>
      </c>
      <c r="J23" s="4">
        <v>470000</v>
      </c>
      <c r="K23" s="2" t="e">
        <f t="shared" si="3"/>
        <v>#VALUE!</v>
      </c>
      <c r="L23" t="s">
        <v>5186</v>
      </c>
      <c r="M23" t="s">
        <v>192</v>
      </c>
      <c r="N23" t="b">
        <f t="shared" si="4"/>
        <v>0</v>
      </c>
    </row>
    <row r="24" spans="1:14" x14ac:dyDescent="0.15">
      <c r="A24" t="s">
        <v>9961</v>
      </c>
      <c r="B24" t="s">
        <v>10002</v>
      </c>
      <c r="C24" t="s">
        <v>10015</v>
      </c>
      <c r="D24" t="s">
        <v>23</v>
      </c>
      <c r="E24" t="s">
        <v>10016</v>
      </c>
      <c r="F24" s="5">
        <f t="shared" si="6"/>
        <v>10050000</v>
      </c>
      <c r="G24" s="5">
        <v>10050000</v>
      </c>
      <c r="H24" s="4">
        <v>8068000</v>
      </c>
      <c r="I24" s="2">
        <f t="shared" si="2"/>
        <v>0.80278606965174126</v>
      </c>
      <c r="J24" s="4">
        <v>8080000</v>
      </c>
      <c r="K24" s="2">
        <f t="shared" si="3"/>
        <v>0.80398009950248761</v>
      </c>
      <c r="L24" t="s">
        <v>1030</v>
      </c>
      <c r="M24" t="s">
        <v>192</v>
      </c>
      <c r="N24" t="b">
        <f t="shared" si="4"/>
        <v>0</v>
      </c>
    </row>
    <row r="25" spans="1:14" x14ac:dyDescent="0.15">
      <c r="A25" t="s">
        <v>9961</v>
      </c>
      <c r="B25" t="s">
        <v>10002</v>
      </c>
      <c r="C25" t="s">
        <v>10017</v>
      </c>
      <c r="D25" t="s">
        <v>23</v>
      </c>
      <c r="E25" t="s">
        <v>10018</v>
      </c>
      <c r="F25" s="5">
        <f t="shared" si="6"/>
        <v>5530000</v>
      </c>
      <c r="G25" s="5">
        <v>5530000</v>
      </c>
      <c r="H25" s="4">
        <v>4439000</v>
      </c>
      <c r="I25" s="2">
        <f t="shared" si="2"/>
        <v>0.8027124773960217</v>
      </c>
      <c r="J25" s="4">
        <v>4450000</v>
      </c>
      <c r="K25" s="2">
        <f t="shared" si="3"/>
        <v>0.80470162748643759</v>
      </c>
      <c r="L25" t="s">
        <v>903</v>
      </c>
      <c r="M25" t="s">
        <v>192</v>
      </c>
      <c r="N25" t="b">
        <f t="shared" si="4"/>
        <v>0</v>
      </c>
    </row>
    <row r="26" spans="1:14" x14ac:dyDescent="0.15">
      <c r="A26" t="s">
        <v>9961</v>
      </c>
      <c r="B26" t="s">
        <v>10021</v>
      </c>
      <c r="C26" t="s">
        <v>10019</v>
      </c>
      <c r="D26" t="s">
        <v>23</v>
      </c>
      <c r="E26" t="s">
        <v>10020</v>
      </c>
      <c r="F26" s="5" t="str">
        <f t="shared" si="6"/>
        <v>********</v>
      </c>
      <c r="G26" s="5" t="s">
        <v>145</v>
      </c>
      <c r="H26" t="s">
        <v>145</v>
      </c>
      <c r="I26" s="2" t="e">
        <f t="shared" si="2"/>
        <v>#VALUE!</v>
      </c>
      <c r="J26" s="4">
        <v>12980000</v>
      </c>
      <c r="K26" s="2" t="e">
        <f t="shared" si="3"/>
        <v>#VALUE!</v>
      </c>
      <c r="L26" t="s">
        <v>10022</v>
      </c>
      <c r="M26" t="s">
        <v>192</v>
      </c>
      <c r="N26" t="b">
        <f t="shared" si="4"/>
        <v>0</v>
      </c>
    </row>
    <row r="27" spans="1:14" x14ac:dyDescent="0.15">
      <c r="A27" t="s">
        <v>9961</v>
      </c>
      <c r="B27" t="s">
        <v>10021</v>
      </c>
      <c r="C27" t="s">
        <v>10023</v>
      </c>
      <c r="D27" t="s">
        <v>23</v>
      </c>
      <c r="E27" t="s">
        <v>10024</v>
      </c>
      <c r="F27" s="5" t="str">
        <f t="shared" si="6"/>
        <v>********</v>
      </c>
      <c r="G27" s="5" t="s">
        <v>145</v>
      </c>
      <c r="H27" t="s">
        <v>145</v>
      </c>
      <c r="I27" s="2" t="e">
        <f t="shared" si="2"/>
        <v>#VALUE!</v>
      </c>
      <c r="J27" s="4">
        <v>35700000</v>
      </c>
      <c r="K27" s="2" t="e">
        <f t="shared" si="3"/>
        <v>#VALUE!</v>
      </c>
      <c r="L27" t="s">
        <v>1321</v>
      </c>
      <c r="M27" t="s">
        <v>126</v>
      </c>
      <c r="N27" t="b">
        <f t="shared" si="4"/>
        <v>0</v>
      </c>
    </row>
    <row r="28" spans="1:14" x14ac:dyDescent="0.15">
      <c r="A28" t="s">
        <v>9961</v>
      </c>
      <c r="B28" t="s">
        <v>10027</v>
      </c>
      <c r="C28" t="s">
        <v>10025</v>
      </c>
      <c r="D28" t="s">
        <v>23</v>
      </c>
      <c r="E28" t="s">
        <v>10026</v>
      </c>
      <c r="F28" s="5" t="str">
        <f t="shared" si="6"/>
        <v>********</v>
      </c>
      <c r="G28" s="5" t="s">
        <v>145</v>
      </c>
      <c r="H28" t="s">
        <v>145</v>
      </c>
      <c r="I28" s="2" t="e">
        <f t="shared" si="2"/>
        <v>#VALUE!</v>
      </c>
      <c r="J28" s="4">
        <v>3450000</v>
      </c>
      <c r="K28" s="2" t="e">
        <f t="shared" si="3"/>
        <v>#VALUE!</v>
      </c>
      <c r="L28" t="s">
        <v>10028</v>
      </c>
      <c r="M28" t="s">
        <v>192</v>
      </c>
      <c r="N28" t="b">
        <f t="shared" si="4"/>
        <v>0</v>
      </c>
    </row>
    <row r="29" spans="1:14" x14ac:dyDescent="0.15">
      <c r="A29" t="s">
        <v>9961</v>
      </c>
      <c r="B29" t="s">
        <v>10027</v>
      </c>
      <c r="C29" t="s">
        <v>10029</v>
      </c>
      <c r="D29" t="s">
        <v>23</v>
      </c>
      <c r="E29" t="s">
        <v>10030</v>
      </c>
      <c r="F29" s="5" t="str">
        <f t="shared" si="6"/>
        <v>********</v>
      </c>
      <c r="G29" s="5" t="s">
        <v>145</v>
      </c>
      <c r="H29" t="s">
        <v>145</v>
      </c>
      <c r="I29" s="2" t="e">
        <f t="shared" si="2"/>
        <v>#VALUE!</v>
      </c>
      <c r="J29" s="4">
        <v>3350000</v>
      </c>
      <c r="K29" s="2" t="e">
        <f t="shared" si="3"/>
        <v>#VALUE!</v>
      </c>
      <c r="L29" t="s">
        <v>263</v>
      </c>
      <c r="M29" t="s">
        <v>192</v>
      </c>
      <c r="N29" t="b">
        <f t="shared" si="4"/>
        <v>0</v>
      </c>
    </row>
    <row r="30" spans="1:14" x14ac:dyDescent="0.15">
      <c r="A30" t="s">
        <v>9961</v>
      </c>
      <c r="B30" t="s">
        <v>10027</v>
      </c>
      <c r="C30" t="s">
        <v>10031</v>
      </c>
      <c r="D30" t="s">
        <v>23</v>
      </c>
      <c r="E30" t="s">
        <v>10032</v>
      </c>
      <c r="F30" s="5" t="str">
        <f t="shared" si="6"/>
        <v>********</v>
      </c>
      <c r="G30" s="5" t="s">
        <v>145</v>
      </c>
      <c r="H30" t="s">
        <v>145</v>
      </c>
      <c r="I30" s="2" t="e">
        <f t="shared" si="2"/>
        <v>#VALUE!</v>
      </c>
      <c r="J30" s="4">
        <v>16200000</v>
      </c>
      <c r="K30" s="2" t="e">
        <f t="shared" si="3"/>
        <v>#VALUE!</v>
      </c>
      <c r="L30" t="s">
        <v>1236</v>
      </c>
      <c r="M30" t="s">
        <v>80</v>
      </c>
      <c r="N30" t="b">
        <f t="shared" si="4"/>
        <v>0</v>
      </c>
    </row>
    <row r="31" spans="1:14" x14ac:dyDescent="0.15">
      <c r="A31" t="s">
        <v>9961</v>
      </c>
      <c r="B31" t="s">
        <v>9964</v>
      </c>
      <c r="C31" t="s">
        <v>10033</v>
      </c>
      <c r="D31" t="s">
        <v>23</v>
      </c>
      <c r="E31" t="s">
        <v>10034</v>
      </c>
      <c r="F31" s="5" t="str">
        <f t="shared" si="6"/>
        <v>********</v>
      </c>
      <c r="G31" s="5" t="s">
        <v>145</v>
      </c>
      <c r="H31" t="s">
        <v>145</v>
      </c>
      <c r="I31" s="2" t="e">
        <f t="shared" si="2"/>
        <v>#VALUE!</v>
      </c>
      <c r="J31" s="4">
        <v>452000</v>
      </c>
      <c r="K31" s="2" t="e">
        <f t="shared" si="3"/>
        <v>#VALUE!</v>
      </c>
      <c r="L31" t="s">
        <v>332</v>
      </c>
      <c r="M31" t="s">
        <v>432</v>
      </c>
      <c r="N31" t="b">
        <f t="shared" si="4"/>
        <v>0</v>
      </c>
    </row>
    <row r="32" spans="1:14" x14ac:dyDescent="0.15">
      <c r="A32" t="s">
        <v>9961</v>
      </c>
      <c r="B32" t="s">
        <v>10037</v>
      </c>
      <c r="C32" t="s">
        <v>10035</v>
      </c>
      <c r="D32" t="s">
        <v>23</v>
      </c>
      <c r="E32" t="s">
        <v>10036</v>
      </c>
      <c r="F32" s="5" t="str">
        <f t="shared" si="6"/>
        <v>********</v>
      </c>
      <c r="G32" s="5" t="s">
        <v>145</v>
      </c>
      <c r="H32" t="s">
        <v>145</v>
      </c>
      <c r="I32" s="2" t="e">
        <f t="shared" si="2"/>
        <v>#VALUE!</v>
      </c>
      <c r="J32" s="4">
        <v>15600000</v>
      </c>
      <c r="K32" s="2" t="e">
        <f t="shared" si="3"/>
        <v>#VALUE!</v>
      </c>
      <c r="L32" t="s">
        <v>4816</v>
      </c>
      <c r="M32" t="s">
        <v>80</v>
      </c>
      <c r="N32" t="b">
        <f t="shared" si="4"/>
        <v>0</v>
      </c>
    </row>
    <row r="33" spans="1:14" x14ac:dyDescent="0.15">
      <c r="A33" t="s">
        <v>9961</v>
      </c>
      <c r="B33" t="s">
        <v>10008</v>
      </c>
      <c r="C33" t="s">
        <v>10038</v>
      </c>
      <c r="D33" t="s">
        <v>15</v>
      </c>
      <c r="E33" t="s">
        <v>10039</v>
      </c>
      <c r="F33" s="5" t="str">
        <f t="shared" si="6"/>
        <v>********</v>
      </c>
      <c r="G33" s="5" t="s">
        <v>145</v>
      </c>
      <c r="I33" s="2" t="e">
        <f t="shared" si="2"/>
        <v>#VALUE!</v>
      </c>
      <c r="K33" s="2" t="e">
        <f t="shared" si="3"/>
        <v>#VALUE!</v>
      </c>
      <c r="M33" t="s">
        <v>139</v>
      </c>
      <c r="N33" t="b">
        <f t="shared" si="4"/>
        <v>0</v>
      </c>
    </row>
    <row r="34" spans="1:14" x14ac:dyDescent="0.15">
      <c r="A34" t="s">
        <v>9961</v>
      </c>
      <c r="B34" t="s">
        <v>10042</v>
      </c>
      <c r="C34" t="s">
        <v>10040</v>
      </c>
      <c r="D34" t="s">
        <v>23</v>
      </c>
      <c r="E34" t="s">
        <v>10041</v>
      </c>
      <c r="F34" s="5" t="str">
        <f t="shared" si="6"/>
        <v>********</v>
      </c>
      <c r="G34" s="5" t="s">
        <v>145</v>
      </c>
      <c r="H34" t="s">
        <v>145</v>
      </c>
      <c r="I34" s="2" t="e">
        <f t="shared" si="2"/>
        <v>#VALUE!</v>
      </c>
      <c r="J34" s="4">
        <v>7100000</v>
      </c>
      <c r="K34" s="2" t="e">
        <f t="shared" si="3"/>
        <v>#VALUE!</v>
      </c>
      <c r="L34" t="s">
        <v>431</v>
      </c>
      <c r="M34" t="s">
        <v>165</v>
      </c>
      <c r="N34" t="b">
        <f t="shared" si="4"/>
        <v>0</v>
      </c>
    </row>
    <row r="35" spans="1:14" x14ac:dyDescent="0.15">
      <c r="A35" t="s">
        <v>9961</v>
      </c>
      <c r="B35" t="s">
        <v>10045</v>
      </c>
      <c r="C35" t="s">
        <v>10043</v>
      </c>
      <c r="D35" t="s">
        <v>23</v>
      </c>
      <c r="E35" t="s">
        <v>10044</v>
      </c>
      <c r="F35" s="5" t="str">
        <f t="shared" si="6"/>
        <v>********</v>
      </c>
      <c r="G35" s="5" t="s">
        <v>145</v>
      </c>
      <c r="H35" t="s">
        <v>145</v>
      </c>
      <c r="I35" s="2" t="e">
        <f t="shared" si="2"/>
        <v>#VALUE!</v>
      </c>
      <c r="J35" s="4">
        <v>18000000</v>
      </c>
      <c r="K35" s="2" t="e">
        <f t="shared" si="3"/>
        <v>#VALUE!</v>
      </c>
      <c r="L35" t="s">
        <v>608</v>
      </c>
      <c r="M35" t="s">
        <v>80</v>
      </c>
      <c r="N35" t="b">
        <f t="shared" si="4"/>
        <v>0</v>
      </c>
    </row>
    <row r="36" spans="1:14" x14ac:dyDescent="0.15">
      <c r="A36" t="s">
        <v>9961</v>
      </c>
      <c r="B36" t="s">
        <v>10048</v>
      </c>
      <c r="C36" t="s">
        <v>10046</v>
      </c>
      <c r="D36" t="s">
        <v>23</v>
      </c>
      <c r="E36" t="s">
        <v>10047</v>
      </c>
      <c r="F36" s="5" t="s">
        <v>145</v>
      </c>
      <c r="G36" s="5" t="s">
        <v>145</v>
      </c>
      <c r="H36" t="s">
        <v>145</v>
      </c>
      <c r="I36" s="2" t="e">
        <f t="shared" si="2"/>
        <v>#VALUE!</v>
      </c>
      <c r="J36" s="4">
        <v>19600000</v>
      </c>
      <c r="K36" s="2" t="e">
        <f t="shared" si="3"/>
        <v>#VALUE!</v>
      </c>
      <c r="L36" t="s">
        <v>608</v>
      </c>
      <c r="M36" t="s">
        <v>80</v>
      </c>
      <c r="N36" t="b">
        <f t="shared" si="4"/>
        <v>0</v>
      </c>
    </row>
    <row r="37" spans="1:14" x14ac:dyDescent="0.15">
      <c r="A37" t="s">
        <v>9961</v>
      </c>
      <c r="B37" t="s">
        <v>10051</v>
      </c>
      <c r="C37" t="s">
        <v>10049</v>
      </c>
      <c r="D37" t="s">
        <v>15</v>
      </c>
      <c r="E37" t="s">
        <v>10050</v>
      </c>
      <c r="F37" s="5" t="str">
        <f>G37</f>
        <v>********</v>
      </c>
      <c r="G37" s="5" t="s">
        <v>145</v>
      </c>
      <c r="I37" s="2" t="e">
        <f t="shared" si="2"/>
        <v>#VALUE!</v>
      </c>
      <c r="K37" s="2" t="e">
        <f t="shared" si="3"/>
        <v>#VALUE!</v>
      </c>
      <c r="M37" t="s">
        <v>139</v>
      </c>
      <c r="N37" t="b">
        <f t="shared" si="4"/>
        <v>0</v>
      </c>
    </row>
    <row r="38" spans="1:14" x14ac:dyDescent="0.15">
      <c r="A38" t="s">
        <v>9961</v>
      </c>
      <c r="B38" t="s">
        <v>9967</v>
      </c>
      <c r="C38" t="s">
        <v>10052</v>
      </c>
      <c r="D38" t="s">
        <v>23</v>
      </c>
      <c r="E38" t="s">
        <v>10053</v>
      </c>
      <c r="F38" s="5">
        <v>7760000</v>
      </c>
      <c r="G38" s="5">
        <v>7760000</v>
      </c>
      <c r="H38" s="4">
        <v>6170000</v>
      </c>
      <c r="I38" s="2">
        <f t="shared" si="2"/>
        <v>0.79510309278350511</v>
      </c>
      <c r="J38" s="4">
        <v>6170000</v>
      </c>
      <c r="K38" s="2">
        <f t="shared" si="3"/>
        <v>0.79510309278350511</v>
      </c>
      <c r="L38" t="s">
        <v>10054</v>
      </c>
      <c r="M38" t="s">
        <v>165</v>
      </c>
      <c r="N38" t="b">
        <f t="shared" si="4"/>
        <v>0</v>
      </c>
    </row>
    <row r="39" spans="1:14" x14ac:dyDescent="0.15">
      <c r="A39" t="s">
        <v>9961</v>
      </c>
      <c r="B39" t="s">
        <v>9967</v>
      </c>
      <c r="C39" t="s">
        <v>10055</v>
      </c>
      <c r="D39" t="s">
        <v>118</v>
      </c>
      <c r="E39" t="s">
        <v>10056</v>
      </c>
      <c r="F39" s="5">
        <v>17730000</v>
      </c>
      <c r="G39" s="5">
        <v>17730000</v>
      </c>
      <c r="H39" s="4">
        <v>14173000</v>
      </c>
      <c r="I39" s="2">
        <f t="shared" si="2"/>
        <v>0.79937958262831355</v>
      </c>
      <c r="J39" s="4">
        <v>14641000</v>
      </c>
      <c r="K39" s="2">
        <f t="shared" si="3"/>
        <v>0.825775521714608</v>
      </c>
      <c r="L39" t="s">
        <v>3205</v>
      </c>
      <c r="M39" t="s">
        <v>248</v>
      </c>
      <c r="N39" t="b">
        <f t="shared" si="4"/>
        <v>0</v>
      </c>
    </row>
    <row r="40" spans="1:14" x14ac:dyDescent="0.15">
      <c r="A40" t="s">
        <v>9961</v>
      </c>
      <c r="B40" t="s">
        <v>9967</v>
      </c>
      <c r="C40" t="s">
        <v>10057</v>
      </c>
      <c r="D40" t="s">
        <v>118</v>
      </c>
      <c r="E40" t="s">
        <v>10058</v>
      </c>
      <c r="F40" s="5">
        <v>21800000</v>
      </c>
      <c r="G40" s="5">
        <v>21800000</v>
      </c>
      <c r="H40" s="4">
        <v>17516000</v>
      </c>
      <c r="I40" s="2">
        <f t="shared" si="2"/>
        <v>0.8034862385321101</v>
      </c>
      <c r="J40" s="4">
        <v>17516000</v>
      </c>
      <c r="K40" s="2">
        <f t="shared" si="3"/>
        <v>0.8034862385321101</v>
      </c>
      <c r="L40" t="s">
        <v>256</v>
      </c>
      <c r="M40" t="s">
        <v>3225</v>
      </c>
      <c r="N40" t="b">
        <f t="shared" si="4"/>
        <v>0</v>
      </c>
    </row>
    <row r="41" spans="1:14" x14ac:dyDescent="0.15">
      <c r="A41" t="s">
        <v>9961</v>
      </c>
      <c r="B41" t="s">
        <v>10027</v>
      </c>
      <c r="C41" t="s">
        <v>10059</v>
      </c>
      <c r="D41" t="s">
        <v>15</v>
      </c>
      <c r="E41" t="s">
        <v>10060</v>
      </c>
      <c r="F41" s="5" t="str">
        <f t="shared" ref="F41:F42" si="7">G41</f>
        <v>********</v>
      </c>
      <c r="G41" s="5" t="s">
        <v>145</v>
      </c>
      <c r="I41" s="2" t="e">
        <f t="shared" si="2"/>
        <v>#VALUE!</v>
      </c>
      <c r="K41" s="2" t="e">
        <f t="shared" si="3"/>
        <v>#VALUE!</v>
      </c>
      <c r="M41" t="s">
        <v>139</v>
      </c>
      <c r="N41" t="b">
        <f t="shared" si="4"/>
        <v>0</v>
      </c>
    </row>
    <row r="42" spans="1:14" x14ac:dyDescent="0.15">
      <c r="A42" t="s">
        <v>9961</v>
      </c>
      <c r="B42" t="s">
        <v>10063</v>
      </c>
      <c r="C42" t="s">
        <v>10061</v>
      </c>
      <c r="D42" t="s">
        <v>15</v>
      </c>
      <c r="E42" t="s">
        <v>10062</v>
      </c>
      <c r="F42" s="5" t="str">
        <f t="shared" si="7"/>
        <v>********</v>
      </c>
      <c r="G42" s="5" t="s">
        <v>145</v>
      </c>
      <c r="I42" s="2" t="e">
        <f t="shared" si="2"/>
        <v>#VALUE!</v>
      </c>
      <c r="K42" s="2" t="e">
        <f t="shared" si="3"/>
        <v>#VALUE!</v>
      </c>
      <c r="M42" t="s">
        <v>139</v>
      </c>
      <c r="N42" t="b">
        <f t="shared" si="4"/>
        <v>0</v>
      </c>
    </row>
    <row r="43" spans="1:14" x14ac:dyDescent="0.15">
      <c r="A43" t="s">
        <v>9961</v>
      </c>
      <c r="B43" t="s">
        <v>9967</v>
      </c>
      <c r="C43" t="s">
        <v>10064</v>
      </c>
      <c r="D43" t="s">
        <v>23</v>
      </c>
      <c r="E43" t="s">
        <v>10065</v>
      </c>
      <c r="F43" s="5">
        <v>6000000</v>
      </c>
      <c r="G43" s="5">
        <v>6000000</v>
      </c>
      <c r="H43" s="4">
        <v>4816000</v>
      </c>
      <c r="I43" s="2">
        <f t="shared" si="2"/>
        <v>0.80266666666666664</v>
      </c>
      <c r="J43" s="4">
        <v>5690000</v>
      </c>
      <c r="K43" s="2">
        <f t="shared" si="3"/>
        <v>0.94833333333333336</v>
      </c>
      <c r="L43" t="s">
        <v>256</v>
      </c>
      <c r="M43" t="s">
        <v>165</v>
      </c>
      <c r="N43" t="b">
        <f t="shared" si="4"/>
        <v>0</v>
      </c>
    </row>
    <row r="44" spans="1:14" x14ac:dyDescent="0.15">
      <c r="A44" t="s">
        <v>9961</v>
      </c>
      <c r="B44" t="s">
        <v>9967</v>
      </c>
      <c r="C44" t="s">
        <v>10066</v>
      </c>
      <c r="D44" t="s">
        <v>23</v>
      </c>
      <c r="E44" t="s">
        <v>10067</v>
      </c>
      <c r="F44" s="5">
        <v>6480000</v>
      </c>
      <c r="G44" s="5">
        <v>6480000</v>
      </c>
      <c r="H44" s="4">
        <v>5141000</v>
      </c>
      <c r="I44" s="2">
        <f t="shared" si="2"/>
        <v>0.79336419753086418</v>
      </c>
      <c r="J44" s="4">
        <v>5730000</v>
      </c>
      <c r="K44" s="2">
        <f t="shared" si="3"/>
        <v>0.8842592592592593</v>
      </c>
      <c r="L44" t="s">
        <v>10068</v>
      </c>
      <c r="M44" t="s">
        <v>165</v>
      </c>
      <c r="N44" t="b">
        <f t="shared" si="4"/>
        <v>0</v>
      </c>
    </row>
    <row r="45" spans="1:14" x14ac:dyDescent="0.15">
      <c r="A45" t="s">
        <v>9961</v>
      </c>
      <c r="B45" t="s">
        <v>9967</v>
      </c>
      <c r="C45" t="s">
        <v>10069</v>
      </c>
      <c r="D45" t="s">
        <v>118</v>
      </c>
      <c r="E45" t="s">
        <v>10070</v>
      </c>
      <c r="F45" s="5">
        <v>9500000</v>
      </c>
      <c r="G45" s="5">
        <v>9500000</v>
      </c>
      <c r="H45" s="4">
        <v>7624000</v>
      </c>
      <c r="I45" s="2">
        <f t="shared" si="2"/>
        <v>0.80252631578947364</v>
      </c>
      <c r="J45" s="4">
        <v>7624000</v>
      </c>
      <c r="K45" s="2">
        <f t="shared" si="3"/>
        <v>0.80252631578947364</v>
      </c>
      <c r="L45" t="s">
        <v>2598</v>
      </c>
      <c r="M45" t="s">
        <v>3238</v>
      </c>
      <c r="N45" t="b">
        <f t="shared" si="4"/>
        <v>0</v>
      </c>
    </row>
    <row r="46" spans="1:14" x14ac:dyDescent="0.15">
      <c r="A46" t="s">
        <v>9961</v>
      </c>
      <c r="B46" t="s">
        <v>9967</v>
      </c>
      <c r="C46" t="s">
        <v>10071</v>
      </c>
      <c r="D46" t="s">
        <v>118</v>
      </c>
      <c r="E46" t="s">
        <v>10072</v>
      </c>
      <c r="F46" s="5">
        <v>16450000</v>
      </c>
      <c r="G46" s="5">
        <v>16450000</v>
      </c>
      <c r="H46" s="4">
        <v>13214000</v>
      </c>
      <c r="I46" s="2">
        <f t="shared" si="2"/>
        <v>0.80328267477203652</v>
      </c>
      <c r="J46" s="4">
        <v>13214000</v>
      </c>
      <c r="K46" s="2">
        <f t="shared" si="3"/>
        <v>0.80328267477203652</v>
      </c>
      <c r="L46" t="s">
        <v>4317</v>
      </c>
      <c r="M46" t="s">
        <v>2579</v>
      </c>
      <c r="N46" t="b">
        <f t="shared" si="4"/>
        <v>0</v>
      </c>
    </row>
    <row r="47" spans="1:14" x14ac:dyDescent="0.15">
      <c r="A47" t="s">
        <v>9961</v>
      </c>
      <c r="B47" t="s">
        <v>9967</v>
      </c>
      <c r="C47" t="s">
        <v>10073</v>
      </c>
      <c r="D47" t="s">
        <v>118</v>
      </c>
      <c r="E47" t="s">
        <v>10074</v>
      </c>
      <c r="F47" s="5">
        <v>18010000</v>
      </c>
      <c r="G47" s="5">
        <v>18010000</v>
      </c>
      <c r="H47" s="4">
        <v>14453000</v>
      </c>
      <c r="I47" s="2">
        <f t="shared" si="2"/>
        <v>0.80249861188228766</v>
      </c>
      <c r="J47" s="4">
        <v>14453000</v>
      </c>
      <c r="K47" s="2">
        <f t="shared" si="3"/>
        <v>0.80249861188228766</v>
      </c>
      <c r="L47" t="s">
        <v>786</v>
      </c>
      <c r="M47" t="s">
        <v>174</v>
      </c>
      <c r="N47" t="b">
        <f t="shared" si="4"/>
        <v>0</v>
      </c>
    </row>
    <row r="48" spans="1:14" x14ac:dyDescent="0.15">
      <c r="A48" t="s">
        <v>9961</v>
      </c>
      <c r="B48" t="s">
        <v>9967</v>
      </c>
      <c r="C48" t="s">
        <v>10075</v>
      </c>
      <c r="D48" t="s">
        <v>118</v>
      </c>
      <c r="E48" t="s">
        <v>544</v>
      </c>
      <c r="F48" s="5">
        <v>30410000</v>
      </c>
      <c r="G48" s="5">
        <v>30410000</v>
      </c>
      <c r="H48" s="4">
        <v>24395000</v>
      </c>
      <c r="I48" s="2">
        <f t="shared" si="2"/>
        <v>0.80220322262413679</v>
      </c>
      <c r="J48" s="4">
        <v>24396000</v>
      </c>
      <c r="K48" s="2">
        <f t="shared" si="3"/>
        <v>0.80223610654389998</v>
      </c>
      <c r="L48" t="s">
        <v>10068</v>
      </c>
      <c r="M48" t="s">
        <v>80</v>
      </c>
      <c r="N48" t="b">
        <f t="shared" si="4"/>
        <v>0</v>
      </c>
    </row>
    <row r="49" spans="1:14" x14ac:dyDescent="0.15">
      <c r="A49" t="s">
        <v>9961</v>
      </c>
      <c r="B49" t="s">
        <v>9967</v>
      </c>
      <c r="C49" t="s">
        <v>10076</v>
      </c>
      <c r="D49" t="s">
        <v>23</v>
      </c>
      <c r="E49" t="s">
        <v>10077</v>
      </c>
      <c r="F49" s="5">
        <v>2980000</v>
      </c>
      <c r="G49" s="5">
        <v>2980000</v>
      </c>
      <c r="H49" s="4">
        <v>2333000</v>
      </c>
      <c r="I49" s="2">
        <f t="shared" si="2"/>
        <v>0.78288590604026842</v>
      </c>
      <c r="J49" s="4">
        <v>2800000</v>
      </c>
      <c r="K49" s="2">
        <f t="shared" si="3"/>
        <v>0.93959731543624159</v>
      </c>
      <c r="L49" t="s">
        <v>10068</v>
      </c>
      <c r="M49" t="s">
        <v>432</v>
      </c>
      <c r="N49" t="b">
        <f t="shared" si="4"/>
        <v>0</v>
      </c>
    </row>
    <row r="50" spans="1:14" x14ac:dyDescent="0.15">
      <c r="A50" t="s">
        <v>9961</v>
      </c>
      <c r="B50" t="s">
        <v>9976</v>
      </c>
      <c r="C50" t="s">
        <v>10078</v>
      </c>
      <c r="D50" t="s">
        <v>23</v>
      </c>
      <c r="E50" t="s">
        <v>10079</v>
      </c>
      <c r="F50" s="5">
        <v>7120000</v>
      </c>
      <c r="G50" s="5">
        <v>7120000</v>
      </c>
      <c r="H50" s="4">
        <v>5714000</v>
      </c>
      <c r="I50" s="2">
        <f t="shared" si="2"/>
        <v>0.80252808988764046</v>
      </c>
      <c r="J50" s="4">
        <v>5714000</v>
      </c>
      <c r="K50" s="2">
        <f t="shared" si="3"/>
        <v>0.80252808988764046</v>
      </c>
      <c r="L50" t="s">
        <v>10054</v>
      </c>
      <c r="M50" t="s">
        <v>174</v>
      </c>
      <c r="N50" t="b">
        <f t="shared" si="4"/>
        <v>0</v>
      </c>
    </row>
    <row r="51" spans="1:14" x14ac:dyDescent="0.15">
      <c r="A51" t="s">
        <v>9961</v>
      </c>
      <c r="B51" t="s">
        <v>9976</v>
      </c>
      <c r="C51" t="s">
        <v>10080</v>
      </c>
      <c r="D51" t="s">
        <v>23</v>
      </c>
      <c r="E51" t="s">
        <v>10081</v>
      </c>
      <c r="F51" s="5">
        <v>6410000</v>
      </c>
      <c r="G51" s="5">
        <v>6410000</v>
      </c>
      <c r="H51" s="4">
        <v>5142000</v>
      </c>
      <c r="I51" s="2">
        <f t="shared" si="2"/>
        <v>0.80218408736349456</v>
      </c>
      <c r="J51" s="4">
        <v>6000000</v>
      </c>
      <c r="K51" s="2">
        <f t="shared" si="3"/>
        <v>0.93603744149765988</v>
      </c>
      <c r="L51" t="s">
        <v>4415</v>
      </c>
      <c r="M51" t="s">
        <v>174</v>
      </c>
      <c r="N51" t="b">
        <f t="shared" si="4"/>
        <v>0</v>
      </c>
    </row>
    <row r="52" spans="1:14" x14ac:dyDescent="0.15">
      <c r="A52" t="s">
        <v>9961</v>
      </c>
      <c r="B52" t="s">
        <v>9976</v>
      </c>
      <c r="C52" t="s">
        <v>10082</v>
      </c>
      <c r="D52" t="s">
        <v>23</v>
      </c>
      <c r="E52" t="s">
        <v>10083</v>
      </c>
      <c r="F52" s="5">
        <v>7190000</v>
      </c>
      <c r="G52" s="5">
        <v>7190000</v>
      </c>
      <c r="H52" s="4">
        <v>5769000</v>
      </c>
      <c r="I52" s="2">
        <f t="shared" si="2"/>
        <v>0.8023643949930459</v>
      </c>
      <c r="J52" s="4">
        <v>5769000</v>
      </c>
      <c r="K52" s="2">
        <f t="shared" si="3"/>
        <v>0.8023643949930459</v>
      </c>
      <c r="L52" t="s">
        <v>10084</v>
      </c>
      <c r="M52" t="s">
        <v>174</v>
      </c>
      <c r="N52" t="b">
        <f t="shared" si="4"/>
        <v>0</v>
      </c>
    </row>
    <row r="53" spans="1:14" x14ac:dyDescent="0.15">
      <c r="A53" t="s">
        <v>9961</v>
      </c>
      <c r="B53" t="s">
        <v>10027</v>
      </c>
      <c r="C53" t="s">
        <v>10085</v>
      </c>
      <c r="D53" t="s">
        <v>23</v>
      </c>
      <c r="E53" t="s">
        <v>10086</v>
      </c>
      <c r="F53" s="5" t="str">
        <f t="shared" ref="F53:F54" si="8">G53</f>
        <v>********</v>
      </c>
      <c r="G53" s="5" t="s">
        <v>145</v>
      </c>
      <c r="H53" t="s">
        <v>145</v>
      </c>
      <c r="I53" s="2" t="e">
        <f t="shared" si="2"/>
        <v>#VALUE!</v>
      </c>
      <c r="J53" s="4">
        <v>4400000</v>
      </c>
      <c r="K53" s="2" t="e">
        <f t="shared" si="3"/>
        <v>#VALUE!</v>
      </c>
      <c r="L53" t="s">
        <v>1541</v>
      </c>
      <c r="M53" t="s">
        <v>192</v>
      </c>
      <c r="N53" t="b">
        <f t="shared" si="4"/>
        <v>0</v>
      </c>
    </row>
    <row r="54" spans="1:14" x14ac:dyDescent="0.15">
      <c r="A54" t="s">
        <v>9961</v>
      </c>
      <c r="B54" t="s">
        <v>10027</v>
      </c>
      <c r="C54" t="s">
        <v>10087</v>
      </c>
      <c r="D54" t="s">
        <v>23</v>
      </c>
      <c r="E54" t="s">
        <v>10088</v>
      </c>
      <c r="F54" s="5" t="str">
        <f t="shared" si="8"/>
        <v>********</v>
      </c>
      <c r="G54" s="5" t="s">
        <v>145</v>
      </c>
      <c r="H54" t="s">
        <v>145</v>
      </c>
      <c r="I54" s="2" t="e">
        <f t="shared" si="2"/>
        <v>#VALUE!</v>
      </c>
      <c r="J54" s="4">
        <v>4000000</v>
      </c>
      <c r="K54" s="2" t="e">
        <f t="shared" si="3"/>
        <v>#VALUE!</v>
      </c>
      <c r="L54" t="s">
        <v>2122</v>
      </c>
      <c r="M54" t="s">
        <v>192</v>
      </c>
      <c r="N54" t="b">
        <f t="shared" si="4"/>
        <v>0</v>
      </c>
    </row>
    <row r="55" spans="1:14" x14ac:dyDescent="0.15">
      <c r="A55" t="s">
        <v>9961</v>
      </c>
      <c r="B55" t="s">
        <v>10045</v>
      </c>
      <c r="C55" t="s">
        <v>10089</v>
      </c>
      <c r="D55" t="s">
        <v>23</v>
      </c>
      <c r="E55" t="s">
        <v>10090</v>
      </c>
      <c r="F55" s="5" t="s">
        <v>145</v>
      </c>
      <c r="G55" s="5" t="s">
        <v>145</v>
      </c>
      <c r="H55" t="s">
        <v>145</v>
      </c>
      <c r="I55" s="2" t="e">
        <f t="shared" si="2"/>
        <v>#VALUE!</v>
      </c>
      <c r="J55" s="4">
        <v>2900000</v>
      </c>
      <c r="K55" s="2" t="e">
        <f t="shared" si="3"/>
        <v>#VALUE!</v>
      </c>
      <c r="L55" t="s">
        <v>10068</v>
      </c>
      <c r="M55" t="s">
        <v>192</v>
      </c>
      <c r="N55" t="b">
        <f t="shared" si="4"/>
        <v>0</v>
      </c>
    </row>
    <row r="56" spans="1:14" x14ac:dyDescent="0.15">
      <c r="A56" t="s">
        <v>9961</v>
      </c>
      <c r="B56" t="s">
        <v>9967</v>
      </c>
      <c r="C56" t="s">
        <v>10091</v>
      </c>
      <c r="D56" t="s">
        <v>118</v>
      </c>
      <c r="E56" t="s">
        <v>10092</v>
      </c>
      <c r="F56" s="5">
        <v>10940000</v>
      </c>
      <c r="G56" s="5">
        <v>10940000</v>
      </c>
      <c r="H56" s="4">
        <v>8779000</v>
      </c>
      <c r="I56" s="2">
        <f t="shared" si="2"/>
        <v>0.80246800731261425</v>
      </c>
      <c r="J56" s="4">
        <v>8780000</v>
      </c>
      <c r="K56" s="2">
        <f t="shared" si="3"/>
        <v>0.80255941499085925</v>
      </c>
      <c r="L56" t="s">
        <v>256</v>
      </c>
      <c r="M56" t="s">
        <v>353</v>
      </c>
      <c r="N56" t="b">
        <f t="shared" si="4"/>
        <v>0</v>
      </c>
    </row>
    <row r="57" spans="1:14" x14ac:dyDescent="0.15">
      <c r="A57" t="s">
        <v>9961</v>
      </c>
      <c r="B57" t="s">
        <v>9967</v>
      </c>
      <c r="C57" t="s">
        <v>10093</v>
      </c>
      <c r="D57" t="s">
        <v>118</v>
      </c>
      <c r="E57" t="s">
        <v>10094</v>
      </c>
      <c r="F57" s="5">
        <v>16720000</v>
      </c>
      <c r="G57" s="5">
        <v>16720000</v>
      </c>
      <c r="H57" s="4">
        <v>13418000</v>
      </c>
      <c r="I57" s="2">
        <f t="shared" si="2"/>
        <v>0.80251196172248807</v>
      </c>
      <c r="J57" s="4">
        <v>15100000</v>
      </c>
      <c r="K57" s="2">
        <f t="shared" si="3"/>
        <v>0.90311004784688997</v>
      </c>
      <c r="L57" t="s">
        <v>1541</v>
      </c>
      <c r="M57" t="s">
        <v>80</v>
      </c>
      <c r="N57" t="b">
        <f t="shared" si="4"/>
        <v>0</v>
      </c>
    </row>
    <row r="58" spans="1:14" x14ac:dyDescent="0.15">
      <c r="A58" t="s">
        <v>9961</v>
      </c>
      <c r="B58" t="s">
        <v>9967</v>
      </c>
      <c r="C58" t="s">
        <v>10095</v>
      </c>
      <c r="D58" t="s">
        <v>118</v>
      </c>
      <c r="E58" t="s">
        <v>790</v>
      </c>
      <c r="F58" s="5">
        <v>27790000</v>
      </c>
      <c r="G58" s="5">
        <v>27790000</v>
      </c>
      <c r="H58" s="4">
        <v>22307000</v>
      </c>
      <c r="I58" s="2">
        <f t="shared" si="2"/>
        <v>0.80269881252249009</v>
      </c>
      <c r="J58" s="4">
        <v>22524000</v>
      </c>
      <c r="K58" s="2">
        <f t="shared" si="3"/>
        <v>0.81050737675422813</v>
      </c>
      <c r="L58" t="s">
        <v>839</v>
      </c>
      <c r="M58" t="s">
        <v>765</v>
      </c>
      <c r="N58" t="b">
        <f t="shared" si="4"/>
        <v>0</v>
      </c>
    </row>
    <row r="59" spans="1:14" x14ac:dyDescent="0.15">
      <c r="A59" t="s">
        <v>9961</v>
      </c>
      <c r="B59" t="s">
        <v>9967</v>
      </c>
      <c r="C59" t="s">
        <v>10096</v>
      </c>
      <c r="D59" t="s">
        <v>23</v>
      </c>
      <c r="E59" t="s">
        <v>10097</v>
      </c>
      <c r="F59" s="5">
        <v>4330000</v>
      </c>
      <c r="G59" s="5">
        <v>4330000</v>
      </c>
      <c r="H59" s="4">
        <v>3446000</v>
      </c>
      <c r="I59" s="2">
        <f t="shared" si="2"/>
        <v>0.79584295612009237</v>
      </c>
      <c r="J59" s="4">
        <v>4100000</v>
      </c>
      <c r="K59" s="2">
        <f t="shared" si="3"/>
        <v>0.94688221709006926</v>
      </c>
      <c r="L59" t="s">
        <v>10028</v>
      </c>
      <c r="M59" t="s">
        <v>432</v>
      </c>
      <c r="N59" t="b">
        <f t="shared" si="4"/>
        <v>0</v>
      </c>
    </row>
    <row r="60" spans="1:14" x14ac:dyDescent="0.15">
      <c r="A60" t="s">
        <v>9961</v>
      </c>
      <c r="B60" t="s">
        <v>9967</v>
      </c>
      <c r="C60" t="s">
        <v>10098</v>
      </c>
      <c r="D60" t="s">
        <v>23</v>
      </c>
      <c r="E60" t="s">
        <v>10099</v>
      </c>
      <c r="F60" s="5">
        <v>6190000</v>
      </c>
      <c r="G60" s="5">
        <v>6190000</v>
      </c>
      <c r="H60" s="4">
        <v>4960000</v>
      </c>
      <c r="I60" s="2">
        <f t="shared" si="2"/>
        <v>0.80129240710823912</v>
      </c>
      <c r="J60" s="4">
        <v>5480000</v>
      </c>
      <c r="K60" s="2">
        <f t="shared" si="3"/>
        <v>0.88529886914378031</v>
      </c>
      <c r="L60" t="s">
        <v>10100</v>
      </c>
      <c r="M60" t="s">
        <v>165</v>
      </c>
      <c r="N60" t="b">
        <f t="shared" si="4"/>
        <v>0</v>
      </c>
    </row>
    <row r="61" spans="1:14" x14ac:dyDescent="0.15">
      <c r="A61" t="s">
        <v>9961</v>
      </c>
      <c r="B61" t="s">
        <v>9967</v>
      </c>
      <c r="C61" t="s">
        <v>10101</v>
      </c>
      <c r="D61" t="s">
        <v>118</v>
      </c>
      <c r="E61" t="s">
        <v>10102</v>
      </c>
      <c r="F61" s="5">
        <v>11600000</v>
      </c>
      <c r="G61" s="5">
        <v>11600000</v>
      </c>
      <c r="H61" s="4">
        <v>9309000</v>
      </c>
      <c r="I61" s="2">
        <f t="shared" si="2"/>
        <v>0.80249999999999999</v>
      </c>
      <c r="J61" s="4">
        <v>9309000</v>
      </c>
      <c r="K61" s="2">
        <f t="shared" si="3"/>
        <v>0.80249999999999999</v>
      </c>
      <c r="L61" t="s">
        <v>5068</v>
      </c>
      <c r="M61" t="s">
        <v>80</v>
      </c>
      <c r="N61" t="b">
        <f t="shared" si="4"/>
        <v>0</v>
      </c>
    </row>
    <row r="62" spans="1:14" x14ac:dyDescent="0.15">
      <c r="A62" t="s">
        <v>9961</v>
      </c>
      <c r="B62" t="s">
        <v>9967</v>
      </c>
      <c r="C62" t="s">
        <v>10103</v>
      </c>
      <c r="D62" t="s">
        <v>118</v>
      </c>
      <c r="E62" t="s">
        <v>10104</v>
      </c>
      <c r="F62" s="5">
        <v>21170000</v>
      </c>
      <c r="G62" s="5">
        <v>21170000</v>
      </c>
      <c r="H62" s="4">
        <v>16990000</v>
      </c>
      <c r="I62" s="2">
        <f t="shared" si="2"/>
        <v>0.80255077940481812</v>
      </c>
      <c r="J62" s="4">
        <v>16990000</v>
      </c>
      <c r="K62" s="2">
        <f t="shared" si="3"/>
        <v>0.80255077940481812</v>
      </c>
      <c r="L62" t="s">
        <v>10105</v>
      </c>
      <c r="M62" t="s">
        <v>192</v>
      </c>
      <c r="N62" t="b">
        <f t="shared" si="4"/>
        <v>0</v>
      </c>
    </row>
    <row r="63" spans="1:14" x14ac:dyDescent="0.15">
      <c r="A63" t="s">
        <v>9961</v>
      </c>
      <c r="B63" t="s">
        <v>9967</v>
      </c>
      <c r="C63" t="s">
        <v>10106</v>
      </c>
      <c r="D63" t="s">
        <v>23</v>
      </c>
      <c r="E63" t="s">
        <v>10107</v>
      </c>
      <c r="F63" s="5">
        <v>2810000</v>
      </c>
      <c r="G63" s="5">
        <v>2810000</v>
      </c>
      <c r="H63" s="4">
        <v>2256000</v>
      </c>
      <c r="I63" s="2">
        <f t="shared" si="2"/>
        <v>0.80284697508896796</v>
      </c>
      <c r="J63" s="4">
        <v>2650000</v>
      </c>
      <c r="K63" s="2">
        <f t="shared" si="3"/>
        <v>0.94306049822064053</v>
      </c>
      <c r="L63" t="s">
        <v>2674</v>
      </c>
      <c r="M63" t="s">
        <v>432</v>
      </c>
      <c r="N63" t="b">
        <f t="shared" si="4"/>
        <v>0</v>
      </c>
    </row>
    <row r="64" spans="1:14" x14ac:dyDescent="0.15">
      <c r="A64" t="s">
        <v>9961</v>
      </c>
      <c r="B64" t="s">
        <v>9967</v>
      </c>
      <c r="C64" t="s">
        <v>10108</v>
      </c>
      <c r="D64" t="s">
        <v>23</v>
      </c>
      <c r="E64" t="s">
        <v>10109</v>
      </c>
      <c r="F64" s="5">
        <v>2810000</v>
      </c>
      <c r="G64" s="5">
        <v>2810000</v>
      </c>
      <c r="H64" s="4">
        <v>2256000</v>
      </c>
      <c r="I64" s="2">
        <f t="shared" si="2"/>
        <v>0.80284697508896796</v>
      </c>
      <c r="J64" s="4">
        <v>2770000</v>
      </c>
      <c r="K64" s="2">
        <f t="shared" si="3"/>
        <v>0.98576512455516019</v>
      </c>
      <c r="L64" t="s">
        <v>231</v>
      </c>
      <c r="M64" t="s">
        <v>432</v>
      </c>
      <c r="N64" t="b">
        <f t="shared" si="4"/>
        <v>0</v>
      </c>
    </row>
    <row r="65" spans="1:14" x14ac:dyDescent="0.15">
      <c r="A65" t="s">
        <v>9961</v>
      </c>
      <c r="B65" t="s">
        <v>9967</v>
      </c>
      <c r="C65" t="s">
        <v>10110</v>
      </c>
      <c r="D65" t="s">
        <v>23</v>
      </c>
      <c r="E65" t="s">
        <v>10111</v>
      </c>
      <c r="F65" s="5">
        <v>3640000</v>
      </c>
      <c r="G65" s="5">
        <v>3640000</v>
      </c>
      <c r="H65" s="4">
        <v>2923000</v>
      </c>
      <c r="I65" s="2">
        <f t="shared" si="2"/>
        <v>0.80302197802197806</v>
      </c>
      <c r="J65" s="4">
        <v>3540000</v>
      </c>
      <c r="K65" s="2">
        <f t="shared" si="3"/>
        <v>0.97252747252747251</v>
      </c>
      <c r="L65" t="s">
        <v>64</v>
      </c>
      <c r="M65" t="s">
        <v>432</v>
      </c>
      <c r="N65" t="b">
        <f t="shared" si="4"/>
        <v>0</v>
      </c>
    </row>
    <row r="66" spans="1:14" x14ac:dyDescent="0.15">
      <c r="A66" t="s">
        <v>9961</v>
      </c>
      <c r="B66" t="s">
        <v>10027</v>
      </c>
      <c r="C66" t="s">
        <v>10112</v>
      </c>
      <c r="D66" t="s">
        <v>23</v>
      </c>
      <c r="E66" t="s">
        <v>10113</v>
      </c>
      <c r="F66" s="5" t="str">
        <f t="shared" ref="F66:F70" si="9">G66</f>
        <v>********</v>
      </c>
      <c r="G66" s="5" t="s">
        <v>145</v>
      </c>
      <c r="H66" t="s">
        <v>145</v>
      </c>
      <c r="I66" s="2" t="e">
        <f t="shared" si="2"/>
        <v>#VALUE!</v>
      </c>
      <c r="J66" s="4">
        <v>3980000</v>
      </c>
      <c r="K66" s="2" t="e">
        <f t="shared" si="3"/>
        <v>#VALUE!</v>
      </c>
      <c r="L66" t="s">
        <v>4816</v>
      </c>
      <c r="M66" t="s">
        <v>192</v>
      </c>
      <c r="N66" t="b">
        <f t="shared" si="4"/>
        <v>0</v>
      </c>
    </row>
    <row r="67" spans="1:14" x14ac:dyDescent="0.15">
      <c r="A67" t="s">
        <v>9961</v>
      </c>
      <c r="B67" t="s">
        <v>10027</v>
      </c>
      <c r="C67" t="s">
        <v>10114</v>
      </c>
      <c r="D67" t="s">
        <v>23</v>
      </c>
      <c r="E67" t="s">
        <v>10115</v>
      </c>
      <c r="F67" s="5" t="str">
        <f t="shared" si="9"/>
        <v>********</v>
      </c>
      <c r="G67" s="5" t="s">
        <v>145</v>
      </c>
      <c r="H67" t="s">
        <v>145</v>
      </c>
      <c r="I67" s="2" t="e">
        <f t="shared" si="2"/>
        <v>#VALUE!</v>
      </c>
      <c r="J67" s="4">
        <v>4300000</v>
      </c>
      <c r="K67" s="2" t="e">
        <f t="shared" si="3"/>
        <v>#VALUE!</v>
      </c>
      <c r="L67" t="s">
        <v>1458</v>
      </c>
      <c r="M67" t="s">
        <v>192</v>
      </c>
      <c r="N67" t="b">
        <f t="shared" si="4"/>
        <v>0</v>
      </c>
    </row>
    <row r="68" spans="1:14" x14ac:dyDescent="0.15">
      <c r="A68" t="s">
        <v>9961</v>
      </c>
      <c r="B68" t="s">
        <v>10027</v>
      </c>
      <c r="C68" t="s">
        <v>10116</v>
      </c>
      <c r="D68" t="s">
        <v>23</v>
      </c>
      <c r="E68" t="s">
        <v>10117</v>
      </c>
      <c r="F68" s="5" t="str">
        <f t="shared" si="9"/>
        <v>********</v>
      </c>
      <c r="G68" s="5" t="s">
        <v>145</v>
      </c>
      <c r="H68" t="s">
        <v>145</v>
      </c>
      <c r="I68" s="2" t="e">
        <f t="shared" ref="I68:I131" si="10">H68/G68</f>
        <v>#VALUE!</v>
      </c>
      <c r="J68" s="4">
        <v>4100000</v>
      </c>
      <c r="K68" s="2" t="e">
        <f t="shared" ref="K68:K131" si="11">J68/G68</f>
        <v>#VALUE!</v>
      </c>
      <c r="L68" t="s">
        <v>10028</v>
      </c>
      <c r="M68" t="s">
        <v>192</v>
      </c>
      <c r="N68" t="b">
        <f t="shared" ref="N68:N131" si="12">F68&lt;&gt;G68</f>
        <v>0</v>
      </c>
    </row>
    <row r="69" spans="1:14" x14ac:dyDescent="0.15">
      <c r="A69" t="s">
        <v>9961</v>
      </c>
      <c r="B69" t="s">
        <v>10027</v>
      </c>
      <c r="C69" t="s">
        <v>10118</v>
      </c>
      <c r="D69" t="s">
        <v>23</v>
      </c>
      <c r="E69" t="s">
        <v>10119</v>
      </c>
      <c r="F69" s="5" t="str">
        <f t="shared" si="9"/>
        <v>********</v>
      </c>
      <c r="G69" s="5" t="s">
        <v>145</v>
      </c>
      <c r="H69" t="s">
        <v>145</v>
      </c>
      <c r="I69" s="2" t="e">
        <f t="shared" si="10"/>
        <v>#VALUE!</v>
      </c>
      <c r="J69" s="4">
        <v>3780000</v>
      </c>
      <c r="K69" s="2" t="e">
        <f t="shared" si="11"/>
        <v>#VALUE!</v>
      </c>
      <c r="L69" t="s">
        <v>4816</v>
      </c>
      <c r="M69" t="s">
        <v>192</v>
      </c>
      <c r="N69" t="b">
        <f t="shared" si="12"/>
        <v>0</v>
      </c>
    </row>
    <row r="70" spans="1:14" x14ac:dyDescent="0.15">
      <c r="A70" t="s">
        <v>9961</v>
      </c>
      <c r="B70" t="s">
        <v>10122</v>
      </c>
      <c r="C70" t="s">
        <v>10120</v>
      </c>
      <c r="D70" t="s">
        <v>23</v>
      </c>
      <c r="E70" t="s">
        <v>10121</v>
      </c>
      <c r="F70" s="5" t="str">
        <f t="shared" si="9"/>
        <v>********</v>
      </c>
      <c r="G70" s="5" t="s">
        <v>145</v>
      </c>
      <c r="H70" t="s">
        <v>145</v>
      </c>
      <c r="I70" s="2" t="e">
        <f t="shared" si="10"/>
        <v>#VALUE!</v>
      </c>
      <c r="J70" s="4">
        <v>8550000</v>
      </c>
      <c r="K70" s="2" t="e">
        <f t="shared" si="11"/>
        <v>#VALUE!</v>
      </c>
      <c r="L70" t="s">
        <v>1541</v>
      </c>
      <c r="M70" t="s">
        <v>192</v>
      </c>
      <c r="N70" t="b">
        <f t="shared" si="12"/>
        <v>0</v>
      </c>
    </row>
    <row r="71" spans="1:14" x14ac:dyDescent="0.15">
      <c r="A71" t="s">
        <v>9961</v>
      </c>
      <c r="B71" t="s">
        <v>9967</v>
      </c>
      <c r="C71" t="s">
        <v>10123</v>
      </c>
      <c r="D71" t="s">
        <v>118</v>
      </c>
      <c r="E71" t="s">
        <v>10124</v>
      </c>
      <c r="F71" s="5">
        <v>10530000</v>
      </c>
      <c r="G71" s="5">
        <v>10530000</v>
      </c>
      <c r="H71" s="4">
        <v>8452000</v>
      </c>
      <c r="I71" s="2">
        <f t="shared" si="10"/>
        <v>0.80265906932573594</v>
      </c>
      <c r="J71" s="4">
        <v>8452000</v>
      </c>
      <c r="K71" s="2">
        <f t="shared" si="11"/>
        <v>0.80265906932573594</v>
      </c>
      <c r="L71" t="s">
        <v>1783</v>
      </c>
      <c r="M71" t="s">
        <v>248</v>
      </c>
      <c r="N71" t="b">
        <f t="shared" si="12"/>
        <v>0</v>
      </c>
    </row>
    <row r="72" spans="1:14" x14ac:dyDescent="0.15">
      <c r="A72" t="s">
        <v>9961</v>
      </c>
      <c r="B72" t="s">
        <v>9967</v>
      </c>
      <c r="C72" t="s">
        <v>10125</v>
      </c>
      <c r="D72" t="s">
        <v>118</v>
      </c>
      <c r="E72" t="s">
        <v>10126</v>
      </c>
      <c r="F72" s="5">
        <v>11590000</v>
      </c>
      <c r="G72" s="5">
        <v>11590000</v>
      </c>
      <c r="H72" s="4">
        <v>9301000</v>
      </c>
      <c r="I72" s="2">
        <f t="shared" si="10"/>
        <v>0.80250215703192407</v>
      </c>
      <c r="J72" s="4">
        <v>9301000</v>
      </c>
      <c r="K72" s="2">
        <f t="shared" si="11"/>
        <v>0.80250215703192407</v>
      </c>
      <c r="L72" t="s">
        <v>10054</v>
      </c>
      <c r="M72" t="s">
        <v>31</v>
      </c>
      <c r="N72" t="b">
        <f t="shared" si="12"/>
        <v>0</v>
      </c>
    </row>
    <row r="73" spans="1:14" x14ac:dyDescent="0.15">
      <c r="A73" t="s">
        <v>9961</v>
      </c>
      <c r="B73" t="s">
        <v>9967</v>
      </c>
      <c r="C73" t="s">
        <v>10127</v>
      </c>
      <c r="D73" t="s">
        <v>118</v>
      </c>
      <c r="E73" t="s">
        <v>10128</v>
      </c>
      <c r="F73" s="5">
        <v>13430000</v>
      </c>
      <c r="G73" s="5">
        <v>13430000</v>
      </c>
      <c r="H73" s="4">
        <v>10591000</v>
      </c>
      <c r="I73" s="2">
        <f t="shared" si="10"/>
        <v>0.78860759493670884</v>
      </c>
      <c r="J73" s="4">
        <v>10591000</v>
      </c>
      <c r="K73" s="2">
        <f t="shared" si="11"/>
        <v>0.78860759493670884</v>
      </c>
      <c r="L73" t="s">
        <v>4317</v>
      </c>
      <c r="M73" t="s">
        <v>1972</v>
      </c>
      <c r="N73" t="b">
        <f t="shared" si="12"/>
        <v>0</v>
      </c>
    </row>
    <row r="74" spans="1:14" x14ac:dyDescent="0.15">
      <c r="A74" t="s">
        <v>9961</v>
      </c>
      <c r="B74" t="s">
        <v>9967</v>
      </c>
      <c r="C74" t="s">
        <v>10129</v>
      </c>
      <c r="D74" t="s">
        <v>118</v>
      </c>
      <c r="E74" t="s">
        <v>10130</v>
      </c>
      <c r="F74" s="5">
        <v>53340000</v>
      </c>
      <c r="G74" s="5">
        <v>53340000</v>
      </c>
      <c r="H74" s="4">
        <v>42731000</v>
      </c>
      <c r="I74" s="2">
        <f t="shared" si="10"/>
        <v>0.80110611173603297</v>
      </c>
      <c r="J74" s="4">
        <v>42731000</v>
      </c>
      <c r="K74" s="2">
        <f t="shared" si="11"/>
        <v>0.80110611173603297</v>
      </c>
      <c r="L74" t="s">
        <v>256</v>
      </c>
      <c r="M74" t="s">
        <v>1972</v>
      </c>
      <c r="N74" t="b">
        <f t="shared" si="12"/>
        <v>0</v>
      </c>
    </row>
    <row r="75" spans="1:14" x14ac:dyDescent="0.15">
      <c r="A75" t="s">
        <v>9961</v>
      </c>
      <c r="B75" t="s">
        <v>9967</v>
      </c>
      <c r="C75" t="s">
        <v>10131</v>
      </c>
      <c r="D75" t="s">
        <v>23</v>
      </c>
      <c r="E75" t="s">
        <v>10132</v>
      </c>
      <c r="F75" s="5">
        <v>3340000</v>
      </c>
      <c r="G75" s="5">
        <v>3340000</v>
      </c>
      <c r="H75" s="4">
        <v>2683000</v>
      </c>
      <c r="I75" s="2">
        <f t="shared" si="10"/>
        <v>0.80329341317365266</v>
      </c>
      <c r="J75" s="4">
        <v>3100000</v>
      </c>
      <c r="K75" s="2">
        <f t="shared" si="11"/>
        <v>0.92814371257485029</v>
      </c>
      <c r="L75" t="s">
        <v>263</v>
      </c>
      <c r="M75" t="s">
        <v>432</v>
      </c>
      <c r="N75" t="b">
        <f t="shared" si="12"/>
        <v>0</v>
      </c>
    </row>
    <row r="76" spans="1:14" x14ac:dyDescent="0.15">
      <c r="A76" t="s">
        <v>9961</v>
      </c>
      <c r="B76" t="s">
        <v>9967</v>
      </c>
      <c r="C76" t="s">
        <v>10133</v>
      </c>
      <c r="D76" t="s">
        <v>23</v>
      </c>
      <c r="E76" t="s">
        <v>10134</v>
      </c>
      <c r="F76" s="5">
        <v>4410000</v>
      </c>
      <c r="G76" s="5">
        <v>4410000</v>
      </c>
      <c r="H76" s="4">
        <v>3539000</v>
      </c>
      <c r="I76" s="2">
        <f t="shared" si="10"/>
        <v>0.80249433106575963</v>
      </c>
      <c r="J76" s="4">
        <v>4050000</v>
      </c>
      <c r="K76" s="2">
        <f t="shared" si="11"/>
        <v>0.91836734693877553</v>
      </c>
      <c r="L76" t="s">
        <v>9984</v>
      </c>
      <c r="M76" t="s">
        <v>432</v>
      </c>
      <c r="N76" t="b">
        <f t="shared" si="12"/>
        <v>0</v>
      </c>
    </row>
    <row r="77" spans="1:14" x14ac:dyDescent="0.15">
      <c r="A77" t="s">
        <v>9961</v>
      </c>
      <c r="B77" t="s">
        <v>9967</v>
      </c>
      <c r="C77" t="s">
        <v>10135</v>
      </c>
      <c r="D77" t="s">
        <v>15</v>
      </c>
      <c r="E77" t="s">
        <v>10136</v>
      </c>
      <c r="F77" s="5">
        <v>4410000</v>
      </c>
      <c r="G77" s="5">
        <v>4410000</v>
      </c>
      <c r="I77" s="2">
        <f t="shared" si="10"/>
        <v>0</v>
      </c>
      <c r="K77" s="2">
        <f t="shared" si="11"/>
        <v>0</v>
      </c>
      <c r="M77" t="s">
        <v>139</v>
      </c>
      <c r="N77" t="b">
        <f t="shared" si="12"/>
        <v>0</v>
      </c>
    </row>
    <row r="78" spans="1:14" x14ac:dyDescent="0.15">
      <c r="A78" t="s">
        <v>9961</v>
      </c>
      <c r="B78" t="s">
        <v>10045</v>
      </c>
      <c r="C78" t="s">
        <v>10137</v>
      </c>
      <c r="D78" t="s">
        <v>23</v>
      </c>
      <c r="E78" t="s">
        <v>10138</v>
      </c>
      <c r="F78" s="5" t="str">
        <f t="shared" ref="F78:F81" si="13">G78</f>
        <v>********</v>
      </c>
      <c r="G78" s="5" t="s">
        <v>145</v>
      </c>
      <c r="H78" t="s">
        <v>145</v>
      </c>
      <c r="I78" s="2" t="e">
        <f t="shared" si="10"/>
        <v>#VALUE!</v>
      </c>
      <c r="J78" s="4">
        <v>17600000</v>
      </c>
      <c r="K78" s="2" t="e">
        <f t="shared" si="11"/>
        <v>#VALUE!</v>
      </c>
      <c r="L78" t="s">
        <v>256</v>
      </c>
      <c r="M78" t="s">
        <v>80</v>
      </c>
      <c r="N78" t="b">
        <f t="shared" si="12"/>
        <v>0</v>
      </c>
    </row>
    <row r="79" spans="1:14" x14ac:dyDescent="0.15">
      <c r="A79" t="s">
        <v>9961</v>
      </c>
      <c r="B79" t="s">
        <v>10141</v>
      </c>
      <c r="C79" t="s">
        <v>10139</v>
      </c>
      <c r="D79" t="s">
        <v>23</v>
      </c>
      <c r="E79" t="s">
        <v>10140</v>
      </c>
      <c r="F79" s="5" t="str">
        <f t="shared" si="13"/>
        <v>********</v>
      </c>
      <c r="G79" s="5" t="s">
        <v>145</v>
      </c>
      <c r="H79" t="s">
        <v>145</v>
      </c>
      <c r="I79" s="2" t="e">
        <f t="shared" si="10"/>
        <v>#VALUE!</v>
      </c>
      <c r="J79" s="4">
        <v>44000000</v>
      </c>
      <c r="K79" s="2" t="e">
        <f t="shared" si="11"/>
        <v>#VALUE!</v>
      </c>
      <c r="L79" t="s">
        <v>1800</v>
      </c>
      <c r="M79" t="s">
        <v>80</v>
      </c>
      <c r="N79" t="b">
        <f t="shared" si="12"/>
        <v>0</v>
      </c>
    </row>
    <row r="80" spans="1:14" x14ac:dyDescent="0.15">
      <c r="A80" t="s">
        <v>9961</v>
      </c>
      <c r="B80" t="s">
        <v>10141</v>
      </c>
      <c r="C80" t="s">
        <v>10142</v>
      </c>
      <c r="D80" t="s">
        <v>23</v>
      </c>
      <c r="E80" t="s">
        <v>10143</v>
      </c>
      <c r="F80" s="5" t="str">
        <f t="shared" si="13"/>
        <v>********</v>
      </c>
      <c r="G80" s="5" t="s">
        <v>145</v>
      </c>
      <c r="H80" t="s">
        <v>145</v>
      </c>
      <c r="I80" s="2" t="e">
        <f t="shared" si="10"/>
        <v>#VALUE!</v>
      </c>
      <c r="J80" s="4">
        <v>16500000</v>
      </c>
      <c r="K80" s="2" t="e">
        <f t="shared" si="11"/>
        <v>#VALUE!</v>
      </c>
      <c r="L80" t="s">
        <v>256</v>
      </c>
      <c r="M80" t="s">
        <v>80</v>
      </c>
      <c r="N80" t="b">
        <f t="shared" si="12"/>
        <v>0</v>
      </c>
    </row>
    <row r="81" spans="1:14" x14ac:dyDescent="0.15">
      <c r="A81" t="s">
        <v>9961</v>
      </c>
      <c r="B81" t="s">
        <v>10063</v>
      </c>
      <c r="C81" t="s">
        <v>10144</v>
      </c>
      <c r="D81" t="s">
        <v>15</v>
      </c>
      <c r="E81" t="s">
        <v>10145</v>
      </c>
      <c r="F81" s="5" t="str">
        <f t="shared" si="13"/>
        <v>********</v>
      </c>
      <c r="G81" s="5" t="s">
        <v>145</v>
      </c>
      <c r="I81" s="2" t="e">
        <f t="shared" si="10"/>
        <v>#VALUE!</v>
      </c>
      <c r="K81" s="2" t="e">
        <f t="shared" si="11"/>
        <v>#VALUE!</v>
      </c>
      <c r="M81" t="s">
        <v>1015</v>
      </c>
      <c r="N81" t="b">
        <f t="shared" si="12"/>
        <v>0</v>
      </c>
    </row>
    <row r="82" spans="1:14" x14ac:dyDescent="0.15">
      <c r="A82" t="s">
        <v>9961</v>
      </c>
      <c r="B82" t="s">
        <v>9967</v>
      </c>
      <c r="C82" t="s">
        <v>10146</v>
      </c>
      <c r="D82" t="s">
        <v>118</v>
      </c>
      <c r="E82" t="s">
        <v>10147</v>
      </c>
      <c r="F82" s="5">
        <v>17190000</v>
      </c>
      <c r="G82" s="5">
        <v>17190000</v>
      </c>
      <c r="H82" s="4">
        <v>13796000</v>
      </c>
      <c r="I82" s="2">
        <f t="shared" si="10"/>
        <v>0.8025596276905177</v>
      </c>
      <c r="J82" s="4">
        <v>13796000</v>
      </c>
      <c r="K82" s="2">
        <f t="shared" si="11"/>
        <v>0.8025596276905177</v>
      </c>
      <c r="L82" t="s">
        <v>2674</v>
      </c>
      <c r="M82" t="s">
        <v>192</v>
      </c>
      <c r="N82" t="b">
        <f t="shared" si="12"/>
        <v>0</v>
      </c>
    </row>
    <row r="83" spans="1:14" x14ac:dyDescent="0.15">
      <c r="A83" t="s">
        <v>9961</v>
      </c>
      <c r="B83" t="s">
        <v>10150</v>
      </c>
      <c r="C83" t="s">
        <v>10148</v>
      </c>
      <c r="D83" t="s">
        <v>15</v>
      </c>
      <c r="E83" t="s">
        <v>10149</v>
      </c>
      <c r="F83" s="5" t="str">
        <f>G83</f>
        <v>********</v>
      </c>
      <c r="G83" s="5" t="s">
        <v>145</v>
      </c>
      <c r="I83" s="2" t="e">
        <f t="shared" si="10"/>
        <v>#VALUE!</v>
      </c>
      <c r="K83" s="2" t="e">
        <f t="shared" si="11"/>
        <v>#VALUE!</v>
      </c>
      <c r="M83" t="s">
        <v>1015</v>
      </c>
      <c r="N83" t="b">
        <f t="shared" si="12"/>
        <v>0</v>
      </c>
    </row>
    <row r="84" spans="1:14" x14ac:dyDescent="0.15">
      <c r="A84" t="s">
        <v>9961</v>
      </c>
      <c r="B84" t="s">
        <v>9967</v>
      </c>
      <c r="C84" t="s">
        <v>10151</v>
      </c>
      <c r="D84" t="s">
        <v>23</v>
      </c>
      <c r="E84" t="s">
        <v>10152</v>
      </c>
      <c r="F84" s="5">
        <v>4560000</v>
      </c>
      <c r="G84" s="5">
        <v>4560000</v>
      </c>
      <c r="H84" s="4">
        <v>3661000</v>
      </c>
      <c r="I84" s="2">
        <f t="shared" si="10"/>
        <v>0.80285087719298243</v>
      </c>
      <c r="J84" s="4">
        <v>3661000</v>
      </c>
      <c r="K84" s="2">
        <f t="shared" si="11"/>
        <v>0.80285087719298243</v>
      </c>
      <c r="L84" t="s">
        <v>2667</v>
      </c>
      <c r="M84" t="s">
        <v>165</v>
      </c>
      <c r="N84" t="b">
        <f t="shared" si="12"/>
        <v>0</v>
      </c>
    </row>
    <row r="85" spans="1:14" x14ac:dyDescent="0.15">
      <c r="A85" t="s">
        <v>9961</v>
      </c>
      <c r="B85" t="s">
        <v>9976</v>
      </c>
      <c r="C85" t="s">
        <v>10153</v>
      </c>
      <c r="D85" t="s">
        <v>23</v>
      </c>
      <c r="E85" t="s">
        <v>10154</v>
      </c>
      <c r="F85" s="5">
        <v>5370000</v>
      </c>
      <c r="G85" s="5">
        <v>5370000</v>
      </c>
      <c r="H85" s="4">
        <v>4310000</v>
      </c>
      <c r="I85" s="2">
        <f t="shared" si="10"/>
        <v>0.8026070763500931</v>
      </c>
      <c r="J85" s="4">
        <v>4310000</v>
      </c>
      <c r="K85" s="2">
        <f t="shared" si="11"/>
        <v>0.8026070763500931</v>
      </c>
      <c r="L85" t="s">
        <v>263</v>
      </c>
      <c r="M85" t="s">
        <v>174</v>
      </c>
      <c r="N85" t="b">
        <f t="shared" si="12"/>
        <v>0</v>
      </c>
    </row>
    <row r="86" spans="1:14" x14ac:dyDescent="0.15">
      <c r="A86" t="s">
        <v>9961</v>
      </c>
      <c r="B86" t="s">
        <v>10021</v>
      </c>
      <c r="C86" t="s">
        <v>10155</v>
      </c>
      <c r="D86" t="s">
        <v>23</v>
      </c>
      <c r="E86" t="s">
        <v>10156</v>
      </c>
      <c r="F86" s="5" t="str">
        <f t="shared" ref="F86:F89" si="14">G86</f>
        <v>********</v>
      </c>
      <c r="G86" s="5" t="s">
        <v>145</v>
      </c>
      <c r="H86" t="s">
        <v>145</v>
      </c>
      <c r="I86" s="2" t="e">
        <f t="shared" si="10"/>
        <v>#VALUE!</v>
      </c>
      <c r="J86" s="4">
        <v>4000000</v>
      </c>
      <c r="K86" s="2" t="e">
        <f t="shared" si="11"/>
        <v>#VALUE!</v>
      </c>
      <c r="L86" t="s">
        <v>10157</v>
      </c>
      <c r="M86" t="s">
        <v>432</v>
      </c>
      <c r="N86" t="b">
        <f t="shared" si="12"/>
        <v>0</v>
      </c>
    </row>
    <row r="87" spans="1:14" x14ac:dyDescent="0.15">
      <c r="A87" t="s">
        <v>9961</v>
      </c>
      <c r="B87" t="s">
        <v>10048</v>
      </c>
      <c r="C87" t="s">
        <v>10158</v>
      </c>
      <c r="D87" t="s">
        <v>23</v>
      </c>
      <c r="E87" t="s">
        <v>10159</v>
      </c>
      <c r="F87" s="5" t="str">
        <f t="shared" si="14"/>
        <v>********</v>
      </c>
      <c r="G87" s="5" t="s">
        <v>145</v>
      </c>
      <c r="H87" t="s">
        <v>145</v>
      </c>
      <c r="I87" s="2" t="e">
        <f t="shared" si="10"/>
        <v>#VALUE!</v>
      </c>
      <c r="J87" s="4">
        <v>3800000</v>
      </c>
      <c r="K87" s="2" t="e">
        <f t="shared" si="11"/>
        <v>#VALUE!</v>
      </c>
      <c r="L87" t="s">
        <v>1800</v>
      </c>
      <c r="M87" t="s">
        <v>192</v>
      </c>
      <c r="N87" t="b">
        <f t="shared" si="12"/>
        <v>0</v>
      </c>
    </row>
    <row r="88" spans="1:14" x14ac:dyDescent="0.15">
      <c r="A88" t="s">
        <v>9961</v>
      </c>
      <c r="B88" t="s">
        <v>10002</v>
      </c>
      <c r="C88" t="s">
        <v>10160</v>
      </c>
      <c r="D88" t="s">
        <v>23</v>
      </c>
      <c r="E88" t="s">
        <v>10161</v>
      </c>
      <c r="F88" s="5">
        <f t="shared" si="14"/>
        <v>4500000</v>
      </c>
      <c r="G88" s="5">
        <v>4500000</v>
      </c>
      <c r="H88" s="4">
        <v>3613000</v>
      </c>
      <c r="I88" s="2">
        <f t="shared" si="10"/>
        <v>0.80288888888888887</v>
      </c>
      <c r="J88" s="4">
        <v>4300000</v>
      </c>
      <c r="K88" s="2">
        <f t="shared" si="11"/>
        <v>0.9555555555555556</v>
      </c>
      <c r="L88" t="s">
        <v>215</v>
      </c>
      <c r="M88" t="s">
        <v>432</v>
      </c>
      <c r="N88" t="b">
        <f t="shared" si="12"/>
        <v>0</v>
      </c>
    </row>
    <row r="89" spans="1:14" x14ac:dyDescent="0.15">
      <c r="A89" t="s">
        <v>9961</v>
      </c>
      <c r="B89" t="s">
        <v>10021</v>
      </c>
      <c r="C89" t="s">
        <v>10162</v>
      </c>
      <c r="D89" t="s">
        <v>23</v>
      </c>
      <c r="E89" t="s">
        <v>10163</v>
      </c>
      <c r="F89" s="5" t="str">
        <f t="shared" si="14"/>
        <v>********</v>
      </c>
      <c r="G89" s="5" t="s">
        <v>145</v>
      </c>
      <c r="H89" t="s">
        <v>145</v>
      </c>
      <c r="I89" s="2" t="e">
        <f t="shared" si="10"/>
        <v>#VALUE!</v>
      </c>
      <c r="J89" s="4">
        <v>1480000</v>
      </c>
      <c r="K89" s="2" t="e">
        <f t="shared" si="11"/>
        <v>#VALUE!</v>
      </c>
      <c r="L89" t="s">
        <v>215</v>
      </c>
      <c r="M89" t="s">
        <v>432</v>
      </c>
      <c r="N89" t="b">
        <f t="shared" si="12"/>
        <v>0</v>
      </c>
    </row>
    <row r="90" spans="1:14" x14ac:dyDescent="0.15">
      <c r="A90" t="s">
        <v>9961</v>
      </c>
      <c r="B90" t="s">
        <v>9967</v>
      </c>
      <c r="C90" t="s">
        <v>10164</v>
      </c>
      <c r="D90" t="s">
        <v>118</v>
      </c>
      <c r="E90" t="s">
        <v>10165</v>
      </c>
      <c r="F90" s="5">
        <v>86030000</v>
      </c>
      <c r="G90" s="5">
        <v>86030000</v>
      </c>
      <c r="H90" s="4">
        <v>69051000</v>
      </c>
      <c r="I90" s="2">
        <f t="shared" si="10"/>
        <v>0.80263861443682438</v>
      </c>
      <c r="J90" s="4">
        <v>69070000</v>
      </c>
      <c r="K90" s="2">
        <f t="shared" si="11"/>
        <v>0.80285946762757177</v>
      </c>
      <c r="L90" t="s">
        <v>903</v>
      </c>
      <c r="M90" t="s">
        <v>216</v>
      </c>
      <c r="N90" t="b">
        <f t="shared" si="12"/>
        <v>0</v>
      </c>
    </row>
    <row r="91" spans="1:14" x14ac:dyDescent="0.15">
      <c r="A91" t="s">
        <v>9961</v>
      </c>
      <c r="B91" t="s">
        <v>9964</v>
      </c>
      <c r="C91" t="s">
        <v>10166</v>
      </c>
      <c r="D91" t="s">
        <v>23</v>
      </c>
      <c r="E91" t="s">
        <v>10167</v>
      </c>
      <c r="F91" s="5" t="str">
        <f>G91</f>
        <v>********</v>
      </c>
      <c r="G91" s="5" t="s">
        <v>145</v>
      </c>
      <c r="H91" t="s">
        <v>145</v>
      </c>
      <c r="I91" s="2" t="e">
        <f t="shared" si="10"/>
        <v>#VALUE!</v>
      </c>
      <c r="J91" s="4">
        <v>426000</v>
      </c>
      <c r="K91" s="2" t="e">
        <f t="shared" si="11"/>
        <v>#VALUE!</v>
      </c>
      <c r="L91" t="s">
        <v>332</v>
      </c>
      <c r="M91" t="s">
        <v>432</v>
      </c>
      <c r="N91" t="b">
        <f t="shared" si="12"/>
        <v>0</v>
      </c>
    </row>
    <row r="92" spans="1:14" x14ac:dyDescent="0.15">
      <c r="A92" t="s">
        <v>9961</v>
      </c>
      <c r="B92" t="s">
        <v>9967</v>
      </c>
      <c r="C92" t="s">
        <v>10168</v>
      </c>
      <c r="D92" t="s">
        <v>23</v>
      </c>
      <c r="E92" t="s">
        <v>10169</v>
      </c>
      <c r="F92" s="5">
        <v>5650000</v>
      </c>
      <c r="G92" s="5">
        <v>5650000</v>
      </c>
      <c r="H92" s="4">
        <v>4536000</v>
      </c>
      <c r="I92" s="2">
        <f t="shared" si="10"/>
        <v>0.8028318584070796</v>
      </c>
      <c r="J92" s="4">
        <v>5400000</v>
      </c>
      <c r="K92" s="2">
        <f t="shared" si="11"/>
        <v>0.95575221238938057</v>
      </c>
      <c r="L92" t="s">
        <v>1783</v>
      </c>
      <c r="M92" t="s">
        <v>165</v>
      </c>
      <c r="N92" t="b">
        <f t="shared" si="12"/>
        <v>0</v>
      </c>
    </row>
    <row r="93" spans="1:14" x14ac:dyDescent="0.15">
      <c r="A93" t="s">
        <v>9961</v>
      </c>
      <c r="B93" t="s">
        <v>9967</v>
      </c>
      <c r="C93" t="s">
        <v>10170</v>
      </c>
      <c r="D93" t="s">
        <v>23</v>
      </c>
      <c r="E93" t="s">
        <v>10171</v>
      </c>
      <c r="F93" s="5">
        <v>7190000</v>
      </c>
      <c r="G93" s="5">
        <v>7190000</v>
      </c>
      <c r="H93" s="4">
        <v>5772000</v>
      </c>
      <c r="I93" s="2">
        <f t="shared" si="10"/>
        <v>0.80278164116828932</v>
      </c>
      <c r="J93" s="4">
        <v>6400000</v>
      </c>
      <c r="K93" s="2">
        <f t="shared" si="11"/>
        <v>0.89012517385257306</v>
      </c>
      <c r="L93" t="s">
        <v>215</v>
      </c>
      <c r="M93" t="s">
        <v>165</v>
      </c>
      <c r="N93" t="b">
        <f t="shared" si="12"/>
        <v>0</v>
      </c>
    </row>
    <row r="94" spans="1:14" x14ac:dyDescent="0.15">
      <c r="A94" t="s">
        <v>9961</v>
      </c>
      <c r="B94" t="s">
        <v>10174</v>
      </c>
      <c r="C94" t="s">
        <v>10172</v>
      </c>
      <c r="D94" t="s">
        <v>23</v>
      </c>
      <c r="E94" t="s">
        <v>10173</v>
      </c>
      <c r="F94" s="5" t="str">
        <f t="shared" ref="F94:F95" si="15">G94</f>
        <v>********</v>
      </c>
      <c r="G94" s="5" t="s">
        <v>145</v>
      </c>
      <c r="H94" t="s">
        <v>145</v>
      </c>
      <c r="I94" s="2" t="e">
        <f t="shared" si="10"/>
        <v>#VALUE!</v>
      </c>
      <c r="J94" s="4">
        <v>1800000</v>
      </c>
      <c r="K94" s="2" t="e">
        <f t="shared" si="11"/>
        <v>#VALUE!</v>
      </c>
      <c r="L94" t="s">
        <v>64</v>
      </c>
      <c r="M94" t="s">
        <v>192</v>
      </c>
      <c r="N94" t="b">
        <f t="shared" si="12"/>
        <v>0</v>
      </c>
    </row>
    <row r="95" spans="1:14" x14ac:dyDescent="0.15">
      <c r="A95" t="s">
        <v>9961</v>
      </c>
      <c r="B95" t="s">
        <v>10177</v>
      </c>
      <c r="C95" t="s">
        <v>10175</v>
      </c>
      <c r="D95" t="s">
        <v>23</v>
      </c>
      <c r="E95" t="s">
        <v>10176</v>
      </c>
      <c r="F95" s="5" t="str">
        <f t="shared" si="15"/>
        <v>********</v>
      </c>
      <c r="G95" s="5" t="s">
        <v>145</v>
      </c>
      <c r="H95" t="s">
        <v>145</v>
      </c>
      <c r="I95" s="2" t="e">
        <f t="shared" si="10"/>
        <v>#VALUE!</v>
      </c>
      <c r="J95" s="4">
        <v>2850000</v>
      </c>
      <c r="K95" s="2" t="e">
        <f t="shared" si="11"/>
        <v>#VALUE!</v>
      </c>
      <c r="L95" t="s">
        <v>903</v>
      </c>
      <c r="M95" t="s">
        <v>432</v>
      </c>
      <c r="N95" t="b">
        <f t="shared" si="12"/>
        <v>0</v>
      </c>
    </row>
    <row r="96" spans="1:14" x14ac:dyDescent="0.15">
      <c r="A96" t="s">
        <v>9961</v>
      </c>
      <c r="B96" t="s">
        <v>9967</v>
      </c>
      <c r="C96" t="s">
        <v>10178</v>
      </c>
      <c r="D96" t="s">
        <v>23</v>
      </c>
      <c r="E96" t="s">
        <v>10179</v>
      </c>
      <c r="F96" s="5">
        <v>4110000</v>
      </c>
      <c r="G96" s="5">
        <v>4110000</v>
      </c>
      <c r="H96" s="4">
        <v>3298000</v>
      </c>
      <c r="I96" s="2">
        <f t="shared" si="10"/>
        <v>0.80243309002433094</v>
      </c>
      <c r="J96" s="4">
        <v>3900000</v>
      </c>
      <c r="K96" s="2">
        <f t="shared" si="11"/>
        <v>0.94890510948905105</v>
      </c>
      <c r="L96" t="s">
        <v>256</v>
      </c>
      <c r="M96" t="s">
        <v>432</v>
      </c>
      <c r="N96" t="b">
        <f t="shared" si="12"/>
        <v>0</v>
      </c>
    </row>
    <row r="97" spans="1:14" x14ac:dyDescent="0.15">
      <c r="A97" t="s">
        <v>9961</v>
      </c>
      <c r="B97" t="s">
        <v>9967</v>
      </c>
      <c r="C97" t="s">
        <v>10180</v>
      </c>
      <c r="D97" t="s">
        <v>118</v>
      </c>
      <c r="E97" t="s">
        <v>10181</v>
      </c>
      <c r="F97" s="5">
        <v>29970000</v>
      </c>
      <c r="G97" s="5">
        <v>29970000</v>
      </c>
      <c r="H97" s="4">
        <v>24057000</v>
      </c>
      <c r="I97" s="2">
        <f t="shared" si="10"/>
        <v>0.80270270270270272</v>
      </c>
      <c r="J97" s="4">
        <v>25622000</v>
      </c>
      <c r="K97" s="2">
        <f t="shared" si="11"/>
        <v>0.85492158825492159</v>
      </c>
      <c r="L97" t="s">
        <v>460</v>
      </c>
      <c r="M97" t="s">
        <v>290</v>
      </c>
      <c r="N97" t="b">
        <f t="shared" si="12"/>
        <v>0</v>
      </c>
    </row>
    <row r="98" spans="1:14" x14ac:dyDescent="0.15">
      <c r="A98" t="s">
        <v>9961</v>
      </c>
      <c r="B98" t="s">
        <v>10174</v>
      </c>
      <c r="C98" t="s">
        <v>10182</v>
      </c>
      <c r="D98" t="s">
        <v>23</v>
      </c>
      <c r="E98" t="s">
        <v>10183</v>
      </c>
      <c r="F98" s="5" t="str">
        <f t="shared" ref="F98:F103" si="16">G98</f>
        <v>********</v>
      </c>
      <c r="G98" s="5" t="s">
        <v>145</v>
      </c>
      <c r="H98" t="s">
        <v>145</v>
      </c>
      <c r="I98" s="2" t="e">
        <f t="shared" si="10"/>
        <v>#VALUE!</v>
      </c>
      <c r="J98" s="4">
        <v>2670000</v>
      </c>
      <c r="K98" s="2" t="e">
        <f t="shared" si="11"/>
        <v>#VALUE!</v>
      </c>
      <c r="L98" t="s">
        <v>694</v>
      </c>
      <c r="M98" t="s">
        <v>192</v>
      </c>
      <c r="N98" t="b">
        <f t="shared" si="12"/>
        <v>0</v>
      </c>
    </row>
    <row r="99" spans="1:14" x14ac:dyDescent="0.15">
      <c r="A99" t="s">
        <v>9961</v>
      </c>
      <c r="B99" t="s">
        <v>10051</v>
      </c>
      <c r="C99" t="s">
        <v>10184</v>
      </c>
      <c r="D99" t="s">
        <v>23</v>
      </c>
      <c r="E99" t="s">
        <v>10185</v>
      </c>
      <c r="F99" s="5" t="str">
        <f t="shared" si="16"/>
        <v>********</v>
      </c>
      <c r="G99" s="5" t="s">
        <v>145</v>
      </c>
      <c r="H99" t="s">
        <v>145</v>
      </c>
      <c r="I99" s="2" t="e">
        <f t="shared" si="10"/>
        <v>#VALUE!</v>
      </c>
      <c r="J99" s="4">
        <v>30490000</v>
      </c>
      <c r="K99" s="2" t="e">
        <f t="shared" si="11"/>
        <v>#VALUE!</v>
      </c>
      <c r="L99" t="s">
        <v>1800</v>
      </c>
      <c r="M99" t="s">
        <v>80</v>
      </c>
      <c r="N99" t="b">
        <f t="shared" si="12"/>
        <v>0</v>
      </c>
    </row>
    <row r="100" spans="1:14" x14ac:dyDescent="0.15">
      <c r="A100" t="s">
        <v>9961</v>
      </c>
      <c r="B100" t="s">
        <v>10051</v>
      </c>
      <c r="C100" t="s">
        <v>10186</v>
      </c>
      <c r="D100" t="s">
        <v>23</v>
      </c>
      <c r="E100" t="s">
        <v>10187</v>
      </c>
      <c r="F100" s="5" t="str">
        <f t="shared" si="16"/>
        <v>********</v>
      </c>
      <c r="G100" s="5" t="s">
        <v>145</v>
      </c>
      <c r="H100" t="s">
        <v>145</v>
      </c>
      <c r="I100" s="2" t="e">
        <f t="shared" si="10"/>
        <v>#VALUE!</v>
      </c>
      <c r="J100" s="4">
        <v>5100000</v>
      </c>
      <c r="K100" s="2" t="e">
        <f t="shared" si="11"/>
        <v>#VALUE!</v>
      </c>
      <c r="L100" t="s">
        <v>5068</v>
      </c>
      <c r="M100" t="s">
        <v>174</v>
      </c>
      <c r="N100" t="b">
        <f t="shared" si="12"/>
        <v>0</v>
      </c>
    </row>
    <row r="101" spans="1:14" x14ac:dyDescent="0.15">
      <c r="A101" t="s">
        <v>9961</v>
      </c>
      <c r="B101" t="s">
        <v>10051</v>
      </c>
      <c r="C101" t="s">
        <v>10188</v>
      </c>
      <c r="D101" t="s">
        <v>23</v>
      </c>
      <c r="E101" t="s">
        <v>10189</v>
      </c>
      <c r="F101" s="5" t="str">
        <f t="shared" si="16"/>
        <v>********</v>
      </c>
      <c r="G101" s="5" t="s">
        <v>145</v>
      </c>
      <c r="H101" t="s">
        <v>145</v>
      </c>
      <c r="I101" s="2" t="e">
        <f t="shared" si="10"/>
        <v>#VALUE!</v>
      </c>
      <c r="J101" s="4">
        <v>4800000</v>
      </c>
      <c r="K101" s="2" t="e">
        <f t="shared" si="11"/>
        <v>#VALUE!</v>
      </c>
      <c r="L101" t="s">
        <v>4816</v>
      </c>
      <c r="M101" t="s">
        <v>174</v>
      </c>
      <c r="N101" t="b">
        <f t="shared" si="12"/>
        <v>0</v>
      </c>
    </row>
    <row r="102" spans="1:14" x14ac:dyDescent="0.15">
      <c r="A102" t="s">
        <v>9961</v>
      </c>
      <c r="B102" t="s">
        <v>10051</v>
      </c>
      <c r="C102" t="s">
        <v>10190</v>
      </c>
      <c r="D102" t="s">
        <v>23</v>
      </c>
      <c r="E102" t="s">
        <v>10191</v>
      </c>
      <c r="F102" s="5" t="str">
        <f t="shared" si="16"/>
        <v>********</v>
      </c>
      <c r="G102" s="5" t="s">
        <v>145</v>
      </c>
      <c r="H102" t="s">
        <v>145</v>
      </c>
      <c r="I102" s="2" t="e">
        <f t="shared" si="10"/>
        <v>#VALUE!</v>
      </c>
      <c r="J102" s="4">
        <v>4959000</v>
      </c>
      <c r="K102" s="2" t="e">
        <f t="shared" si="11"/>
        <v>#VALUE!</v>
      </c>
      <c r="L102" t="s">
        <v>2667</v>
      </c>
      <c r="M102" t="s">
        <v>174</v>
      </c>
      <c r="N102" t="b">
        <f t="shared" si="12"/>
        <v>0</v>
      </c>
    </row>
    <row r="103" spans="1:14" x14ac:dyDescent="0.15">
      <c r="A103" t="s">
        <v>9961</v>
      </c>
      <c r="B103" t="s">
        <v>10051</v>
      </c>
      <c r="C103" t="s">
        <v>10192</v>
      </c>
      <c r="D103" t="s">
        <v>23</v>
      </c>
      <c r="E103" t="s">
        <v>10193</v>
      </c>
      <c r="F103" s="5" t="str">
        <f t="shared" si="16"/>
        <v>********</v>
      </c>
      <c r="G103" s="5" t="s">
        <v>145</v>
      </c>
      <c r="H103" t="s">
        <v>145</v>
      </c>
      <c r="I103" s="2" t="e">
        <f t="shared" si="10"/>
        <v>#VALUE!</v>
      </c>
      <c r="J103" s="4">
        <v>5200000</v>
      </c>
      <c r="K103" s="2" t="e">
        <f t="shared" si="11"/>
        <v>#VALUE!</v>
      </c>
      <c r="L103" t="s">
        <v>10194</v>
      </c>
      <c r="M103" t="s">
        <v>174</v>
      </c>
      <c r="N103" t="b">
        <f t="shared" si="12"/>
        <v>0</v>
      </c>
    </row>
    <row r="104" spans="1:14" x14ac:dyDescent="0.15">
      <c r="A104" t="s">
        <v>9961</v>
      </c>
      <c r="B104" t="s">
        <v>9976</v>
      </c>
      <c r="C104" t="s">
        <v>10195</v>
      </c>
      <c r="D104" t="s">
        <v>118</v>
      </c>
      <c r="E104" t="s">
        <v>10196</v>
      </c>
      <c r="F104" s="5">
        <v>11960000</v>
      </c>
      <c r="G104" s="5">
        <v>11960000</v>
      </c>
      <c r="H104" s="4">
        <v>9594000</v>
      </c>
      <c r="I104" s="2">
        <f t="shared" si="10"/>
        <v>0.80217391304347829</v>
      </c>
      <c r="J104" s="4">
        <v>11500000</v>
      </c>
      <c r="K104" s="2">
        <f t="shared" si="11"/>
        <v>0.96153846153846156</v>
      </c>
      <c r="L104" t="s">
        <v>4415</v>
      </c>
      <c r="M104" t="s">
        <v>1015</v>
      </c>
      <c r="N104" t="b">
        <f t="shared" si="12"/>
        <v>0</v>
      </c>
    </row>
    <row r="105" spans="1:14" x14ac:dyDescent="0.15">
      <c r="A105" t="s">
        <v>9961</v>
      </c>
      <c r="B105" t="s">
        <v>9967</v>
      </c>
      <c r="C105" t="s">
        <v>10197</v>
      </c>
      <c r="D105" t="s">
        <v>118</v>
      </c>
      <c r="E105" t="s">
        <v>10198</v>
      </c>
      <c r="F105" s="5">
        <v>11170000</v>
      </c>
      <c r="G105" s="5">
        <v>11170000</v>
      </c>
      <c r="H105" s="4">
        <v>8855000</v>
      </c>
      <c r="I105" s="2">
        <f t="shared" si="10"/>
        <v>0.79274843330349154</v>
      </c>
      <c r="J105" s="4">
        <v>8857000</v>
      </c>
      <c r="K105" s="2">
        <f t="shared" si="11"/>
        <v>0.79292748433303495</v>
      </c>
      <c r="L105" t="s">
        <v>10199</v>
      </c>
      <c r="M105" t="s">
        <v>80</v>
      </c>
      <c r="N105" t="b">
        <f t="shared" si="12"/>
        <v>0</v>
      </c>
    </row>
    <row r="106" spans="1:14" x14ac:dyDescent="0.15">
      <c r="A106" t="s">
        <v>9961</v>
      </c>
      <c r="B106" t="s">
        <v>9967</v>
      </c>
      <c r="C106" t="s">
        <v>10200</v>
      </c>
      <c r="D106" t="s">
        <v>118</v>
      </c>
      <c r="E106" t="s">
        <v>10201</v>
      </c>
      <c r="F106" s="5">
        <v>12630000</v>
      </c>
      <c r="G106" s="5">
        <v>12630000</v>
      </c>
      <c r="H106" s="4">
        <v>10075000</v>
      </c>
      <c r="I106" s="2">
        <f t="shared" si="10"/>
        <v>0.79770387965162315</v>
      </c>
      <c r="J106" s="4">
        <v>10395000</v>
      </c>
      <c r="K106" s="2">
        <f t="shared" si="11"/>
        <v>0.8230403800475059</v>
      </c>
      <c r="L106" t="s">
        <v>271</v>
      </c>
      <c r="M106" t="s">
        <v>192</v>
      </c>
      <c r="N106" t="b">
        <f t="shared" si="12"/>
        <v>0</v>
      </c>
    </row>
    <row r="107" spans="1:14" x14ac:dyDescent="0.15">
      <c r="A107" t="s">
        <v>9961</v>
      </c>
      <c r="B107" t="s">
        <v>9967</v>
      </c>
      <c r="C107" t="s">
        <v>10202</v>
      </c>
      <c r="D107" t="s">
        <v>118</v>
      </c>
      <c r="E107" t="s">
        <v>10203</v>
      </c>
      <c r="F107" s="5">
        <v>38970000</v>
      </c>
      <c r="G107" s="5">
        <v>38970000</v>
      </c>
      <c r="H107" s="4">
        <v>31262000</v>
      </c>
      <c r="I107" s="2">
        <f t="shared" si="10"/>
        <v>0.80220682576340774</v>
      </c>
      <c r="J107" s="4">
        <v>31280000</v>
      </c>
      <c r="K107" s="2">
        <f t="shared" si="11"/>
        <v>0.80266871952784191</v>
      </c>
      <c r="L107" t="s">
        <v>1030</v>
      </c>
      <c r="M107" t="s">
        <v>313</v>
      </c>
      <c r="N107" t="b">
        <f t="shared" si="12"/>
        <v>0</v>
      </c>
    </row>
    <row r="108" spans="1:14" x14ac:dyDescent="0.15">
      <c r="A108" t="s">
        <v>9961</v>
      </c>
      <c r="B108" t="s">
        <v>10045</v>
      </c>
      <c r="C108" t="s">
        <v>10204</v>
      </c>
      <c r="D108" t="s">
        <v>23</v>
      </c>
      <c r="E108" t="s">
        <v>10205</v>
      </c>
      <c r="F108" s="5" t="str">
        <f t="shared" ref="F108:F109" si="17">G108</f>
        <v>********</v>
      </c>
      <c r="G108" s="5" t="s">
        <v>145</v>
      </c>
      <c r="H108" t="s">
        <v>145</v>
      </c>
      <c r="I108" s="2" t="e">
        <f t="shared" si="10"/>
        <v>#VALUE!</v>
      </c>
      <c r="J108" s="4">
        <v>7050000</v>
      </c>
      <c r="K108" s="2" t="e">
        <f t="shared" si="11"/>
        <v>#VALUE!</v>
      </c>
      <c r="L108" t="s">
        <v>256</v>
      </c>
      <c r="M108" t="s">
        <v>80</v>
      </c>
      <c r="N108" t="b">
        <f t="shared" si="12"/>
        <v>0</v>
      </c>
    </row>
    <row r="109" spans="1:14" x14ac:dyDescent="0.15">
      <c r="A109" t="s">
        <v>9961</v>
      </c>
      <c r="B109" t="s">
        <v>10045</v>
      </c>
      <c r="C109" t="s">
        <v>10206</v>
      </c>
      <c r="D109" t="s">
        <v>23</v>
      </c>
      <c r="E109" t="s">
        <v>10207</v>
      </c>
      <c r="F109" s="5" t="str">
        <f t="shared" si="17"/>
        <v>********</v>
      </c>
      <c r="G109" s="5" t="s">
        <v>145</v>
      </c>
      <c r="H109" t="s">
        <v>145</v>
      </c>
      <c r="I109" s="2" t="e">
        <f t="shared" si="10"/>
        <v>#VALUE!</v>
      </c>
      <c r="J109" s="4">
        <v>2063000</v>
      </c>
      <c r="K109" s="2" t="e">
        <f t="shared" si="11"/>
        <v>#VALUE!</v>
      </c>
      <c r="L109" t="s">
        <v>256</v>
      </c>
      <c r="M109" t="s">
        <v>192</v>
      </c>
      <c r="N109" t="b">
        <f t="shared" si="12"/>
        <v>0</v>
      </c>
    </row>
    <row r="110" spans="1:14" x14ac:dyDescent="0.15">
      <c r="A110" t="s">
        <v>9961</v>
      </c>
      <c r="B110" t="s">
        <v>9967</v>
      </c>
      <c r="C110" t="s">
        <v>10208</v>
      </c>
      <c r="D110" t="s">
        <v>118</v>
      </c>
      <c r="E110" t="s">
        <v>10209</v>
      </c>
      <c r="F110" s="5">
        <v>26260000</v>
      </c>
      <c r="G110" s="5">
        <v>26260000</v>
      </c>
      <c r="H110" s="4">
        <v>21080000</v>
      </c>
      <c r="I110" s="2">
        <f t="shared" si="10"/>
        <v>0.80274181264280275</v>
      </c>
      <c r="J110" s="4">
        <v>21080000</v>
      </c>
      <c r="K110" s="2">
        <f t="shared" si="11"/>
        <v>0.80274181264280275</v>
      </c>
      <c r="L110" t="s">
        <v>239</v>
      </c>
      <c r="M110" t="s">
        <v>216</v>
      </c>
      <c r="N110" t="b">
        <f t="shared" si="12"/>
        <v>0</v>
      </c>
    </row>
    <row r="111" spans="1:14" x14ac:dyDescent="0.15">
      <c r="A111" t="s">
        <v>9961</v>
      </c>
      <c r="B111" t="s">
        <v>9967</v>
      </c>
      <c r="C111" t="s">
        <v>10210</v>
      </c>
      <c r="D111" t="s">
        <v>118</v>
      </c>
      <c r="E111" t="s">
        <v>10211</v>
      </c>
      <c r="F111" s="5">
        <v>29910000</v>
      </c>
      <c r="G111" s="5">
        <v>29910000</v>
      </c>
      <c r="H111" s="4">
        <v>24005000</v>
      </c>
      <c r="I111" s="2">
        <f t="shared" si="10"/>
        <v>0.80257438983617524</v>
      </c>
      <c r="J111" s="4">
        <v>24005000</v>
      </c>
      <c r="K111" s="2">
        <f t="shared" si="11"/>
        <v>0.80257438983617524</v>
      </c>
      <c r="L111" t="s">
        <v>256</v>
      </c>
      <c r="M111" t="s">
        <v>216</v>
      </c>
      <c r="N111" t="b">
        <f t="shared" si="12"/>
        <v>0</v>
      </c>
    </row>
    <row r="112" spans="1:14" x14ac:dyDescent="0.15">
      <c r="A112" t="s">
        <v>9961</v>
      </c>
      <c r="B112" t="s">
        <v>9967</v>
      </c>
      <c r="C112" t="s">
        <v>10212</v>
      </c>
      <c r="D112" t="s">
        <v>23</v>
      </c>
      <c r="E112" t="s">
        <v>10213</v>
      </c>
      <c r="F112" s="5">
        <v>2529394</v>
      </c>
      <c r="G112" s="5">
        <v>2529394</v>
      </c>
      <c r="H112" s="4">
        <v>1518000</v>
      </c>
      <c r="I112" s="2">
        <f t="shared" si="10"/>
        <v>0.6001437498468013</v>
      </c>
      <c r="J112" s="4">
        <v>2520000</v>
      </c>
      <c r="K112" s="2">
        <f t="shared" si="11"/>
        <v>0.99628606693935384</v>
      </c>
      <c r="L112" t="s">
        <v>271</v>
      </c>
      <c r="M112" t="s">
        <v>165</v>
      </c>
      <c r="N112" t="b">
        <f t="shared" si="12"/>
        <v>0</v>
      </c>
    </row>
    <row r="113" spans="1:14" x14ac:dyDescent="0.15">
      <c r="A113" t="s">
        <v>9961</v>
      </c>
      <c r="B113" t="s">
        <v>9967</v>
      </c>
      <c r="C113" t="s">
        <v>10214</v>
      </c>
      <c r="D113" t="s">
        <v>15</v>
      </c>
      <c r="E113" t="s">
        <v>2221</v>
      </c>
      <c r="F113" s="5">
        <v>4040000</v>
      </c>
      <c r="G113" s="5">
        <v>4040000</v>
      </c>
      <c r="I113" s="2">
        <f t="shared" si="10"/>
        <v>0</v>
      </c>
      <c r="K113" s="2">
        <f t="shared" si="11"/>
        <v>0</v>
      </c>
      <c r="M113" t="s">
        <v>139</v>
      </c>
      <c r="N113" t="b">
        <f t="shared" si="12"/>
        <v>0</v>
      </c>
    </row>
    <row r="114" spans="1:14" x14ac:dyDescent="0.15">
      <c r="A114" t="s">
        <v>9961</v>
      </c>
      <c r="B114" t="s">
        <v>9976</v>
      </c>
      <c r="C114" t="s">
        <v>10215</v>
      </c>
      <c r="D114" t="s">
        <v>118</v>
      </c>
      <c r="E114" t="s">
        <v>10216</v>
      </c>
      <c r="F114" s="5">
        <v>10250000</v>
      </c>
      <c r="G114" s="5">
        <v>10250000</v>
      </c>
      <c r="H114" s="4">
        <v>8171000</v>
      </c>
      <c r="I114" s="2">
        <f t="shared" si="10"/>
        <v>0.79717073170731712</v>
      </c>
      <c r="J114" s="4">
        <v>8171000</v>
      </c>
      <c r="K114" s="2">
        <f t="shared" si="11"/>
        <v>0.79717073170731712</v>
      </c>
      <c r="L114" t="s">
        <v>10217</v>
      </c>
      <c r="M114" t="s">
        <v>165</v>
      </c>
      <c r="N114" t="b">
        <f t="shared" si="12"/>
        <v>0</v>
      </c>
    </row>
    <row r="115" spans="1:14" x14ac:dyDescent="0.15">
      <c r="A115" t="s">
        <v>9961</v>
      </c>
      <c r="B115" t="s">
        <v>10051</v>
      </c>
      <c r="C115" t="s">
        <v>10218</v>
      </c>
      <c r="D115" t="s">
        <v>23</v>
      </c>
      <c r="E115" t="s">
        <v>10219</v>
      </c>
      <c r="F115" s="5" t="str">
        <f>G115</f>
        <v>********</v>
      </c>
      <c r="G115" s="5" t="s">
        <v>145</v>
      </c>
      <c r="H115" t="s">
        <v>145</v>
      </c>
      <c r="I115" s="2" t="e">
        <f t="shared" si="10"/>
        <v>#VALUE!</v>
      </c>
      <c r="K115" s="2" t="e">
        <f t="shared" si="11"/>
        <v>#VALUE!</v>
      </c>
      <c r="M115" t="s">
        <v>174</v>
      </c>
      <c r="N115" t="b">
        <f t="shared" si="12"/>
        <v>0</v>
      </c>
    </row>
    <row r="116" spans="1:14" x14ac:dyDescent="0.15">
      <c r="A116" t="s">
        <v>9961</v>
      </c>
      <c r="B116" t="s">
        <v>9967</v>
      </c>
      <c r="C116" t="s">
        <v>10220</v>
      </c>
      <c r="D116" t="s">
        <v>23</v>
      </c>
      <c r="E116" t="s">
        <v>2302</v>
      </c>
      <c r="F116" s="5">
        <v>2540000</v>
      </c>
      <c r="G116" s="5">
        <v>2540000</v>
      </c>
      <c r="H116" s="4">
        <v>2040000</v>
      </c>
      <c r="I116" s="2">
        <f t="shared" si="10"/>
        <v>0.80314960629921262</v>
      </c>
      <c r="J116" s="4">
        <v>2280000</v>
      </c>
      <c r="K116" s="2">
        <f t="shared" si="11"/>
        <v>0.89763779527559051</v>
      </c>
      <c r="L116" t="s">
        <v>64</v>
      </c>
      <c r="M116" t="s">
        <v>432</v>
      </c>
      <c r="N116" t="b">
        <f t="shared" si="12"/>
        <v>0</v>
      </c>
    </row>
    <row r="117" spans="1:14" x14ac:dyDescent="0.15">
      <c r="A117" t="s">
        <v>9961</v>
      </c>
      <c r="B117" t="s">
        <v>10051</v>
      </c>
      <c r="C117" t="s">
        <v>10221</v>
      </c>
      <c r="D117" t="s">
        <v>23</v>
      </c>
      <c r="E117" t="s">
        <v>10222</v>
      </c>
      <c r="F117" s="5" t="str">
        <f t="shared" ref="F117:F121" si="18">G117</f>
        <v>********</v>
      </c>
      <c r="G117" s="5" t="s">
        <v>145</v>
      </c>
      <c r="H117" t="s">
        <v>145</v>
      </c>
      <c r="I117" s="2" t="e">
        <f t="shared" si="10"/>
        <v>#VALUE!</v>
      </c>
      <c r="J117" s="4">
        <v>4940000</v>
      </c>
      <c r="K117" s="2" t="e">
        <f t="shared" si="11"/>
        <v>#VALUE!</v>
      </c>
      <c r="L117" t="s">
        <v>5068</v>
      </c>
      <c r="M117" t="s">
        <v>174</v>
      </c>
      <c r="N117" t="b">
        <f t="shared" si="12"/>
        <v>0</v>
      </c>
    </row>
    <row r="118" spans="1:14" x14ac:dyDescent="0.15">
      <c r="A118" t="s">
        <v>9961</v>
      </c>
      <c r="B118" t="s">
        <v>10051</v>
      </c>
      <c r="C118" t="s">
        <v>10223</v>
      </c>
      <c r="D118" t="s">
        <v>23</v>
      </c>
      <c r="E118" t="s">
        <v>10224</v>
      </c>
      <c r="F118" s="5" t="str">
        <f t="shared" si="18"/>
        <v>********</v>
      </c>
      <c r="G118" s="5" t="s">
        <v>145</v>
      </c>
      <c r="H118" t="s">
        <v>145</v>
      </c>
      <c r="I118" s="2" t="e">
        <f t="shared" si="10"/>
        <v>#VALUE!</v>
      </c>
      <c r="J118" s="4">
        <v>4141000</v>
      </c>
      <c r="K118" s="2" t="e">
        <f t="shared" si="11"/>
        <v>#VALUE!</v>
      </c>
      <c r="L118" t="s">
        <v>4816</v>
      </c>
      <c r="M118" t="s">
        <v>174</v>
      </c>
      <c r="N118" t="b">
        <f t="shared" si="12"/>
        <v>0</v>
      </c>
    </row>
    <row r="119" spans="1:14" x14ac:dyDescent="0.15">
      <c r="A119" t="s">
        <v>9961</v>
      </c>
      <c r="B119" t="s">
        <v>10227</v>
      </c>
      <c r="C119" t="s">
        <v>10225</v>
      </c>
      <c r="D119" t="s">
        <v>23</v>
      </c>
      <c r="E119" t="s">
        <v>10226</v>
      </c>
      <c r="F119" s="5" t="str">
        <f t="shared" si="18"/>
        <v>********</v>
      </c>
      <c r="G119" s="5" t="s">
        <v>145</v>
      </c>
      <c r="H119" t="s">
        <v>145</v>
      </c>
      <c r="I119" s="2" t="e">
        <f t="shared" si="10"/>
        <v>#VALUE!</v>
      </c>
      <c r="J119" s="4">
        <v>3200000</v>
      </c>
      <c r="K119" s="2" t="e">
        <f t="shared" si="11"/>
        <v>#VALUE!</v>
      </c>
      <c r="L119" t="s">
        <v>1783</v>
      </c>
      <c r="M119" t="s">
        <v>192</v>
      </c>
      <c r="N119" t="b">
        <f t="shared" si="12"/>
        <v>0</v>
      </c>
    </row>
    <row r="120" spans="1:14" x14ac:dyDescent="0.15">
      <c r="A120" t="s">
        <v>9961</v>
      </c>
      <c r="B120" t="s">
        <v>10227</v>
      </c>
      <c r="C120" t="s">
        <v>10228</v>
      </c>
      <c r="D120" t="s">
        <v>23</v>
      </c>
      <c r="E120" t="s">
        <v>10229</v>
      </c>
      <c r="F120" s="5" t="str">
        <f t="shared" si="18"/>
        <v>********</v>
      </c>
      <c r="G120" s="5" t="s">
        <v>145</v>
      </c>
      <c r="H120" t="s">
        <v>145</v>
      </c>
      <c r="I120" s="2" t="e">
        <f t="shared" si="10"/>
        <v>#VALUE!</v>
      </c>
      <c r="J120" s="4">
        <v>4050000</v>
      </c>
      <c r="K120" s="2" t="e">
        <f t="shared" si="11"/>
        <v>#VALUE!</v>
      </c>
      <c r="L120" t="s">
        <v>5068</v>
      </c>
      <c r="M120" t="s">
        <v>192</v>
      </c>
      <c r="N120" t="b">
        <f t="shared" si="12"/>
        <v>0</v>
      </c>
    </row>
    <row r="121" spans="1:14" x14ac:dyDescent="0.15">
      <c r="A121" t="s">
        <v>9961</v>
      </c>
      <c r="B121" t="s">
        <v>10227</v>
      </c>
      <c r="C121" t="s">
        <v>10230</v>
      </c>
      <c r="D121" t="s">
        <v>23</v>
      </c>
      <c r="E121" t="s">
        <v>10231</v>
      </c>
      <c r="F121" s="5" t="str">
        <f t="shared" si="18"/>
        <v>********</v>
      </c>
      <c r="G121" s="5" t="s">
        <v>145</v>
      </c>
      <c r="H121" t="s">
        <v>145</v>
      </c>
      <c r="I121" s="2" t="e">
        <f t="shared" si="10"/>
        <v>#VALUE!</v>
      </c>
      <c r="J121" s="4">
        <v>4000000</v>
      </c>
      <c r="K121" s="2" t="e">
        <f t="shared" si="11"/>
        <v>#VALUE!</v>
      </c>
      <c r="L121" t="s">
        <v>5068</v>
      </c>
      <c r="M121" t="s">
        <v>192</v>
      </c>
      <c r="N121" t="b">
        <f t="shared" si="12"/>
        <v>0</v>
      </c>
    </row>
    <row r="122" spans="1:14" x14ac:dyDescent="0.15">
      <c r="A122" t="s">
        <v>9961</v>
      </c>
      <c r="B122" t="s">
        <v>9967</v>
      </c>
      <c r="C122" t="s">
        <v>10232</v>
      </c>
      <c r="D122" t="s">
        <v>118</v>
      </c>
      <c r="E122" t="s">
        <v>10233</v>
      </c>
      <c r="F122" s="5">
        <v>21160000</v>
      </c>
      <c r="G122" s="5">
        <v>21160000</v>
      </c>
      <c r="H122" s="4">
        <v>16984000</v>
      </c>
      <c r="I122" s="2">
        <f t="shared" si="10"/>
        <v>0.80264650283553873</v>
      </c>
      <c r="J122" s="4">
        <v>16984000</v>
      </c>
      <c r="K122" s="2">
        <f t="shared" si="11"/>
        <v>0.80264650283553873</v>
      </c>
      <c r="L122" t="s">
        <v>1946</v>
      </c>
      <c r="M122" t="s">
        <v>1392</v>
      </c>
      <c r="N122" t="b">
        <f t="shared" si="12"/>
        <v>0</v>
      </c>
    </row>
    <row r="123" spans="1:14" x14ac:dyDescent="0.15">
      <c r="A123" t="s">
        <v>9961</v>
      </c>
      <c r="B123" t="s">
        <v>10141</v>
      </c>
      <c r="C123" t="s">
        <v>10234</v>
      </c>
      <c r="D123" t="s">
        <v>23</v>
      </c>
      <c r="E123" t="s">
        <v>10235</v>
      </c>
      <c r="F123" s="5" t="str">
        <f t="shared" ref="F123:F124" si="19">G123</f>
        <v>********</v>
      </c>
      <c r="G123" s="5" t="s">
        <v>145</v>
      </c>
      <c r="H123" t="s">
        <v>145</v>
      </c>
      <c r="I123" s="2" t="e">
        <f t="shared" si="10"/>
        <v>#VALUE!</v>
      </c>
      <c r="J123" s="4">
        <v>4100000</v>
      </c>
      <c r="K123" s="2" t="e">
        <f t="shared" si="11"/>
        <v>#VALUE!</v>
      </c>
      <c r="L123" t="s">
        <v>64</v>
      </c>
      <c r="M123" t="s">
        <v>192</v>
      </c>
      <c r="N123" t="b">
        <f t="shared" si="12"/>
        <v>0</v>
      </c>
    </row>
    <row r="124" spans="1:14" x14ac:dyDescent="0.15">
      <c r="A124" t="s">
        <v>9961</v>
      </c>
      <c r="B124" t="s">
        <v>10238</v>
      </c>
      <c r="C124" t="s">
        <v>10236</v>
      </c>
      <c r="D124" t="s">
        <v>2593</v>
      </c>
      <c r="E124" t="s">
        <v>10237</v>
      </c>
      <c r="F124" s="5" t="str">
        <f t="shared" si="19"/>
        <v>********</v>
      </c>
      <c r="G124" s="5" t="s">
        <v>145</v>
      </c>
      <c r="H124" t="s">
        <v>145</v>
      </c>
      <c r="I124" s="2" t="e">
        <f t="shared" si="10"/>
        <v>#VALUE!</v>
      </c>
      <c r="J124" s="4">
        <v>4310000</v>
      </c>
      <c r="K124" s="2" t="e">
        <f t="shared" si="11"/>
        <v>#VALUE!</v>
      </c>
      <c r="L124" t="s">
        <v>332</v>
      </c>
      <c r="M124" t="s">
        <v>1015</v>
      </c>
      <c r="N124" t="b">
        <f t="shared" si="12"/>
        <v>0</v>
      </c>
    </row>
    <row r="125" spans="1:14" x14ac:dyDescent="0.15">
      <c r="A125" t="s">
        <v>9961</v>
      </c>
      <c r="B125" t="s">
        <v>9967</v>
      </c>
      <c r="C125" t="s">
        <v>10239</v>
      </c>
      <c r="D125" t="s">
        <v>23</v>
      </c>
      <c r="E125" t="s">
        <v>10240</v>
      </c>
      <c r="F125" s="5">
        <v>4420000</v>
      </c>
      <c r="G125" s="5">
        <v>4420000</v>
      </c>
      <c r="H125" s="4">
        <v>3532000</v>
      </c>
      <c r="I125" s="2">
        <f t="shared" si="10"/>
        <v>0.79909502262443444</v>
      </c>
      <c r="J125" s="4">
        <v>4200000</v>
      </c>
      <c r="K125" s="2">
        <f t="shared" si="11"/>
        <v>0.95022624434389136</v>
      </c>
      <c r="L125" t="s">
        <v>694</v>
      </c>
      <c r="M125" t="s">
        <v>432</v>
      </c>
      <c r="N125" t="b">
        <f t="shared" si="12"/>
        <v>0</v>
      </c>
    </row>
    <row r="126" spans="1:14" x14ac:dyDescent="0.15">
      <c r="A126" t="s">
        <v>9961</v>
      </c>
      <c r="B126" t="s">
        <v>9967</v>
      </c>
      <c r="C126" t="s">
        <v>10241</v>
      </c>
      <c r="D126" t="s">
        <v>23</v>
      </c>
      <c r="E126" t="s">
        <v>10242</v>
      </c>
      <c r="F126" s="5">
        <v>8800000</v>
      </c>
      <c r="G126" s="5">
        <v>8800000</v>
      </c>
      <c r="H126" s="4">
        <v>6991000</v>
      </c>
      <c r="I126" s="2">
        <f t="shared" si="10"/>
        <v>0.79443181818181818</v>
      </c>
      <c r="J126" s="4">
        <v>8300000</v>
      </c>
      <c r="K126" s="2">
        <f t="shared" si="11"/>
        <v>0.94318181818181823</v>
      </c>
      <c r="L126" t="s">
        <v>10028</v>
      </c>
      <c r="M126" t="s">
        <v>165</v>
      </c>
      <c r="N126" t="b">
        <f t="shared" si="12"/>
        <v>0</v>
      </c>
    </row>
    <row r="127" spans="1:14" x14ac:dyDescent="0.15">
      <c r="A127" t="s">
        <v>9961</v>
      </c>
      <c r="B127" t="s">
        <v>10051</v>
      </c>
      <c r="C127" t="s">
        <v>10243</v>
      </c>
      <c r="D127" t="s">
        <v>23</v>
      </c>
      <c r="E127" t="s">
        <v>10244</v>
      </c>
      <c r="F127" s="5" t="str">
        <f t="shared" ref="F127:F129" si="20">G127</f>
        <v>********</v>
      </c>
      <c r="G127" s="5" t="s">
        <v>145</v>
      </c>
      <c r="H127" t="s">
        <v>145</v>
      </c>
      <c r="I127" s="2" t="e">
        <f t="shared" si="10"/>
        <v>#VALUE!</v>
      </c>
      <c r="J127" s="4">
        <v>18900000</v>
      </c>
      <c r="K127" s="2" t="e">
        <f t="shared" si="11"/>
        <v>#VALUE!</v>
      </c>
      <c r="L127" t="s">
        <v>1541</v>
      </c>
      <c r="M127" t="s">
        <v>80</v>
      </c>
      <c r="N127" t="b">
        <f t="shared" si="12"/>
        <v>0</v>
      </c>
    </row>
    <row r="128" spans="1:14" x14ac:dyDescent="0.15">
      <c r="A128" t="s">
        <v>9961</v>
      </c>
      <c r="B128" t="s">
        <v>10051</v>
      </c>
      <c r="C128" t="s">
        <v>10245</v>
      </c>
      <c r="D128" t="s">
        <v>23</v>
      </c>
      <c r="E128" t="s">
        <v>10246</v>
      </c>
      <c r="F128" s="5" t="str">
        <f t="shared" si="20"/>
        <v>********</v>
      </c>
      <c r="G128" s="5" t="s">
        <v>145</v>
      </c>
      <c r="H128" t="s">
        <v>145</v>
      </c>
      <c r="I128" s="2" t="e">
        <f t="shared" si="10"/>
        <v>#VALUE!</v>
      </c>
      <c r="J128" s="4">
        <v>19700000</v>
      </c>
      <c r="K128" s="2" t="e">
        <f t="shared" si="11"/>
        <v>#VALUE!</v>
      </c>
      <c r="L128" t="s">
        <v>1458</v>
      </c>
      <c r="M128" t="s">
        <v>80</v>
      </c>
      <c r="N128" t="b">
        <f t="shared" si="12"/>
        <v>0</v>
      </c>
    </row>
    <row r="129" spans="1:14" x14ac:dyDescent="0.15">
      <c r="A129" t="s">
        <v>9961</v>
      </c>
      <c r="B129" t="s">
        <v>10063</v>
      </c>
      <c r="C129" t="s">
        <v>10247</v>
      </c>
      <c r="D129" t="s">
        <v>23</v>
      </c>
      <c r="E129" t="s">
        <v>10248</v>
      </c>
      <c r="F129" s="5" t="str">
        <f t="shared" si="20"/>
        <v>********</v>
      </c>
      <c r="G129" s="5" t="s">
        <v>145</v>
      </c>
      <c r="H129" t="s">
        <v>145</v>
      </c>
      <c r="I129" s="2" t="e">
        <f t="shared" si="10"/>
        <v>#VALUE!</v>
      </c>
      <c r="J129" s="4">
        <v>8700000</v>
      </c>
      <c r="K129" s="2" t="e">
        <f t="shared" si="11"/>
        <v>#VALUE!</v>
      </c>
      <c r="L129" t="s">
        <v>1541</v>
      </c>
      <c r="M129" t="s">
        <v>80</v>
      </c>
      <c r="N129" t="b">
        <f t="shared" si="12"/>
        <v>0</v>
      </c>
    </row>
    <row r="130" spans="1:14" x14ac:dyDescent="0.15">
      <c r="A130" t="s">
        <v>9961</v>
      </c>
      <c r="B130" t="s">
        <v>9976</v>
      </c>
      <c r="C130" t="s">
        <v>10249</v>
      </c>
      <c r="D130" t="s">
        <v>2593</v>
      </c>
      <c r="E130" t="s">
        <v>10250</v>
      </c>
      <c r="F130" s="5" t="s">
        <v>145</v>
      </c>
      <c r="G130" s="5" t="s">
        <v>145</v>
      </c>
      <c r="H130" t="s">
        <v>145</v>
      </c>
      <c r="I130" s="2" t="e">
        <f t="shared" si="10"/>
        <v>#VALUE!</v>
      </c>
      <c r="J130" s="4">
        <v>61000000</v>
      </c>
      <c r="K130" s="2" t="e">
        <f t="shared" si="11"/>
        <v>#VALUE!</v>
      </c>
      <c r="L130" t="s">
        <v>1458</v>
      </c>
      <c r="M130" t="s">
        <v>139</v>
      </c>
      <c r="N130" t="b">
        <f t="shared" si="12"/>
        <v>0</v>
      </c>
    </row>
    <row r="131" spans="1:14" x14ac:dyDescent="0.15">
      <c r="A131" t="s">
        <v>9961</v>
      </c>
      <c r="B131" t="s">
        <v>9967</v>
      </c>
      <c r="C131" t="s">
        <v>10251</v>
      </c>
      <c r="D131" t="s">
        <v>118</v>
      </c>
      <c r="E131" t="s">
        <v>10252</v>
      </c>
      <c r="F131" s="5">
        <v>17730000</v>
      </c>
      <c r="G131" s="5">
        <v>17730000</v>
      </c>
      <c r="H131" s="4">
        <v>14229000</v>
      </c>
      <c r="I131" s="2">
        <f t="shared" si="10"/>
        <v>0.80253807106598984</v>
      </c>
      <c r="J131" s="4">
        <v>14229000</v>
      </c>
      <c r="K131" s="2">
        <f t="shared" si="11"/>
        <v>0.80253807106598984</v>
      </c>
      <c r="L131" t="s">
        <v>2667</v>
      </c>
      <c r="M131" t="s">
        <v>432</v>
      </c>
      <c r="N131" t="b">
        <f t="shared" si="12"/>
        <v>0</v>
      </c>
    </row>
    <row r="132" spans="1:14" x14ac:dyDescent="0.15">
      <c r="A132" t="s">
        <v>9961</v>
      </c>
      <c r="B132" t="s">
        <v>9967</v>
      </c>
      <c r="C132" t="s">
        <v>10253</v>
      </c>
      <c r="D132" t="s">
        <v>118</v>
      </c>
      <c r="E132" t="s">
        <v>10254</v>
      </c>
      <c r="F132" s="5">
        <v>20050000</v>
      </c>
      <c r="G132" s="5">
        <v>20050000</v>
      </c>
      <c r="H132" s="4">
        <v>16110000</v>
      </c>
      <c r="I132" s="2">
        <f t="shared" ref="I132:I195" si="21">H132/G132</f>
        <v>0.80349127182044888</v>
      </c>
      <c r="J132" s="4">
        <v>16147000</v>
      </c>
      <c r="K132" s="2">
        <f t="shared" ref="K132:K195" si="22">J132/G132</f>
        <v>0.80533665835411472</v>
      </c>
      <c r="L132" t="s">
        <v>239</v>
      </c>
      <c r="M132" t="s">
        <v>216</v>
      </c>
      <c r="N132" t="b">
        <f t="shared" ref="N132:N195" si="23">F132&lt;&gt;G132</f>
        <v>0</v>
      </c>
    </row>
    <row r="133" spans="1:14" x14ac:dyDescent="0.15">
      <c r="A133" t="s">
        <v>9961</v>
      </c>
      <c r="B133" t="s">
        <v>10257</v>
      </c>
      <c r="C133" t="s">
        <v>10255</v>
      </c>
      <c r="D133" t="s">
        <v>23</v>
      </c>
      <c r="E133" t="s">
        <v>10256</v>
      </c>
      <c r="F133" s="5" t="str">
        <f t="shared" ref="F133:F134" si="24">G133</f>
        <v>********</v>
      </c>
      <c r="G133" s="5" t="s">
        <v>145</v>
      </c>
      <c r="H133" s="4">
        <v>3420000</v>
      </c>
      <c r="I133" s="2" t="e">
        <f t="shared" si="21"/>
        <v>#VALUE!</v>
      </c>
      <c r="J133" s="4">
        <v>3437000</v>
      </c>
      <c r="K133" s="2" t="e">
        <f t="shared" si="22"/>
        <v>#VALUE!</v>
      </c>
      <c r="L133" t="s">
        <v>819</v>
      </c>
      <c r="M133" t="s">
        <v>432</v>
      </c>
      <c r="N133" t="b">
        <f t="shared" si="23"/>
        <v>0</v>
      </c>
    </row>
    <row r="134" spans="1:14" x14ac:dyDescent="0.15">
      <c r="A134" t="s">
        <v>9961</v>
      </c>
      <c r="B134" t="s">
        <v>10260</v>
      </c>
      <c r="C134" t="s">
        <v>10258</v>
      </c>
      <c r="D134" t="s">
        <v>23</v>
      </c>
      <c r="E134" t="s">
        <v>10259</v>
      </c>
      <c r="F134" s="5" t="str">
        <f t="shared" si="24"/>
        <v>********</v>
      </c>
      <c r="G134" s="5" t="s">
        <v>145</v>
      </c>
      <c r="H134" t="s">
        <v>145</v>
      </c>
      <c r="I134" s="2" t="e">
        <f t="shared" si="21"/>
        <v>#VALUE!</v>
      </c>
      <c r="J134" s="4">
        <v>2700000</v>
      </c>
      <c r="K134" s="2" t="e">
        <f t="shared" si="22"/>
        <v>#VALUE!</v>
      </c>
      <c r="L134" t="s">
        <v>64</v>
      </c>
      <c r="M134" t="s">
        <v>432</v>
      </c>
      <c r="N134" t="b">
        <f t="shared" si="23"/>
        <v>0</v>
      </c>
    </row>
    <row r="135" spans="1:14" x14ac:dyDescent="0.15">
      <c r="A135" t="s">
        <v>9961</v>
      </c>
      <c r="B135" t="s">
        <v>9976</v>
      </c>
      <c r="C135" t="s">
        <v>10261</v>
      </c>
      <c r="D135" t="s">
        <v>23</v>
      </c>
      <c r="E135" t="s">
        <v>10262</v>
      </c>
      <c r="F135" s="5">
        <v>6890000</v>
      </c>
      <c r="G135" s="5">
        <v>6890000</v>
      </c>
      <c r="H135" s="4">
        <v>5529000</v>
      </c>
      <c r="I135" s="2">
        <f t="shared" si="21"/>
        <v>0.80246734397677799</v>
      </c>
      <c r="J135" s="4">
        <v>5529000</v>
      </c>
      <c r="K135" s="2">
        <f t="shared" si="22"/>
        <v>0.80246734397677799</v>
      </c>
      <c r="L135" t="s">
        <v>10068</v>
      </c>
      <c r="M135" t="s">
        <v>216</v>
      </c>
      <c r="N135" t="b">
        <f t="shared" si="23"/>
        <v>0</v>
      </c>
    </row>
    <row r="136" spans="1:14" x14ac:dyDescent="0.15">
      <c r="A136" t="s">
        <v>9961</v>
      </c>
      <c r="B136" t="s">
        <v>9976</v>
      </c>
      <c r="C136" t="s">
        <v>10263</v>
      </c>
      <c r="D136" t="s">
        <v>23</v>
      </c>
      <c r="E136" t="s">
        <v>10264</v>
      </c>
      <c r="F136" s="5">
        <v>7530000</v>
      </c>
      <c r="G136" s="5">
        <v>7530000</v>
      </c>
      <c r="H136" s="4">
        <v>6040000</v>
      </c>
      <c r="I136" s="2">
        <f t="shared" si="21"/>
        <v>0.80212483399734391</v>
      </c>
      <c r="J136" s="4">
        <v>6040000</v>
      </c>
      <c r="K136" s="2">
        <f t="shared" si="22"/>
        <v>0.80212483399734391</v>
      </c>
      <c r="L136" t="s">
        <v>10265</v>
      </c>
      <c r="M136" t="s">
        <v>174</v>
      </c>
      <c r="N136" t="b">
        <f t="shared" si="23"/>
        <v>0</v>
      </c>
    </row>
    <row r="137" spans="1:14" x14ac:dyDescent="0.15">
      <c r="A137" t="s">
        <v>9961</v>
      </c>
      <c r="B137" t="s">
        <v>9976</v>
      </c>
      <c r="C137" t="s">
        <v>10266</v>
      </c>
      <c r="D137" t="s">
        <v>23</v>
      </c>
      <c r="E137" t="s">
        <v>10267</v>
      </c>
      <c r="F137" s="5">
        <v>8230000</v>
      </c>
      <c r="G137" s="5">
        <v>8230000</v>
      </c>
      <c r="H137" s="4">
        <v>6603000</v>
      </c>
      <c r="I137" s="2">
        <f t="shared" si="21"/>
        <v>0.80230862697448357</v>
      </c>
      <c r="J137" s="4">
        <v>6603000</v>
      </c>
      <c r="K137" s="2">
        <f t="shared" si="22"/>
        <v>0.80230862697448357</v>
      </c>
      <c r="L137" t="s">
        <v>1384</v>
      </c>
      <c r="M137" t="s">
        <v>174</v>
      </c>
      <c r="N137" t="b">
        <f t="shared" si="23"/>
        <v>0</v>
      </c>
    </row>
    <row r="138" spans="1:14" x14ac:dyDescent="0.15">
      <c r="A138" t="s">
        <v>9961</v>
      </c>
      <c r="B138" t="s">
        <v>9976</v>
      </c>
      <c r="C138" t="s">
        <v>10268</v>
      </c>
      <c r="D138" t="s">
        <v>23</v>
      </c>
      <c r="E138" t="s">
        <v>10269</v>
      </c>
      <c r="F138" s="5">
        <v>6970000</v>
      </c>
      <c r="G138" s="5">
        <v>6970000</v>
      </c>
      <c r="H138" s="4">
        <v>5591000</v>
      </c>
      <c r="I138" s="2">
        <f t="shared" si="21"/>
        <v>0.80215208034433283</v>
      </c>
      <c r="J138" s="4">
        <v>5591000</v>
      </c>
      <c r="K138" s="2">
        <f t="shared" si="22"/>
        <v>0.80215208034433283</v>
      </c>
      <c r="L138" t="s">
        <v>10270</v>
      </c>
      <c r="M138" t="s">
        <v>31</v>
      </c>
      <c r="N138" t="b">
        <f t="shared" si="23"/>
        <v>0</v>
      </c>
    </row>
    <row r="139" spans="1:14" x14ac:dyDescent="0.15">
      <c r="A139" t="s">
        <v>9961</v>
      </c>
      <c r="B139" t="s">
        <v>9976</v>
      </c>
      <c r="C139" t="s">
        <v>10271</v>
      </c>
      <c r="D139" t="s">
        <v>23</v>
      </c>
      <c r="E139" t="s">
        <v>10272</v>
      </c>
      <c r="F139" s="5">
        <v>6970000</v>
      </c>
      <c r="G139" s="5">
        <v>6970000</v>
      </c>
      <c r="H139" s="4">
        <v>5591000</v>
      </c>
      <c r="I139" s="2">
        <f t="shared" si="21"/>
        <v>0.80215208034433283</v>
      </c>
      <c r="J139" s="4">
        <v>5591000</v>
      </c>
      <c r="K139" s="2">
        <f t="shared" si="22"/>
        <v>0.80215208034433283</v>
      </c>
      <c r="L139" t="s">
        <v>9984</v>
      </c>
      <c r="M139" t="s">
        <v>174</v>
      </c>
      <c r="N139" t="b">
        <f t="shared" si="23"/>
        <v>0</v>
      </c>
    </row>
    <row r="140" spans="1:14" x14ac:dyDescent="0.15">
      <c r="A140" t="s">
        <v>9961</v>
      </c>
      <c r="B140" t="s">
        <v>9976</v>
      </c>
      <c r="C140" t="s">
        <v>10273</v>
      </c>
      <c r="D140" t="s">
        <v>23</v>
      </c>
      <c r="E140" t="s">
        <v>10274</v>
      </c>
      <c r="F140" s="5">
        <v>9040000</v>
      </c>
      <c r="G140" s="5">
        <v>9040000</v>
      </c>
      <c r="H140" s="4">
        <v>7253000</v>
      </c>
      <c r="I140" s="2">
        <f t="shared" si="21"/>
        <v>0.80232300884955754</v>
      </c>
      <c r="J140" s="4">
        <v>7253000</v>
      </c>
      <c r="K140" s="2">
        <f t="shared" si="22"/>
        <v>0.80232300884955754</v>
      </c>
      <c r="L140" t="s">
        <v>1170</v>
      </c>
      <c r="M140" t="s">
        <v>174</v>
      </c>
      <c r="N140" t="b">
        <f t="shared" si="23"/>
        <v>0</v>
      </c>
    </row>
    <row r="141" spans="1:14" x14ac:dyDescent="0.15">
      <c r="A141" t="s">
        <v>9961</v>
      </c>
      <c r="B141" t="s">
        <v>9976</v>
      </c>
      <c r="C141" t="s">
        <v>10275</v>
      </c>
      <c r="D141" t="s">
        <v>23</v>
      </c>
      <c r="E141" t="s">
        <v>10276</v>
      </c>
      <c r="F141" s="5">
        <v>6160000</v>
      </c>
      <c r="G141" s="5">
        <v>6160000</v>
      </c>
      <c r="H141" s="4">
        <v>4942000</v>
      </c>
      <c r="I141" s="2">
        <f t="shared" si="21"/>
        <v>0.80227272727272725</v>
      </c>
      <c r="J141" s="4">
        <v>4942000</v>
      </c>
      <c r="K141" s="2">
        <f t="shared" si="22"/>
        <v>0.80227272727272725</v>
      </c>
      <c r="L141" t="s">
        <v>10277</v>
      </c>
      <c r="M141" t="s">
        <v>174</v>
      </c>
      <c r="N141" t="b">
        <f t="shared" si="23"/>
        <v>0</v>
      </c>
    </row>
    <row r="142" spans="1:14" x14ac:dyDescent="0.15">
      <c r="A142" t="s">
        <v>9961</v>
      </c>
      <c r="B142" t="s">
        <v>9976</v>
      </c>
      <c r="C142" t="s">
        <v>10278</v>
      </c>
      <c r="D142" t="s">
        <v>23</v>
      </c>
      <c r="E142" t="s">
        <v>10279</v>
      </c>
      <c r="F142" s="5">
        <v>8190000</v>
      </c>
      <c r="G142" s="5">
        <v>8190000</v>
      </c>
      <c r="H142" s="4">
        <v>6572000</v>
      </c>
      <c r="I142" s="2">
        <f t="shared" si="21"/>
        <v>0.80244200244200248</v>
      </c>
      <c r="J142" s="4">
        <v>6572000</v>
      </c>
      <c r="K142" s="2">
        <f t="shared" si="22"/>
        <v>0.80244200244200248</v>
      </c>
      <c r="L142" t="s">
        <v>694</v>
      </c>
      <c r="M142" t="s">
        <v>174</v>
      </c>
      <c r="N142" t="b">
        <f t="shared" si="23"/>
        <v>0</v>
      </c>
    </row>
    <row r="143" spans="1:14" x14ac:dyDescent="0.15">
      <c r="A143" t="s">
        <v>9961</v>
      </c>
      <c r="B143" t="s">
        <v>9976</v>
      </c>
      <c r="C143" t="s">
        <v>10280</v>
      </c>
      <c r="D143" t="s">
        <v>23</v>
      </c>
      <c r="E143" t="s">
        <v>10281</v>
      </c>
      <c r="F143" s="5">
        <v>7660000</v>
      </c>
      <c r="G143" s="5">
        <v>7660000</v>
      </c>
      <c r="H143" s="4">
        <v>6146000</v>
      </c>
      <c r="I143" s="2">
        <f t="shared" si="21"/>
        <v>0.80234986945169717</v>
      </c>
      <c r="J143" s="4">
        <v>6146000</v>
      </c>
      <c r="K143" s="2">
        <f t="shared" si="22"/>
        <v>0.80234986945169717</v>
      </c>
      <c r="L143" t="s">
        <v>1384</v>
      </c>
      <c r="M143" t="s">
        <v>174</v>
      </c>
      <c r="N143" t="b">
        <f t="shared" si="23"/>
        <v>0</v>
      </c>
    </row>
    <row r="144" spans="1:14" x14ac:dyDescent="0.15">
      <c r="A144" t="s">
        <v>9961</v>
      </c>
      <c r="B144" t="s">
        <v>9976</v>
      </c>
      <c r="C144" t="s">
        <v>10282</v>
      </c>
      <c r="D144" t="s">
        <v>23</v>
      </c>
      <c r="E144" t="s">
        <v>10283</v>
      </c>
      <c r="F144" s="5">
        <v>8110000</v>
      </c>
      <c r="G144" s="5">
        <v>8110000</v>
      </c>
      <c r="H144" s="4">
        <v>6506000</v>
      </c>
      <c r="I144" s="2">
        <f t="shared" si="21"/>
        <v>0.80221948212083849</v>
      </c>
      <c r="J144" s="4">
        <v>6506000</v>
      </c>
      <c r="K144" s="2">
        <f t="shared" si="22"/>
        <v>0.80221948212083849</v>
      </c>
      <c r="L144" t="s">
        <v>1333</v>
      </c>
      <c r="M144" t="s">
        <v>174</v>
      </c>
      <c r="N144" t="b">
        <f t="shared" si="23"/>
        <v>0</v>
      </c>
    </row>
    <row r="145" spans="1:14" x14ac:dyDescent="0.15">
      <c r="A145" t="s">
        <v>9961</v>
      </c>
      <c r="B145" t="s">
        <v>9976</v>
      </c>
      <c r="C145" t="s">
        <v>10284</v>
      </c>
      <c r="D145" t="s">
        <v>23</v>
      </c>
      <c r="E145" t="s">
        <v>10285</v>
      </c>
      <c r="F145" s="5">
        <v>7410000</v>
      </c>
      <c r="G145" s="5">
        <v>7410000</v>
      </c>
      <c r="H145" s="4">
        <v>5888000</v>
      </c>
      <c r="I145" s="2">
        <f t="shared" si="21"/>
        <v>0.79460188933873144</v>
      </c>
      <c r="J145" s="4">
        <v>5888000</v>
      </c>
      <c r="K145" s="2">
        <f t="shared" si="22"/>
        <v>0.79460188933873144</v>
      </c>
      <c r="L145" t="s">
        <v>10028</v>
      </c>
      <c r="M145" t="s">
        <v>174</v>
      </c>
      <c r="N145" t="b">
        <f t="shared" si="23"/>
        <v>0</v>
      </c>
    </row>
    <row r="146" spans="1:14" x14ac:dyDescent="0.15">
      <c r="A146" t="s">
        <v>9961</v>
      </c>
      <c r="B146" t="s">
        <v>9976</v>
      </c>
      <c r="C146" t="s">
        <v>10286</v>
      </c>
      <c r="D146" t="s">
        <v>23</v>
      </c>
      <c r="E146" t="s">
        <v>10287</v>
      </c>
      <c r="F146" s="5">
        <v>5730000</v>
      </c>
      <c r="G146" s="5">
        <v>5730000</v>
      </c>
      <c r="H146" s="4">
        <v>4597000</v>
      </c>
      <c r="I146" s="2">
        <f t="shared" si="21"/>
        <v>0.80226876090750432</v>
      </c>
      <c r="J146" s="4">
        <v>4597000</v>
      </c>
      <c r="K146" s="2">
        <f t="shared" si="22"/>
        <v>0.80226876090750432</v>
      </c>
      <c r="L146" t="s">
        <v>1170</v>
      </c>
      <c r="M146" t="s">
        <v>174</v>
      </c>
      <c r="N146" t="b">
        <f t="shared" si="23"/>
        <v>0</v>
      </c>
    </row>
    <row r="147" spans="1:14" x14ac:dyDescent="0.15">
      <c r="A147" t="s">
        <v>9961</v>
      </c>
      <c r="B147" t="s">
        <v>9967</v>
      </c>
      <c r="C147" t="s">
        <v>10288</v>
      </c>
      <c r="D147" t="s">
        <v>118</v>
      </c>
      <c r="E147" t="s">
        <v>10289</v>
      </c>
      <c r="F147" s="5">
        <v>15910000</v>
      </c>
      <c r="G147" s="5">
        <v>15910000</v>
      </c>
      <c r="H147" s="4">
        <v>12674000</v>
      </c>
      <c r="I147" s="2">
        <f t="shared" si="21"/>
        <v>0.79660590823381516</v>
      </c>
      <c r="J147" s="4">
        <v>12679000</v>
      </c>
      <c r="K147" s="2">
        <f t="shared" si="22"/>
        <v>0.79692017598994347</v>
      </c>
      <c r="L147" t="s">
        <v>263</v>
      </c>
      <c r="M147" t="s">
        <v>31</v>
      </c>
      <c r="N147" t="b">
        <f t="shared" si="23"/>
        <v>0</v>
      </c>
    </row>
    <row r="148" spans="1:14" x14ac:dyDescent="0.15">
      <c r="A148" t="s">
        <v>9961</v>
      </c>
      <c r="B148" t="s">
        <v>9967</v>
      </c>
      <c r="C148" t="s">
        <v>10290</v>
      </c>
      <c r="D148" t="s">
        <v>118</v>
      </c>
      <c r="E148" t="s">
        <v>10291</v>
      </c>
      <c r="F148" s="5">
        <v>21020000</v>
      </c>
      <c r="G148" s="5">
        <v>21020000</v>
      </c>
      <c r="H148" s="4">
        <v>16871000</v>
      </c>
      <c r="I148" s="2">
        <f t="shared" si="21"/>
        <v>0.80261655566127499</v>
      </c>
      <c r="J148" s="4">
        <v>16872000</v>
      </c>
      <c r="K148" s="2">
        <f t="shared" si="22"/>
        <v>0.80266412940057086</v>
      </c>
      <c r="L148" t="s">
        <v>4042</v>
      </c>
      <c r="M148" t="s">
        <v>126</v>
      </c>
      <c r="N148" t="b">
        <f t="shared" si="23"/>
        <v>0</v>
      </c>
    </row>
    <row r="149" spans="1:14" x14ac:dyDescent="0.15">
      <c r="A149" t="s">
        <v>9961</v>
      </c>
      <c r="B149" t="s">
        <v>9967</v>
      </c>
      <c r="C149" t="s">
        <v>10292</v>
      </c>
      <c r="D149" t="s">
        <v>23</v>
      </c>
      <c r="E149" t="s">
        <v>10293</v>
      </c>
      <c r="F149" s="5">
        <v>8630000</v>
      </c>
      <c r="G149" s="5">
        <v>8630000</v>
      </c>
      <c r="H149" s="4">
        <v>6927000</v>
      </c>
      <c r="I149" s="2">
        <f t="shared" si="21"/>
        <v>0.80266512166859794</v>
      </c>
      <c r="J149" s="4">
        <v>8000000</v>
      </c>
      <c r="K149" s="2">
        <f t="shared" si="22"/>
        <v>0.92699884125144849</v>
      </c>
      <c r="L149" t="s">
        <v>4816</v>
      </c>
      <c r="M149" t="s">
        <v>165</v>
      </c>
      <c r="N149" t="b">
        <f t="shared" si="23"/>
        <v>0</v>
      </c>
    </row>
    <row r="150" spans="1:14" x14ac:dyDescent="0.15">
      <c r="A150" t="s">
        <v>9961</v>
      </c>
      <c r="B150" t="s">
        <v>10174</v>
      </c>
      <c r="C150" t="s">
        <v>10294</v>
      </c>
      <c r="D150" t="s">
        <v>23</v>
      </c>
      <c r="E150" t="s">
        <v>10295</v>
      </c>
      <c r="F150" s="5" t="str">
        <f>G150</f>
        <v>********</v>
      </c>
      <c r="G150" s="5" t="s">
        <v>145</v>
      </c>
      <c r="H150" t="s">
        <v>145</v>
      </c>
      <c r="I150" s="2" t="e">
        <f t="shared" si="21"/>
        <v>#VALUE!</v>
      </c>
      <c r="J150" s="4">
        <v>3880000</v>
      </c>
      <c r="K150" s="2" t="e">
        <f t="shared" si="22"/>
        <v>#VALUE!</v>
      </c>
      <c r="L150" t="s">
        <v>687</v>
      </c>
      <c r="M150" t="s">
        <v>192</v>
      </c>
      <c r="N150" t="b">
        <f t="shared" si="23"/>
        <v>0</v>
      </c>
    </row>
    <row r="151" spans="1:14" x14ac:dyDescent="0.15">
      <c r="A151" t="s">
        <v>9961</v>
      </c>
      <c r="B151" t="s">
        <v>9967</v>
      </c>
      <c r="C151" t="s">
        <v>10296</v>
      </c>
      <c r="D151" t="s">
        <v>23</v>
      </c>
      <c r="E151" t="s">
        <v>10297</v>
      </c>
      <c r="F151" s="5">
        <v>4870000</v>
      </c>
      <c r="G151" s="5">
        <v>4870000</v>
      </c>
      <c r="H151" s="4">
        <v>3944000</v>
      </c>
      <c r="I151" s="2">
        <f t="shared" si="21"/>
        <v>0.80985626283367551</v>
      </c>
      <c r="J151" s="4">
        <v>4580000</v>
      </c>
      <c r="K151" s="2">
        <f t="shared" si="22"/>
        <v>0.94045174537987675</v>
      </c>
      <c r="L151" t="s">
        <v>9984</v>
      </c>
      <c r="M151" t="s">
        <v>165</v>
      </c>
      <c r="N151" t="b">
        <f t="shared" si="23"/>
        <v>0</v>
      </c>
    </row>
    <row r="152" spans="1:14" x14ac:dyDescent="0.15">
      <c r="A152" t="s">
        <v>9961</v>
      </c>
      <c r="B152" t="s">
        <v>9967</v>
      </c>
      <c r="C152" t="s">
        <v>10298</v>
      </c>
      <c r="D152" t="s">
        <v>23</v>
      </c>
      <c r="E152" t="s">
        <v>10299</v>
      </c>
      <c r="F152" s="5">
        <v>6070000</v>
      </c>
      <c r="G152" s="5">
        <v>6070000</v>
      </c>
      <c r="H152" s="4">
        <v>4778000</v>
      </c>
      <c r="I152" s="2">
        <f t="shared" si="21"/>
        <v>0.78714991762767705</v>
      </c>
      <c r="J152" s="4">
        <v>5760000</v>
      </c>
      <c r="K152" s="2">
        <f t="shared" si="22"/>
        <v>0.94892915980230641</v>
      </c>
      <c r="L152" t="s">
        <v>10054</v>
      </c>
      <c r="M152" t="s">
        <v>165</v>
      </c>
      <c r="N152" t="b">
        <f t="shared" si="23"/>
        <v>0</v>
      </c>
    </row>
    <row r="153" spans="1:14" x14ac:dyDescent="0.15">
      <c r="A153" t="s">
        <v>9961</v>
      </c>
      <c r="B153" t="s">
        <v>9967</v>
      </c>
      <c r="C153" t="s">
        <v>10300</v>
      </c>
      <c r="D153" t="s">
        <v>23</v>
      </c>
      <c r="E153" t="s">
        <v>10301</v>
      </c>
      <c r="F153" s="5">
        <v>8790000</v>
      </c>
      <c r="G153" s="5">
        <v>8790000</v>
      </c>
      <c r="H153" s="4">
        <v>7054000</v>
      </c>
      <c r="I153" s="2">
        <f t="shared" si="21"/>
        <v>0.80250284414106943</v>
      </c>
      <c r="J153" s="4">
        <v>8200000</v>
      </c>
      <c r="K153" s="2">
        <f t="shared" si="22"/>
        <v>0.93287827076222984</v>
      </c>
      <c r="L153" t="s">
        <v>5068</v>
      </c>
      <c r="M153" t="s">
        <v>165</v>
      </c>
      <c r="N153" t="b">
        <f t="shared" si="23"/>
        <v>0</v>
      </c>
    </row>
    <row r="154" spans="1:14" x14ac:dyDescent="0.15">
      <c r="A154" t="s">
        <v>9961</v>
      </c>
      <c r="B154" t="s">
        <v>10304</v>
      </c>
      <c r="C154" t="s">
        <v>10302</v>
      </c>
      <c r="D154" t="s">
        <v>23</v>
      </c>
      <c r="E154" t="s">
        <v>10303</v>
      </c>
      <c r="F154" s="5" t="str">
        <f t="shared" ref="F154:F156" si="25">G154</f>
        <v>********</v>
      </c>
      <c r="G154" s="5" t="s">
        <v>145</v>
      </c>
      <c r="H154" t="s">
        <v>145</v>
      </c>
      <c r="I154" s="2" t="e">
        <f t="shared" si="21"/>
        <v>#VALUE!</v>
      </c>
      <c r="J154" s="4">
        <v>10355000</v>
      </c>
      <c r="K154" s="2" t="e">
        <f t="shared" si="22"/>
        <v>#VALUE!</v>
      </c>
      <c r="L154" t="s">
        <v>239</v>
      </c>
      <c r="M154" t="s">
        <v>80</v>
      </c>
      <c r="N154" t="b">
        <f t="shared" si="23"/>
        <v>0</v>
      </c>
    </row>
    <row r="155" spans="1:14" x14ac:dyDescent="0.15">
      <c r="A155" t="s">
        <v>9961</v>
      </c>
      <c r="B155" t="s">
        <v>10045</v>
      </c>
      <c r="C155" t="s">
        <v>10305</v>
      </c>
      <c r="D155" t="s">
        <v>23</v>
      </c>
      <c r="E155" t="s">
        <v>10306</v>
      </c>
      <c r="F155" s="5" t="str">
        <f t="shared" si="25"/>
        <v>********</v>
      </c>
      <c r="G155" s="5" t="s">
        <v>145</v>
      </c>
      <c r="H155" t="s">
        <v>145</v>
      </c>
      <c r="I155" s="2" t="e">
        <f t="shared" si="21"/>
        <v>#VALUE!</v>
      </c>
      <c r="J155" s="4">
        <v>3700000</v>
      </c>
      <c r="K155" s="2" t="e">
        <f t="shared" si="22"/>
        <v>#VALUE!</v>
      </c>
      <c r="L155" t="s">
        <v>903</v>
      </c>
      <c r="M155" t="s">
        <v>192</v>
      </c>
      <c r="N155" t="b">
        <f t="shared" si="23"/>
        <v>0</v>
      </c>
    </row>
    <row r="156" spans="1:14" x14ac:dyDescent="0.15">
      <c r="A156" t="s">
        <v>9961</v>
      </c>
      <c r="B156" t="s">
        <v>10141</v>
      </c>
      <c r="C156" t="s">
        <v>10307</v>
      </c>
      <c r="D156" t="s">
        <v>23</v>
      </c>
      <c r="E156" t="s">
        <v>10308</v>
      </c>
      <c r="F156" s="5" t="str">
        <f t="shared" si="25"/>
        <v>********</v>
      </c>
      <c r="G156" s="5" t="s">
        <v>145</v>
      </c>
      <c r="H156" t="s">
        <v>145</v>
      </c>
      <c r="I156" s="2" t="e">
        <f t="shared" si="21"/>
        <v>#VALUE!</v>
      </c>
      <c r="J156" s="4">
        <v>17500000</v>
      </c>
      <c r="K156" s="2" t="e">
        <f t="shared" si="22"/>
        <v>#VALUE!</v>
      </c>
      <c r="L156" t="s">
        <v>1800</v>
      </c>
      <c r="M156" t="s">
        <v>80</v>
      </c>
      <c r="N156" t="b">
        <f t="shared" si="23"/>
        <v>0</v>
      </c>
    </row>
    <row r="157" spans="1:14" x14ac:dyDescent="0.15">
      <c r="A157" t="s">
        <v>9961</v>
      </c>
      <c r="B157" t="s">
        <v>9967</v>
      </c>
      <c r="C157" t="s">
        <v>10309</v>
      </c>
      <c r="D157" t="s">
        <v>118</v>
      </c>
      <c r="E157" t="s">
        <v>10310</v>
      </c>
      <c r="F157" s="5">
        <v>26230000</v>
      </c>
      <c r="G157" s="5">
        <v>26230000</v>
      </c>
      <c r="H157" s="4">
        <v>21056000</v>
      </c>
      <c r="I157" s="2">
        <f t="shared" si="21"/>
        <v>0.80274494853221501</v>
      </c>
      <c r="J157" s="4">
        <v>21070000</v>
      </c>
      <c r="K157" s="2">
        <f t="shared" si="22"/>
        <v>0.80327868852459017</v>
      </c>
      <c r="L157" t="s">
        <v>271</v>
      </c>
      <c r="M157" t="s">
        <v>248</v>
      </c>
      <c r="N157" t="b">
        <f t="shared" si="23"/>
        <v>0</v>
      </c>
    </row>
    <row r="158" spans="1:14" x14ac:dyDescent="0.15">
      <c r="A158" t="s">
        <v>9961</v>
      </c>
      <c r="B158" t="s">
        <v>9964</v>
      </c>
      <c r="C158" t="s">
        <v>10311</v>
      </c>
      <c r="D158" t="s">
        <v>23</v>
      </c>
      <c r="E158" t="s">
        <v>3152</v>
      </c>
      <c r="F158" s="5" t="str">
        <f t="shared" ref="F158:F162" si="26">G158</f>
        <v>********</v>
      </c>
      <c r="G158" s="5" t="s">
        <v>145</v>
      </c>
      <c r="H158" t="s">
        <v>145</v>
      </c>
      <c r="I158" s="2" t="e">
        <f t="shared" si="21"/>
        <v>#VALUE!</v>
      </c>
      <c r="J158" s="4">
        <v>426000</v>
      </c>
      <c r="K158" s="2" t="e">
        <f t="shared" si="22"/>
        <v>#VALUE!</v>
      </c>
      <c r="L158" t="s">
        <v>332</v>
      </c>
      <c r="M158" t="s">
        <v>432</v>
      </c>
      <c r="N158" t="b">
        <f t="shared" si="23"/>
        <v>0</v>
      </c>
    </row>
    <row r="159" spans="1:14" x14ac:dyDescent="0.15">
      <c r="A159" t="s">
        <v>9961</v>
      </c>
      <c r="B159" t="s">
        <v>10051</v>
      </c>
      <c r="C159" t="s">
        <v>10312</v>
      </c>
      <c r="D159" t="s">
        <v>23</v>
      </c>
      <c r="E159" t="s">
        <v>10313</v>
      </c>
      <c r="F159" s="5" t="str">
        <f t="shared" si="26"/>
        <v>********</v>
      </c>
      <c r="G159" s="5" t="s">
        <v>145</v>
      </c>
      <c r="H159" t="s">
        <v>145</v>
      </c>
      <c r="I159" s="2" t="e">
        <f t="shared" si="21"/>
        <v>#VALUE!</v>
      </c>
      <c r="J159" s="4">
        <v>12800000</v>
      </c>
      <c r="K159" s="2" t="e">
        <f t="shared" si="22"/>
        <v>#VALUE!</v>
      </c>
      <c r="L159" t="s">
        <v>1458</v>
      </c>
      <c r="M159" t="s">
        <v>80</v>
      </c>
      <c r="N159" t="b">
        <f t="shared" si="23"/>
        <v>0</v>
      </c>
    </row>
    <row r="160" spans="1:14" x14ac:dyDescent="0.15">
      <c r="A160" t="s">
        <v>9961</v>
      </c>
      <c r="B160" t="s">
        <v>10051</v>
      </c>
      <c r="C160" t="s">
        <v>10314</v>
      </c>
      <c r="D160" t="s">
        <v>23</v>
      </c>
      <c r="E160" t="s">
        <v>10315</v>
      </c>
      <c r="F160" s="5" t="str">
        <f t="shared" si="26"/>
        <v>********</v>
      </c>
      <c r="G160" s="5" t="s">
        <v>145</v>
      </c>
      <c r="H160" t="s">
        <v>145</v>
      </c>
      <c r="I160" s="2" t="e">
        <f t="shared" si="21"/>
        <v>#VALUE!</v>
      </c>
      <c r="J160" s="4">
        <v>19700000</v>
      </c>
      <c r="K160" s="2" t="e">
        <f t="shared" si="22"/>
        <v>#VALUE!</v>
      </c>
      <c r="L160" t="s">
        <v>832</v>
      </c>
      <c r="M160" t="s">
        <v>80</v>
      </c>
      <c r="N160" t="b">
        <f t="shared" si="23"/>
        <v>0</v>
      </c>
    </row>
    <row r="161" spans="1:14" x14ac:dyDescent="0.15">
      <c r="A161" t="s">
        <v>9961</v>
      </c>
      <c r="B161" t="s">
        <v>10063</v>
      </c>
      <c r="C161" t="s">
        <v>10316</v>
      </c>
      <c r="D161" t="s">
        <v>23</v>
      </c>
      <c r="E161" t="s">
        <v>10317</v>
      </c>
      <c r="F161" s="5" t="str">
        <f t="shared" si="26"/>
        <v>********</v>
      </c>
      <c r="G161" s="5" t="s">
        <v>145</v>
      </c>
      <c r="H161" t="s">
        <v>145</v>
      </c>
      <c r="I161" s="2" t="e">
        <f t="shared" si="21"/>
        <v>#VALUE!</v>
      </c>
      <c r="J161" s="4">
        <v>11800000</v>
      </c>
      <c r="K161" s="2" t="e">
        <f t="shared" si="22"/>
        <v>#VALUE!</v>
      </c>
      <c r="L161" t="s">
        <v>215</v>
      </c>
      <c r="M161" t="s">
        <v>80</v>
      </c>
      <c r="N161" t="b">
        <f t="shared" si="23"/>
        <v>0</v>
      </c>
    </row>
    <row r="162" spans="1:14" x14ac:dyDescent="0.15">
      <c r="A162" t="s">
        <v>9961</v>
      </c>
      <c r="B162" t="s">
        <v>10063</v>
      </c>
      <c r="C162" t="s">
        <v>10318</v>
      </c>
      <c r="D162" t="s">
        <v>23</v>
      </c>
      <c r="E162" t="s">
        <v>10319</v>
      </c>
      <c r="F162" s="5" t="str">
        <f t="shared" si="26"/>
        <v>********</v>
      </c>
      <c r="G162" s="5" t="s">
        <v>145</v>
      </c>
      <c r="H162" t="s">
        <v>145</v>
      </c>
      <c r="I162" s="2" t="e">
        <f t="shared" si="21"/>
        <v>#VALUE!</v>
      </c>
      <c r="J162" s="4">
        <v>6800000</v>
      </c>
      <c r="K162" s="2" t="e">
        <f t="shared" si="22"/>
        <v>#VALUE!</v>
      </c>
      <c r="L162" t="s">
        <v>1236</v>
      </c>
      <c r="M162" t="s">
        <v>80</v>
      </c>
      <c r="N162" t="b">
        <f t="shared" si="23"/>
        <v>0</v>
      </c>
    </row>
    <row r="163" spans="1:14" x14ac:dyDescent="0.15">
      <c r="A163" t="s">
        <v>9961</v>
      </c>
      <c r="B163" t="s">
        <v>9976</v>
      </c>
      <c r="C163" t="s">
        <v>10320</v>
      </c>
      <c r="D163" t="s">
        <v>23</v>
      </c>
      <c r="E163" t="s">
        <v>10321</v>
      </c>
      <c r="F163" s="5">
        <v>8400000</v>
      </c>
      <c r="G163" s="5">
        <v>8400000</v>
      </c>
      <c r="H163" s="4">
        <v>6740000</v>
      </c>
      <c r="I163" s="2">
        <f t="shared" si="21"/>
        <v>0.80238095238095242</v>
      </c>
      <c r="J163" s="4">
        <v>6740000</v>
      </c>
      <c r="K163" s="2">
        <f t="shared" si="22"/>
        <v>0.80238095238095242</v>
      </c>
      <c r="L163" t="s">
        <v>10322</v>
      </c>
      <c r="M163" t="s">
        <v>165</v>
      </c>
      <c r="N163" t="b">
        <f t="shared" si="23"/>
        <v>0</v>
      </c>
    </row>
    <row r="164" spans="1:14" x14ac:dyDescent="0.15">
      <c r="A164" t="s">
        <v>9961</v>
      </c>
      <c r="B164" t="s">
        <v>9976</v>
      </c>
      <c r="C164" t="s">
        <v>10323</v>
      </c>
      <c r="D164" t="s">
        <v>23</v>
      </c>
      <c r="E164" t="s">
        <v>10324</v>
      </c>
      <c r="F164" s="5">
        <v>8150000</v>
      </c>
      <c r="G164" s="5">
        <v>8150000</v>
      </c>
      <c r="H164" s="4">
        <v>6539000</v>
      </c>
      <c r="I164" s="2">
        <f t="shared" si="21"/>
        <v>0.80233128834355827</v>
      </c>
      <c r="J164" s="4">
        <v>6539000</v>
      </c>
      <c r="K164" s="2">
        <f t="shared" si="22"/>
        <v>0.80233128834355827</v>
      </c>
      <c r="L164" t="s">
        <v>9984</v>
      </c>
      <c r="M164" t="s">
        <v>165</v>
      </c>
      <c r="N164" t="b">
        <f t="shared" si="23"/>
        <v>0</v>
      </c>
    </row>
    <row r="165" spans="1:14" x14ac:dyDescent="0.15">
      <c r="A165" t="s">
        <v>9961</v>
      </c>
      <c r="B165" t="s">
        <v>9976</v>
      </c>
      <c r="C165" t="s">
        <v>10325</v>
      </c>
      <c r="D165" t="s">
        <v>23</v>
      </c>
      <c r="E165" t="s">
        <v>3296</v>
      </c>
      <c r="F165" s="5">
        <v>7680000</v>
      </c>
      <c r="G165" s="5">
        <v>7680000</v>
      </c>
      <c r="H165" s="4">
        <v>6161000</v>
      </c>
      <c r="I165" s="2">
        <f t="shared" si="21"/>
        <v>0.8022135416666667</v>
      </c>
      <c r="J165" s="4">
        <v>7100000</v>
      </c>
      <c r="K165" s="2">
        <f t="shared" si="22"/>
        <v>0.92447916666666663</v>
      </c>
      <c r="L165" t="s">
        <v>10326</v>
      </c>
      <c r="M165" t="s">
        <v>165</v>
      </c>
      <c r="N165" t="b">
        <f t="shared" si="23"/>
        <v>0</v>
      </c>
    </row>
    <row r="166" spans="1:14" x14ac:dyDescent="0.15">
      <c r="A166" t="s">
        <v>9961</v>
      </c>
      <c r="B166" t="s">
        <v>9976</v>
      </c>
      <c r="C166" t="s">
        <v>10327</v>
      </c>
      <c r="D166" t="s">
        <v>23</v>
      </c>
      <c r="E166" t="s">
        <v>10328</v>
      </c>
      <c r="F166" s="5">
        <v>8230000</v>
      </c>
      <c r="G166" s="5">
        <v>8230000</v>
      </c>
      <c r="H166" s="4">
        <v>6603000</v>
      </c>
      <c r="I166" s="2">
        <f t="shared" si="21"/>
        <v>0.80230862697448357</v>
      </c>
      <c r="J166" s="4">
        <v>6603000</v>
      </c>
      <c r="K166" s="2">
        <f t="shared" si="22"/>
        <v>0.80230862697448357</v>
      </c>
      <c r="L166" t="s">
        <v>5415</v>
      </c>
      <c r="M166" t="s">
        <v>165</v>
      </c>
      <c r="N166" t="b">
        <f t="shared" si="23"/>
        <v>0</v>
      </c>
    </row>
    <row r="167" spans="1:14" x14ac:dyDescent="0.15">
      <c r="A167" t="s">
        <v>9961</v>
      </c>
      <c r="B167" t="s">
        <v>9976</v>
      </c>
      <c r="C167" t="s">
        <v>10329</v>
      </c>
      <c r="D167" t="s">
        <v>23</v>
      </c>
      <c r="E167" t="s">
        <v>10330</v>
      </c>
      <c r="F167" s="5">
        <v>8220000</v>
      </c>
      <c r="G167" s="5">
        <v>8220000</v>
      </c>
      <c r="H167" s="4">
        <v>6596000</v>
      </c>
      <c r="I167" s="2">
        <f t="shared" si="21"/>
        <v>0.80243309002433094</v>
      </c>
      <c r="J167" s="4">
        <v>7700000</v>
      </c>
      <c r="K167" s="2">
        <f t="shared" si="22"/>
        <v>0.93673965936739656</v>
      </c>
      <c r="L167" t="s">
        <v>10194</v>
      </c>
      <c r="M167" t="s">
        <v>165</v>
      </c>
      <c r="N167" t="b">
        <f t="shared" si="23"/>
        <v>0</v>
      </c>
    </row>
    <row r="168" spans="1:14" x14ac:dyDescent="0.15">
      <c r="A168" t="s">
        <v>9961</v>
      </c>
      <c r="B168" t="s">
        <v>9976</v>
      </c>
      <c r="C168" t="s">
        <v>10331</v>
      </c>
      <c r="D168" t="s">
        <v>23</v>
      </c>
      <c r="E168" t="s">
        <v>10332</v>
      </c>
      <c r="F168" s="5">
        <v>9040000</v>
      </c>
      <c r="G168" s="5">
        <v>9040000</v>
      </c>
      <c r="H168" s="4">
        <v>7253000</v>
      </c>
      <c r="I168" s="2">
        <f t="shared" si="21"/>
        <v>0.80232300884955754</v>
      </c>
      <c r="J168" s="4">
        <v>7253000</v>
      </c>
      <c r="K168" s="2">
        <f t="shared" si="22"/>
        <v>0.80232300884955754</v>
      </c>
      <c r="L168" t="s">
        <v>687</v>
      </c>
      <c r="M168" t="s">
        <v>165</v>
      </c>
      <c r="N168" t="b">
        <f t="shared" si="23"/>
        <v>0</v>
      </c>
    </row>
    <row r="169" spans="1:14" x14ac:dyDescent="0.15">
      <c r="A169" t="s">
        <v>9961</v>
      </c>
      <c r="B169" t="s">
        <v>9976</v>
      </c>
      <c r="C169" t="s">
        <v>10333</v>
      </c>
      <c r="D169" t="s">
        <v>23</v>
      </c>
      <c r="E169" t="s">
        <v>10334</v>
      </c>
      <c r="F169" s="5">
        <v>8300000</v>
      </c>
      <c r="G169" s="5">
        <v>8300000</v>
      </c>
      <c r="H169" s="4">
        <v>6660000</v>
      </c>
      <c r="I169" s="2">
        <f t="shared" si="21"/>
        <v>0.80240963855421688</v>
      </c>
      <c r="J169" s="4">
        <v>7850000</v>
      </c>
      <c r="K169" s="2">
        <f t="shared" si="22"/>
        <v>0.94578313253012047</v>
      </c>
      <c r="L169" t="s">
        <v>1001</v>
      </c>
      <c r="M169" t="s">
        <v>165</v>
      </c>
      <c r="N169" t="b">
        <f t="shared" si="23"/>
        <v>0</v>
      </c>
    </row>
    <row r="170" spans="1:14" x14ac:dyDescent="0.15">
      <c r="A170" t="s">
        <v>9961</v>
      </c>
      <c r="B170" t="s">
        <v>9976</v>
      </c>
      <c r="C170" t="s">
        <v>10335</v>
      </c>
      <c r="D170" t="s">
        <v>23</v>
      </c>
      <c r="E170" t="s">
        <v>10336</v>
      </c>
      <c r="F170" s="5">
        <v>8220000</v>
      </c>
      <c r="G170" s="5">
        <v>8220000</v>
      </c>
      <c r="H170" s="4">
        <v>6596000</v>
      </c>
      <c r="I170" s="2">
        <f t="shared" si="21"/>
        <v>0.80243309002433094</v>
      </c>
      <c r="J170" s="4">
        <v>6596000</v>
      </c>
      <c r="K170" s="2">
        <f t="shared" si="22"/>
        <v>0.80243309002433094</v>
      </c>
      <c r="L170" t="s">
        <v>10068</v>
      </c>
      <c r="M170" t="s">
        <v>165</v>
      </c>
      <c r="N170" t="b">
        <f t="shared" si="23"/>
        <v>0</v>
      </c>
    </row>
    <row r="171" spans="1:14" x14ac:dyDescent="0.15">
      <c r="A171" t="s">
        <v>9961</v>
      </c>
      <c r="B171" t="s">
        <v>9976</v>
      </c>
      <c r="C171" t="s">
        <v>10337</v>
      </c>
      <c r="D171" t="s">
        <v>23</v>
      </c>
      <c r="E171" t="s">
        <v>10338</v>
      </c>
      <c r="F171" s="5">
        <v>8330000</v>
      </c>
      <c r="G171" s="5">
        <v>8330000</v>
      </c>
      <c r="H171" s="4">
        <v>6685000</v>
      </c>
      <c r="I171" s="2">
        <f t="shared" si="21"/>
        <v>0.80252100840336138</v>
      </c>
      <c r="J171" s="4">
        <v>7500000</v>
      </c>
      <c r="K171" s="2">
        <f t="shared" si="22"/>
        <v>0.9003601440576231</v>
      </c>
      <c r="L171" t="s">
        <v>271</v>
      </c>
      <c r="M171" t="s">
        <v>165</v>
      </c>
      <c r="N171" t="b">
        <f t="shared" si="23"/>
        <v>0</v>
      </c>
    </row>
    <row r="172" spans="1:14" x14ac:dyDescent="0.15">
      <c r="A172" t="s">
        <v>9961</v>
      </c>
      <c r="B172" t="s">
        <v>9976</v>
      </c>
      <c r="C172" t="s">
        <v>10339</v>
      </c>
      <c r="D172" t="s">
        <v>23</v>
      </c>
      <c r="E172" t="s">
        <v>10340</v>
      </c>
      <c r="F172" s="5">
        <v>8490000</v>
      </c>
      <c r="G172" s="5">
        <v>8490000</v>
      </c>
      <c r="H172" s="4">
        <v>6813000</v>
      </c>
      <c r="I172" s="2">
        <f t="shared" si="21"/>
        <v>0.80247349823321557</v>
      </c>
      <c r="J172" s="4">
        <v>8200000</v>
      </c>
      <c r="K172" s="2">
        <f t="shared" si="22"/>
        <v>0.9658421672555948</v>
      </c>
      <c r="L172" t="s">
        <v>1384</v>
      </c>
      <c r="M172" t="s">
        <v>165</v>
      </c>
      <c r="N172" t="b">
        <f t="shared" si="23"/>
        <v>0</v>
      </c>
    </row>
    <row r="173" spans="1:14" x14ac:dyDescent="0.15">
      <c r="A173" t="s">
        <v>9961</v>
      </c>
      <c r="B173" t="s">
        <v>9976</v>
      </c>
      <c r="C173" t="s">
        <v>10341</v>
      </c>
      <c r="D173" t="s">
        <v>23</v>
      </c>
      <c r="E173" t="s">
        <v>10342</v>
      </c>
      <c r="F173" s="5">
        <v>7710000</v>
      </c>
      <c r="G173" s="5">
        <v>7710000</v>
      </c>
      <c r="H173" s="4">
        <v>6185000</v>
      </c>
      <c r="I173" s="2">
        <f t="shared" si="21"/>
        <v>0.80220492866407267</v>
      </c>
      <c r="J173" s="4">
        <v>6185000</v>
      </c>
      <c r="K173" s="2">
        <f t="shared" si="22"/>
        <v>0.80220492866407267</v>
      </c>
      <c r="L173" t="s">
        <v>694</v>
      </c>
      <c r="M173" t="s">
        <v>80</v>
      </c>
      <c r="N173" t="b">
        <f t="shared" si="23"/>
        <v>0</v>
      </c>
    </row>
    <row r="174" spans="1:14" x14ac:dyDescent="0.15">
      <c r="A174" t="s">
        <v>9961</v>
      </c>
      <c r="B174" t="s">
        <v>10238</v>
      </c>
      <c r="C174" t="s">
        <v>10343</v>
      </c>
      <c r="D174" t="s">
        <v>118</v>
      </c>
      <c r="E174" t="s">
        <v>10342</v>
      </c>
      <c r="F174" s="5" t="str">
        <f t="shared" ref="F174:F177" si="27">G174</f>
        <v>********</v>
      </c>
      <c r="G174" s="5" t="s">
        <v>145</v>
      </c>
      <c r="H174" t="s">
        <v>145</v>
      </c>
      <c r="I174" s="2" t="e">
        <f t="shared" si="21"/>
        <v>#VALUE!</v>
      </c>
      <c r="J174" s="4">
        <v>2450000</v>
      </c>
      <c r="K174" s="2" t="e">
        <f t="shared" si="22"/>
        <v>#VALUE!</v>
      </c>
      <c r="L174" t="s">
        <v>332</v>
      </c>
      <c r="M174" t="s">
        <v>183</v>
      </c>
      <c r="N174" t="b">
        <f t="shared" si="23"/>
        <v>0</v>
      </c>
    </row>
    <row r="175" spans="1:14" x14ac:dyDescent="0.15">
      <c r="A175" t="s">
        <v>9961</v>
      </c>
      <c r="B175" t="s">
        <v>10021</v>
      </c>
      <c r="C175" t="s">
        <v>10344</v>
      </c>
      <c r="D175" t="s">
        <v>23</v>
      </c>
      <c r="E175" t="s">
        <v>10345</v>
      </c>
      <c r="F175" s="5" t="str">
        <f t="shared" si="27"/>
        <v>********</v>
      </c>
      <c r="G175" s="5" t="s">
        <v>145</v>
      </c>
      <c r="H175" t="s">
        <v>145</v>
      </c>
      <c r="I175" s="2" t="e">
        <f t="shared" si="21"/>
        <v>#VALUE!</v>
      </c>
      <c r="J175" s="4">
        <v>2600000</v>
      </c>
      <c r="K175" s="2" t="e">
        <f t="shared" si="22"/>
        <v>#VALUE!</v>
      </c>
      <c r="L175" t="s">
        <v>10022</v>
      </c>
      <c r="M175" t="s">
        <v>432</v>
      </c>
      <c r="N175" t="b">
        <f t="shared" si="23"/>
        <v>0</v>
      </c>
    </row>
    <row r="176" spans="1:14" x14ac:dyDescent="0.15">
      <c r="A176" t="s">
        <v>9961</v>
      </c>
      <c r="B176" t="s">
        <v>10238</v>
      </c>
      <c r="C176" t="s">
        <v>10346</v>
      </c>
      <c r="D176" t="s">
        <v>23</v>
      </c>
      <c r="E176" t="s">
        <v>10347</v>
      </c>
      <c r="F176" s="5" t="str">
        <f t="shared" si="27"/>
        <v>********</v>
      </c>
      <c r="G176" s="5" t="s">
        <v>145</v>
      </c>
      <c r="H176" t="s">
        <v>145</v>
      </c>
      <c r="I176" s="2" t="e">
        <f t="shared" si="21"/>
        <v>#VALUE!</v>
      </c>
      <c r="J176" s="4">
        <v>6060000</v>
      </c>
      <c r="K176" s="2" t="e">
        <f t="shared" si="22"/>
        <v>#VALUE!</v>
      </c>
      <c r="L176" t="s">
        <v>10028</v>
      </c>
      <c r="M176" t="s">
        <v>165</v>
      </c>
      <c r="N176" t="b">
        <f t="shared" si="23"/>
        <v>0</v>
      </c>
    </row>
    <row r="177" spans="1:14" x14ac:dyDescent="0.15">
      <c r="A177" t="s">
        <v>9961</v>
      </c>
      <c r="B177" t="s">
        <v>10238</v>
      </c>
      <c r="C177" t="s">
        <v>10348</v>
      </c>
      <c r="D177" t="s">
        <v>118</v>
      </c>
      <c r="E177" t="s">
        <v>10349</v>
      </c>
      <c r="F177" s="5" t="str">
        <f t="shared" si="27"/>
        <v>********</v>
      </c>
      <c r="G177" s="5" t="s">
        <v>145</v>
      </c>
      <c r="H177" t="s">
        <v>145</v>
      </c>
      <c r="I177" s="2" t="e">
        <f t="shared" si="21"/>
        <v>#VALUE!</v>
      </c>
      <c r="J177" s="4">
        <v>6950000</v>
      </c>
      <c r="K177" s="2" t="e">
        <f t="shared" si="22"/>
        <v>#VALUE!</v>
      </c>
      <c r="L177" t="s">
        <v>608</v>
      </c>
      <c r="M177" t="s">
        <v>183</v>
      </c>
      <c r="N177" t="b">
        <f t="shared" si="23"/>
        <v>0</v>
      </c>
    </row>
    <row r="178" spans="1:14" x14ac:dyDescent="0.15">
      <c r="A178" t="s">
        <v>9961</v>
      </c>
      <c r="B178" t="s">
        <v>9967</v>
      </c>
      <c r="C178" t="s">
        <v>10350</v>
      </c>
      <c r="D178" t="s">
        <v>23</v>
      </c>
      <c r="E178" t="s">
        <v>10351</v>
      </c>
      <c r="F178" s="5">
        <v>7550000</v>
      </c>
      <c r="G178" s="5">
        <v>7550000</v>
      </c>
      <c r="H178" s="4">
        <v>6060000</v>
      </c>
      <c r="I178" s="2">
        <f t="shared" si="21"/>
        <v>0.80264900662251659</v>
      </c>
      <c r="J178" s="4">
        <v>6060000</v>
      </c>
      <c r="K178" s="2">
        <f t="shared" si="22"/>
        <v>0.80264900662251659</v>
      </c>
      <c r="L178" t="s">
        <v>271</v>
      </c>
      <c r="M178" t="s">
        <v>165</v>
      </c>
      <c r="N178" t="b">
        <f t="shared" si="23"/>
        <v>0</v>
      </c>
    </row>
    <row r="179" spans="1:14" x14ac:dyDescent="0.15">
      <c r="A179" t="s">
        <v>9961</v>
      </c>
      <c r="B179" t="s">
        <v>9976</v>
      </c>
      <c r="C179" t="s">
        <v>10352</v>
      </c>
      <c r="D179" t="s">
        <v>118</v>
      </c>
      <c r="E179" t="s">
        <v>10353</v>
      </c>
      <c r="F179" s="5">
        <v>12400000</v>
      </c>
      <c r="G179" s="5">
        <v>12400000</v>
      </c>
      <c r="H179" s="4">
        <v>9888000</v>
      </c>
      <c r="I179" s="2">
        <f t="shared" si="21"/>
        <v>0.79741935483870963</v>
      </c>
      <c r="J179" s="4">
        <v>9888000</v>
      </c>
      <c r="K179" s="2">
        <f t="shared" si="22"/>
        <v>0.79741935483870963</v>
      </c>
      <c r="L179" t="s">
        <v>10277</v>
      </c>
      <c r="M179" t="s">
        <v>174</v>
      </c>
      <c r="N179" t="b">
        <f t="shared" si="23"/>
        <v>0</v>
      </c>
    </row>
    <row r="180" spans="1:14" x14ac:dyDescent="0.15">
      <c r="A180" t="s">
        <v>9961</v>
      </c>
      <c r="B180" t="s">
        <v>10356</v>
      </c>
      <c r="C180" t="s">
        <v>10354</v>
      </c>
      <c r="D180" t="s">
        <v>23</v>
      </c>
      <c r="E180" t="s">
        <v>10355</v>
      </c>
      <c r="F180" s="5" t="str">
        <f>G180</f>
        <v>********</v>
      </c>
      <c r="G180" s="5" t="s">
        <v>145</v>
      </c>
      <c r="H180" t="s">
        <v>145</v>
      </c>
      <c r="I180" s="2" t="e">
        <f t="shared" si="21"/>
        <v>#VALUE!</v>
      </c>
      <c r="J180" s="4">
        <v>3450000</v>
      </c>
      <c r="K180" s="2" t="e">
        <f t="shared" si="22"/>
        <v>#VALUE!</v>
      </c>
      <c r="L180" t="s">
        <v>1783</v>
      </c>
      <c r="M180" t="s">
        <v>192</v>
      </c>
      <c r="N180" t="b">
        <f t="shared" si="23"/>
        <v>0</v>
      </c>
    </row>
    <row r="181" spans="1:14" x14ac:dyDescent="0.15">
      <c r="A181" t="s">
        <v>9961</v>
      </c>
      <c r="B181" t="s">
        <v>9967</v>
      </c>
      <c r="C181" t="s">
        <v>10357</v>
      </c>
      <c r="D181" t="s">
        <v>118</v>
      </c>
      <c r="E181" t="s">
        <v>10358</v>
      </c>
      <c r="F181" s="5">
        <v>18600000</v>
      </c>
      <c r="G181" s="5">
        <v>18600000</v>
      </c>
      <c r="H181" s="4">
        <v>14929000</v>
      </c>
      <c r="I181" s="2">
        <f t="shared" si="21"/>
        <v>0.80263440860215052</v>
      </c>
      <c r="J181" s="4">
        <v>14929000</v>
      </c>
      <c r="K181" s="2">
        <f t="shared" si="22"/>
        <v>0.80263440860215052</v>
      </c>
      <c r="L181" t="s">
        <v>10359</v>
      </c>
      <c r="M181" t="s">
        <v>4035</v>
      </c>
      <c r="N181" t="b">
        <f t="shared" si="23"/>
        <v>0</v>
      </c>
    </row>
    <row r="182" spans="1:14" x14ac:dyDescent="0.15">
      <c r="A182" t="s">
        <v>9961</v>
      </c>
      <c r="B182" t="s">
        <v>9964</v>
      </c>
      <c r="C182" t="s">
        <v>10360</v>
      </c>
      <c r="D182" t="s">
        <v>23</v>
      </c>
      <c r="E182" t="s">
        <v>10361</v>
      </c>
      <c r="F182" s="5" t="str">
        <f t="shared" ref="F182:F183" si="28">G182</f>
        <v>********</v>
      </c>
      <c r="G182" s="5" t="s">
        <v>145</v>
      </c>
      <c r="H182" t="s">
        <v>145</v>
      </c>
      <c r="I182" s="2" t="e">
        <f t="shared" si="21"/>
        <v>#VALUE!</v>
      </c>
      <c r="J182" s="4">
        <v>3333000</v>
      </c>
      <c r="K182" s="2" t="e">
        <f t="shared" si="22"/>
        <v>#VALUE!</v>
      </c>
      <c r="L182" t="s">
        <v>1718</v>
      </c>
      <c r="M182" t="s">
        <v>432</v>
      </c>
      <c r="N182" t="b">
        <f t="shared" si="23"/>
        <v>0</v>
      </c>
    </row>
    <row r="183" spans="1:14" x14ac:dyDescent="0.15">
      <c r="A183" t="s">
        <v>9961</v>
      </c>
      <c r="B183" t="s">
        <v>10051</v>
      </c>
      <c r="C183" t="s">
        <v>10362</v>
      </c>
      <c r="D183" t="s">
        <v>23</v>
      </c>
      <c r="E183" t="s">
        <v>10363</v>
      </c>
      <c r="F183" s="5" t="str">
        <f t="shared" si="28"/>
        <v>********</v>
      </c>
      <c r="G183" s="5" t="s">
        <v>145</v>
      </c>
      <c r="H183" t="s">
        <v>145</v>
      </c>
      <c r="I183" s="2" t="e">
        <f t="shared" si="21"/>
        <v>#VALUE!</v>
      </c>
      <c r="J183" s="4">
        <v>39000000</v>
      </c>
      <c r="K183" s="2" t="e">
        <f t="shared" si="22"/>
        <v>#VALUE!</v>
      </c>
      <c r="L183" t="s">
        <v>10364</v>
      </c>
      <c r="M183" t="s">
        <v>80</v>
      </c>
      <c r="N183" t="b">
        <f t="shared" si="23"/>
        <v>0</v>
      </c>
    </row>
    <row r="184" spans="1:14" x14ac:dyDescent="0.15">
      <c r="A184" t="s">
        <v>9961</v>
      </c>
      <c r="B184" t="s">
        <v>9967</v>
      </c>
      <c r="C184" t="s">
        <v>10365</v>
      </c>
      <c r="D184" t="s">
        <v>118</v>
      </c>
      <c r="E184" t="s">
        <v>10366</v>
      </c>
      <c r="F184" s="5">
        <v>9550000</v>
      </c>
      <c r="G184" s="5">
        <v>9550000</v>
      </c>
      <c r="H184" s="4">
        <v>7666000</v>
      </c>
      <c r="I184" s="2">
        <f t="shared" si="21"/>
        <v>0.80272251308900522</v>
      </c>
      <c r="J184" s="4">
        <v>7666000</v>
      </c>
      <c r="K184" s="2">
        <f t="shared" si="22"/>
        <v>0.80272251308900522</v>
      </c>
      <c r="L184" t="s">
        <v>2674</v>
      </c>
      <c r="M184" t="s">
        <v>126</v>
      </c>
      <c r="N184" t="b">
        <f t="shared" si="23"/>
        <v>0</v>
      </c>
    </row>
    <row r="185" spans="1:14" x14ac:dyDescent="0.15">
      <c r="A185" t="s">
        <v>9961</v>
      </c>
      <c r="B185" t="s">
        <v>9967</v>
      </c>
      <c r="C185" t="s">
        <v>10367</v>
      </c>
      <c r="D185" t="s">
        <v>118</v>
      </c>
      <c r="E185" t="s">
        <v>10368</v>
      </c>
      <c r="F185" s="5">
        <v>15940000</v>
      </c>
      <c r="G185" s="5">
        <v>15940000</v>
      </c>
      <c r="H185" s="4">
        <v>12807000</v>
      </c>
      <c r="I185" s="2">
        <f t="shared" si="21"/>
        <v>0.80345043914680048</v>
      </c>
      <c r="J185" s="4">
        <v>12807000</v>
      </c>
      <c r="K185" s="2">
        <f t="shared" si="22"/>
        <v>0.80345043914680048</v>
      </c>
      <c r="L185" t="s">
        <v>2674</v>
      </c>
      <c r="M185" t="s">
        <v>432</v>
      </c>
      <c r="N185" t="b">
        <f t="shared" si="23"/>
        <v>0</v>
      </c>
    </row>
    <row r="186" spans="1:14" x14ac:dyDescent="0.15">
      <c r="A186" t="s">
        <v>9961</v>
      </c>
      <c r="B186" t="s">
        <v>9967</v>
      </c>
      <c r="C186" t="s">
        <v>10369</v>
      </c>
      <c r="D186" t="s">
        <v>118</v>
      </c>
      <c r="E186" t="s">
        <v>10370</v>
      </c>
      <c r="F186" s="5">
        <v>17010000</v>
      </c>
      <c r="G186" s="5">
        <v>17010000</v>
      </c>
      <c r="H186" s="4">
        <v>13655000</v>
      </c>
      <c r="I186" s="2">
        <f t="shared" si="21"/>
        <v>0.80276308054085832</v>
      </c>
      <c r="J186" s="4">
        <v>13655000</v>
      </c>
      <c r="K186" s="2">
        <f t="shared" si="22"/>
        <v>0.80276308054085832</v>
      </c>
      <c r="L186" t="s">
        <v>540</v>
      </c>
      <c r="M186" t="s">
        <v>2979</v>
      </c>
      <c r="N186" t="b">
        <f t="shared" si="23"/>
        <v>0</v>
      </c>
    </row>
    <row r="187" spans="1:14" x14ac:dyDescent="0.15">
      <c r="A187" t="s">
        <v>9961</v>
      </c>
      <c r="B187" t="s">
        <v>9967</v>
      </c>
      <c r="C187" t="s">
        <v>10371</v>
      </c>
      <c r="D187" t="s">
        <v>23</v>
      </c>
      <c r="E187" t="s">
        <v>10372</v>
      </c>
      <c r="F187" s="5">
        <v>2180000</v>
      </c>
      <c r="G187" s="5">
        <v>2180000</v>
      </c>
      <c r="H187" s="4">
        <v>1751000</v>
      </c>
      <c r="I187" s="2">
        <f t="shared" si="21"/>
        <v>0.80321100917431187</v>
      </c>
      <c r="J187" s="4">
        <v>2070000</v>
      </c>
      <c r="K187" s="2">
        <f t="shared" si="22"/>
        <v>0.94954128440366969</v>
      </c>
      <c r="L187" t="s">
        <v>10068</v>
      </c>
      <c r="M187" t="s">
        <v>432</v>
      </c>
      <c r="N187" t="b">
        <f t="shared" si="23"/>
        <v>0</v>
      </c>
    </row>
    <row r="188" spans="1:14" x14ac:dyDescent="0.15">
      <c r="A188" t="s">
        <v>9961</v>
      </c>
      <c r="B188" t="s">
        <v>9967</v>
      </c>
      <c r="C188" t="s">
        <v>10373</v>
      </c>
      <c r="D188" t="s">
        <v>23</v>
      </c>
      <c r="E188" t="s">
        <v>10374</v>
      </c>
      <c r="F188" s="5">
        <v>6180000</v>
      </c>
      <c r="G188" s="5">
        <v>6180000</v>
      </c>
      <c r="H188" s="4">
        <v>4906000</v>
      </c>
      <c r="I188" s="2">
        <f t="shared" si="21"/>
        <v>0.79385113268608409</v>
      </c>
      <c r="J188" s="4">
        <v>5870000</v>
      </c>
      <c r="K188" s="2">
        <f t="shared" si="22"/>
        <v>0.94983818770226536</v>
      </c>
      <c r="L188" t="s">
        <v>10028</v>
      </c>
      <c r="M188" t="s">
        <v>165</v>
      </c>
      <c r="N188" t="b">
        <f t="shared" si="23"/>
        <v>0</v>
      </c>
    </row>
    <row r="189" spans="1:14" x14ac:dyDescent="0.15">
      <c r="A189" t="s">
        <v>9961</v>
      </c>
      <c r="B189" t="s">
        <v>9967</v>
      </c>
      <c r="C189" t="s">
        <v>10375</v>
      </c>
      <c r="D189" t="s">
        <v>23</v>
      </c>
      <c r="E189" t="s">
        <v>10376</v>
      </c>
      <c r="F189" s="5">
        <v>8780000</v>
      </c>
      <c r="G189" s="5">
        <v>8780000</v>
      </c>
      <c r="H189" s="4">
        <v>6998000</v>
      </c>
      <c r="I189" s="2">
        <f t="shared" si="21"/>
        <v>0.79703872437357626</v>
      </c>
      <c r="J189" s="4">
        <v>8150000</v>
      </c>
      <c r="K189" s="2">
        <f t="shared" si="22"/>
        <v>0.92824601366742598</v>
      </c>
      <c r="L189" t="s">
        <v>1104</v>
      </c>
      <c r="M189" t="s">
        <v>165</v>
      </c>
      <c r="N189" t="b">
        <f t="shared" si="23"/>
        <v>0</v>
      </c>
    </row>
    <row r="190" spans="1:14" x14ac:dyDescent="0.15">
      <c r="A190" t="s">
        <v>9961</v>
      </c>
      <c r="B190" t="s">
        <v>9967</v>
      </c>
      <c r="C190" t="s">
        <v>10377</v>
      </c>
      <c r="D190" t="s">
        <v>15</v>
      </c>
      <c r="E190" t="s">
        <v>10378</v>
      </c>
      <c r="F190" s="5">
        <v>3540000</v>
      </c>
      <c r="G190" s="5">
        <v>3540000</v>
      </c>
      <c r="I190" s="2">
        <f t="shared" si="21"/>
        <v>0</v>
      </c>
      <c r="K190" s="2">
        <f t="shared" si="22"/>
        <v>0</v>
      </c>
      <c r="M190" t="s">
        <v>139</v>
      </c>
      <c r="N190" t="b">
        <f t="shared" si="23"/>
        <v>0</v>
      </c>
    </row>
    <row r="191" spans="1:14" x14ac:dyDescent="0.15">
      <c r="A191" t="s">
        <v>9961</v>
      </c>
      <c r="B191" t="s">
        <v>9976</v>
      </c>
      <c r="C191" t="s">
        <v>10379</v>
      </c>
      <c r="D191" t="s">
        <v>23</v>
      </c>
      <c r="E191" t="s">
        <v>10380</v>
      </c>
      <c r="F191" s="5">
        <v>8820000</v>
      </c>
      <c r="G191" s="5">
        <v>8820000</v>
      </c>
      <c r="H191" s="4">
        <v>7034000</v>
      </c>
      <c r="I191" s="2">
        <f t="shared" si="21"/>
        <v>0.79750566893424035</v>
      </c>
      <c r="J191" s="4">
        <v>7300000</v>
      </c>
      <c r="K191" s="2">
        <f t="shared" si="22"/>
        <v>0.82766439909297052</v>
      </c>
      <c r="L191" t="s">
        <v>1170</v>
      </c>
      <c r="M191" t="s">
        <v>165</v>
      </c>
      <c r="N191" t="b">
        <f t="shared" si="23"/>
        <v>0</v>
      </c>
    </row>
    <row r="192" spans="1:14" x14ac:dyDescent="0.15">
      <c r="A192" t="s">
        <v>9961</v>
      </c>
      <c r="B192" t="s">
        <v>9976</v>
      </c>
      <c r="C192" t="s">
        <v>10381</v>
      </c>
      <c r="D192" t="s">
        <v>23</v>
      </c>
      <c r="E192" t="s">
        <v>10382</v>
      </c>
      <c r="F192" s="5">
        <v>7720000</v>
      </c>
      <c r="G192" s="5">
        <v>7720000</v>
      </c>
      <c r="H192" s="4">
        <v>6195000</v>
      </c>
      <c r="I192" s="2">
        <f t="shared" si="21"/>
        <v>0.80246113989637302</v>
      </c>
      <c r="J192" s="4">
        <v>6195000</v>
      </c>
      <c r="K192" s="2">
        <f t="shared" si="22"/>
        <v>0.80246113989637302</v>
      </c>
      <c r="L192" t="s">
        <v>10217</v>
      </c>
      <c r="M192" t="s">
        <v>165</v>
      </c>
      <c r="N192" t="b">
        <f t="shared" si="23"/>
        <v>0</v>
      </c>
    </row>
    <row r="193" spans="1:14" x14ac:dyDescent="0.15">
      <c r="A193" t="s">
        <v>9961</v>
      </c>
      <c r="B193" t="s">
        <v>9976</v>
      </c>
      <c r="C193" t="s">
        <v>10383</v>
      </c>
      <c r="D193" t="s">
        <v>23</v>
      </c>
      <c r="E193" t="s">
        <v>10384</v>
      </c>
      <c r="F193" s="5">
        <v>8210000</v>
      </c>
      <c r="G193" s="5">
        <v>8210000</v>
      </c>
      <c r="H193" s="4">
        <v>6588000</v>
      </c>
      <c r="I193" s="2">
        <f t="shared" si="21"/>
        <v>0.80243605359317904</v>
      </c>
      <c r="J193" s="4">
        <v>8000000</v>
      </c>
      <c r="K193" s="2">
        <f t="shared" si="22"/>
        <v>0.97442143727162001</v>
      </c>
      <c r="L193" t="s">
        <v>10385</v>
      </c>
      <c r="M193" t="s">
        <v>165</v>
      </c>
      <c r="N193" t="b">
        <f t="shared" si="23"/>
        <v>0</v>
      </c>
    </row>
    <row r="194" spans="1:14" x14ac:dyDescent="0.15">
      <c r="A194" t="s">
        <v>9961</v>
      </c>
      <c r="B194" t="s">
        <v>9976</v>
      </c>
      <c r="C194" t="s">
        <v>10386</v>
      </c>
      <c r="D194" t="s">
        <v>23</v>
      </c>
      <c r="E194" t="s">
        <v>10387</v>
      </c>
      <c r="F194" s="5">
        <v>7650000</v>
      </c>
      <c r="G194" s="5">
        <v>7650000</v>
      </c>
      <c r="H194" s="4">
        <v>6137000</v>
      </c>
      <c r="I194" s="2">
        <f t="shared" si="21"/>
        <v>0.80222222222222217</v>
      </c>
      <c r="J194" s="4">
        <v>6137000</v>
      </c>
      <c r="K194" s="2">
        <f t="shared" si="22"/>
        <v>0.80222222222222217</v>
      </c>
      <c r="L194" t="s">
        <v>10277</v>
      </c>
      <c r="M194" t="s">
        <v>165</v>
      </c>
      <c r="N194" t="b">
        <f t="shared" si="23"/>
        <v>0</v>
      </c>
    </row>
    <row r="195" spans="1:14" x14ac:dyDescent="0.15">
      <c r="A195" t="s">
        <v>9961</v>
      </c>
      <c r="B195" t="s">
        <v>9976</v>
      </c>
      <c r="C195" t="s">
        <v>10388</v>
      </c>
      <c r="D195" t="s">
        <v>23</v>
      </c>
      <c r="E195" t="s">
        <v>10389</v>
      </c>
      <c r="F195" s="5">
        <v>8430000</v>
      </c>
      <c r="G195" s="5">
        <v>8430000</v>
      </c>
      <c r="H195" s="4">
        <v>6763000</v>
      </c>
      <c r="I195" s="2">
        <f t="shared" si="21"/>
        <v>0.80225385527876636</v>
      </c>
      <c r="J195" s="4">
        <v>6763000</v>
      </c>
      <c r="K195" s="2">
        <f t="shared" si="22"/>
        <v>0.80225385527876636</v>
      </c>
      <c r="L195" t="s">
        <v>10390</v>
      </c>
      <c r="M195" t="s">
        <v>165</v>
      </c>
      <c r="N195" t="b">
        <f t="shared" si="23"/>
        <v>0</v>
      </c>
    </row>
    <row r="196" spans="1:14" x14ac:dyDescent="0.15">
      <c r="A196" t="s">
        <v>9961</v>
      </c>
      <c r="B196" t="s">
        <v>9976</v>
      </c>
      <c r="C196" t="s">
        <v>10391</v>
      </c>
      <c r="D196" t="s">
        <v>23</v>
      </c>
      <c r="E196" t="s">
        <v>10392</v>
      </c>
      <c r="F196" s="5">
        <v>8540000</v>
      </c>
      <c r="G196" s="5">
        <v>8540000</v>
      </c>
      <c r="H196" s="4">
        <v>6852000</v>
      </c>
      <c r="I196" s="2">
        <f t="shared" ref="I196:I259" si="29">H196/G196</f>
        <v>0.80234192037470731</v>
      </c>
      <c r="J196" s="4">
        <v>8070000</v>
      </c>
      <c r="K196" s="2">
        <f t="shared" ref="K196:K259" si="30">J196/G196</f>
        <v>0.94496487119437944</v>
      </c>
      <c r="L196" t="s">
        <v>10393</v>
      </c>
      <c r="M196" t="s">
        <v>165</v>
      </c>
      <c r="N196" t="b">
        <f t="shared" ref="N196:N259" si="31">F196&lt;&gt;G196</f>
        <v>0</v>
      </c>
    </row>
    <row r="197" spans="1:14" x14ac:dyDescent="0.15">
      <c r="A197" t="s">
        <v>9961</v>
      </c>
      <c r="B197" t="s">
        <v>9976</v>
      </c>
      <c r="C197" t="s">
        <v>10394</v>
      </c>
      <c r="D197" t="s">
        <v>23</v>
      </c>
      <c r="E197" t="s">
        <v>10395</v>
      </c>
      <c r="F197" s="5">
        <v>8370000</v>
      </c>
      <c r="G197" s="5">
        <v>8370000</v>
      </c>
      <c r="H197" s="4">
        <v>6716000</v>
      </c>
      <c r="I197" s="2">
        <f t="shared" si="29"/>
        <v>0.80238948626045403</v>
      </c>
      <c r="J197" s="4">
        <v>7800000</v>
      </c>
      <c r="K197" s="2">
        <f t="shared" si="30"/>
        <v>0.93189964157706096</v>
      </c>
      <c r="L197" t="s">
        <v>1783</v>
      </c>
      <c r="M197" t="s">
        <v>165</v>
      </c>
      <c r="N197" t="b">
        <f t="shared" si="31"/>
        <v>0</v>
      </c>
    </row>
    <row r="198" spans="1:14" x14ac:dyDescent="0.15">
      <c r="A198" t="s">
        <v>9961</v>
      </c>
      <c r="B198" t="s">
        <v>9976</v>
      </c>
      <c r="C198" t="s">
        <v>10396</v>
      </c>
      <c r="D198" t="s">
        <v>23</v>
      </c>
      <c r="E198" t="s">
        <v>10397</v>
      </c>
      <c r="F198" s="5">
        <v>8370000</v>
      </c>
      <c r="G198" s="5">
        <v>8370000</v>
      </c>
      <c r="H198" s="4">
        <v>6715000</v>
      </c>
      <c r="I198" s="2">
        <f t="shared" si="29"/>
        <v>0.80227001194743131</v>
      </c>
      <c r="J198" s="4">
        <v>6715000</v>
      </c>
      <c r="K198" s="2">
        <f t="shared" si="30"/>
        <v>0.80227001194743131</v>
      </c>
      <c r="L198" t="s">
        <v>10028</v>
      </c>
      <c r="M198" t="s">
        <v>165</v>
      </c>
      <c r="N198" t="b">
        <f t="shared" si="31"/>
        <v>0</v>
      </c>
    </row>
    <row r="199" spans="1:14" x14ac:dyDescent="0.15">
      <c r="A199" t="s">
        <v>9961</v>
      </c>
      <c r="B199" t="s">
        <v>9976</v>
      </c>
      <c r="C199" t="s">
        <v>10398</v>
      </c>
      <c r="D199" t="s">
        <v>23</v>
      </c>
      <c r="E199" t="s">
        <v>10399</v>
      </c>
      <c r="F199" s="5">
        <v>8480000</v>
      </c>
      <c r="G199" s="5">
        <v>8480000</v>
      </c>
      <c r="H199" s="4">
        <v>6803000</v>
      </c>
      <c r="I199" s="2">
        <f t="shared" si="29"/>
        <v>0.80224056603773586</v>
      </c>
      <c r="J199" s="4">
        <v>6803000</v>
      </c>
      <c r="K199" s="2">
        <f t="shared" si="30"/>
        <v>0.80224056603773586</v>
      </c>
      <c r="L199" t="s">
        <v>10084</v>
      </c>
      <c r="M199" t="s">
        <v>165</v>
      </c>
      <c r="N199" t="b">
        <f t="shared" si="31"/>
        <v>0</v>
      </c>
    </row>
    <row r="200" spans="1:14" x14ac:dyDescent="0.15">
      <c r="A200" t="s">
        <v>9961</v>
      </c>
      <c r="B200" t="s">
        <v>9976</v>
      </c>
      <c r="C200" t="s">
        <v>10400</v>
      </c>
      <c r="D200" t="s">
        <v>23</v>
      </c>
      <c r="E200" t="s">
        <v>10401</v>
      </c>
      <c r="F200" s="5">
        <v>7840000</v>
      </c>
      <c r="G200" s="5">
        <v>7840000</v>
      </c>
      <c r="H200" s="4">
        <v>6290000</v>
      </c>
      <c r="I200" s="2">
        <f t="shared" si="29"/>
        <v>0.80229591836734693</v>
      </c>
      <c r="J200" s="4">
        <v>7680000</v>
      </c>
      <c r="K200" s="2">
        <f t="shared" si="30"/>
        <v>0.97959183673469385</v>
      </c>
      <c r="L200" t="s">
        <v>819</v>
      </c>
      <c r="M200" t="s">
        <v>165</v>
      </c>
      <c r="N200" t="b">
        <f t="shared" si="31"/>
        <v>0</v>
      </c>
    </row>
    <row r="201" spans="1:14" x14ac:dyDescent="0.15">
      <c r="A201" t="s">
        <v>9961</v>
      </c>
      <c r="B201" t="s">
        <v>9976</v>
      </c>
      <c r="C201" t="s">
        <v>10402</v>
      </c>
      <c r="D201" t="s">
        <v>23</v>
      </c>
      <c r="E201" t="s">
        <v>10403</v>
      </c>
      <c r="F201" s="5">
        <v>9010000</v>
      </c>
      <c r="G201" s="5">
        <v>9010000</v>
      </c>
      <c r="H201" s="4">
        <v>7228000</v>
      </c>
      <c r="I201" s="2">
        <f t="shared" si="29"/>
        <v>0.802219755826859</v>
      </c>
      <c r="J201" s="4">
        <v>7228000</v>
      </c>
      <c r="K201" s="2">
        <f t="shared" si="30"/>
        <v>0.802219755826859</v>
      </c>
      <c r="L201" t="s">
        <v>1783</v>
      </c>
      <c r="M201" t="s">
        <v>165</v>
      </c>
      <c r="N201" t="b">
        <f t="shared" si="31"/>
        <v>0</v>
      </c>
    </row>
    <row r="202" spans="1:14" x14ac:dyDescent="0.15">
      <c r="A202" t="s">
        <v>9961</v>
      </c>
      <c r="B202" t="s">
        <v>9976</v>
      </c>
      <c r="C202" t="s">
        <v>10404</v>
      </c>
      <c r="D202" t="s">
        <v>23</v>
      </c>
      <c r="E202" t="s">
        <v>10405</v>
      </c>
      <c r="F202" s="5">
        <v>8930000</v>
      </c>
      <c r="G202" s="5">
        <v>8930000</v>
      </c>
      <c r="H202" s="4">
        <v>7164000</v>
      </c>
      <c r="I202" s="2">
        <f t="shared" si="29"/>
        <v>0.80223964165733486</v>
      </c>
      <c r="J202" s="4">
        <v>7164000</v>
      </c>
      <c r="K202" s="2">
        <f t="shared" si="30"/>
        <v>0.80223964165733486</v>
      </c>
      <c r="L202" t="s">
        <v>694</v>
      </c>
      <c r="M202" t="s">
        <v>165</v>
      </c>
      <c r="N202" t="b">
        <f t="shared" si="31"/>
        <v>0</v>
      </c>
    </row>
    <row r="203" spans="1:14" x14ac:dyDescent="0.15">
      <c r="A203" t="s">
        <v>9961</v>
      </c>
      <c r="B203" t="s">
        <v>9976</v>
      </c>
      <c r="C203" t="s">
        <v>10406</v>
      </c>
      <c r="D203" t="s">
        <v>23</v>
      </c>
      <c r="E203" t="s">
        <v>3604</v>
      </c>
      <c r="F203" s="5">
        <v>9050000</v>
      </c>
      <c r="G203" s="5">
        <v>9050000</v>
      </c>
      <c r="H203" s="4">
        <v>7261000</v>
      </c>
      <c r="I203" s="2">
        <f t="shared" si="29"/>
        <v>0.80232044198895025</v>
      </c>
      <c r="J203" s="4">
        <v>7261000</v>
      </c>
      <c r="K203" s="2">
        <f t="shared" si="30"/>
        <v>0.80232044198895025</v>
      </c>
      <c r="L203" t="s">
        <v>10407</v>
      </c>
      <c r="M203" t="s">
        <v>165</v>
      </c>
      <c r="N203" t="b">
        <f t="shared" si="31"/>
        <v>0</v>
      </c>
    </row>
    <row r="204" spans="1:14" x14ac:dyDescent="0.15">
      <c r="A204" t="s">
        <v>9961</v>
      </c>
      <c r="B204" t="s">
        <v>9976</v>
      </c>
      <c r="C204" t="s">
        <v>10408</v>
      </c>
      <c r="D204" t="s">
        <v>23</v>
      </c>
      <c r="E204" t="s">
        <v>10409</v>
      </c>
      <c r="F204" s="5">
        <v>8260000</v>
      </c>
      <c r="G204" s="5">
        <v>8260000</v>
      </c>
      <c r="H204" s="4">
        <v>6628000</v>
      </c>
      <c r="I204" s="2">
        <f t="shared" si="29"/>
        <v>0.80242130750605323</v>
      </c>
      <c r="J204" s="4">
        <v>7600000</v>
      </c>
      <c r="K204" s="2">
        <f t="shared" si="30"/>
        <v>0.92009685230024219</v>
      </c>
      <c r="L204" t="s">
        <v>263</v>
      </c>
      <c r="M204" t="s">
        <v>165</v>
      </c>
      <c r="N204" t="b">
        <f t="shared" si="31"/>
        <v>0</v>
      </c>
    </row>
    <row r="205" spans="1:14" x14ac:dyDescent="0.15">
      <c r="A205" t="s">
        <v>9961</v>
      </c>
      <c r="B205" t="s">
        <v>9976</v>
      </c>
      <c r="C205" t="s">
        <v>10410</v>
      </c>
      <c r="D205" t="s">
        <v>23</v>
      </c>
      <c r="E205" t="s">
        <v>10411</v>
      </c>
      <c r="F205" s="5">
        <v>6900000</v>
      </c>
      <c r="G205" s="5">
        <v>6900000</v>
      </c>
      <c r="H205" s="4">
        <v>5536000</v>
      </c>
      <c r="I205" s="2">
        <f t="shared" si="29"/>
        <v>0.80231884057971015</v>
      </c>
      <c r="J205" s="4">
        <v>5536000</v>
      </c>
      <c r="K205" s="2">
        <f t="shared" si="30"/>
        <v>0.80231884057971015</v>
      </c>
      <c r="L205" t="s">
        <v>1170</v>
      </c>
      <c r="M205" t="s">
        <v>165</v>
      </c>
      <c r="N205" t="b">
        <f t="shared" si="31"/>
        <v>0</v>
      </c>
    </row>
    <row r="206" spans="1:14" x14ac:dyDescent="0.15">
      <c r="A206" t="s">
        <v>9961</v>
      </c>
      <c r="B206" t="s">
        <v>9976</v>
      </c>
      <c r="C206" t="s">
        <v>10412</v>
      </c>
      <c r="D206" t="s">
        <v>23</v>
      </c>
      <c r="E206" t="s">
        <v>10413</v>
      </c>
      <c r="F206" s="5">
        <v>7080000</v>
      </c>
      <c r="G206" s="5">
        <v>7080000</v>
      </c>
      <c r="H206" s="4">
        <v>5681000</v>
      </c>
      <c r="I206" s="2">
        <f t="shared" si="29"/>
        <v>0.80240112994350288</v>
      </c>
      <c r="J206" s="4">
        <v>5681000</v>
      </c>
      <c r="K206" s="2">
        <f t="shared" si="30"/>
        <v>0.80240112994350288</v>
      </c>
      <c r="L206" t="s">
        <v>431</v>
      </c>
      <c r="M206" t="s">
        <v>248</v>
      </c>
      <c r="N206" t="b">
        <f t="shared" si="31"/>
        <v>0</v>
      </c>
    </row>
    <row r="207" spans="1:14" x14ac:dyDescent="0.15">
      <c r="A207" t="s">
        <v>9961</v>
      </c>
      <c r="B207" t="s">
        <v>9976</v>
      </c>
      <c r="C207" t="s">
        <v>10414</v>
      </c>
      <c r="D207" t="s">
        <v>23</v>
      </c>
      <c r="E207" t="s">
        <v>10415</v>
      </c>
      <c r="F207" s="5">
        <v>8160000</v>
      </c>
      <c r="G207" s="5">
        <v>8160000</v>
      </c>
      <c r="H207" s="4">
        <v>6547000</v>
      </c>
      <c r="I207" s="2">
        <f t="shared" si="29"/>
        <v>0.80232843137254906</v>
      </c>
      <c r="J207" s="4">
        <v>6547000</v>
      </c>
      <c r="K207" s="2">
        <f t="shared" si="30"/>
        <v>0.80232843137254906</v>
      </c>
      <c r="L207" t="s">
        <v>10265</v>
      </c>
      <c r="M207" t="s">
        <v>165</v>
      </c>
      <c r="N207" t="b">
        <f t="shared" si="31"/>
        <v>0</v>
      </c>
    </row>
    <row r="208" spans="1:14" x14ac:dyDescent="0.15">
      <c r="A208" t="s">
        <v>9961</v>
      </c>
      <c r="B208" t="s">
        <v>9976</v>
      </c>
      <c r="C208" t="s">
        <v>10416</v>
      </c>
      <c r="D208" t="s">
        <v>23</v>
      </c>
      <c r="E208" t="s">
        <v>10417</v>
      </c>
      <c r="F208" s="5">
        <v>7670000</v>
      </c>
      <c r="G208" s="5">
        <v>7670000</v>
      </c>
      <c r="H208" s="4">
        <v>6153000</v>
      </c>
      <c r="I208" s="2">
        <f t="shared" si="29"/>
        <v>0.80221642764015644</v>
      </c>
      <c r="J208" s="4">
        <v>6153000</v>
      </c>
      <c r="K208" s="2">
        <f t="shared" si="30"/>
        <v>0.80221642764015644</v>
      </c>
      <c r="L208" t="s">
        <v>3251</v>
      </c>
      <c r="M208" t="s">
        <v>165</v>
      </c>
      <c r="N208" t="b">
        <f t="shared" si="31"/>
        <v>0</v>
      </c>
    </row>
    <row r="209" spans="1:14" x14ac:dyDescent="0.15">
      <c r="A209" t="s">
        <v>9961</v>
      </c>
      <c r="B209" t="s">
        <v>9976</v>
      </c>
      <c r="C209" t="s">
        <v>10418</v>
      </c>
      <c r="D209" t="s">
        <v>23</v>
      </c>
      <c r="E209" t="s">
        <v>10419</v>
      </c>
      <c r="F209" s="5">
        <v>5780000</v>
      </c>
      <c r="G209" s="5">
        <v>5780000</v>
      </c>
      <c r="H209" s="4">
        <v>4639000</v>
      </c>
      <c r="I209" s="2">
        <f t="shared" si="29"/>
        <v>0.80259515570934259</v>
      </c>
      <c r="J209" s="4">
        <v>4639000</v>
      </c>
      <c r="K209" s="2">
        <f t="shared" si="30"/>
        <v>0.80259515570934259</v>
      </c>
      <c r="L209" t="s">
        <v>10390</v>
      </c>
      <c r="M209" t="s">
        <v>165</v>
      </c>
      <c r="N209" t="b">
        <f t="shared" si="31"/>
        <v>0</v>
      </c>
    </row>
    <row r="210" spans="1:14" x14ac:dyDescent="0.15">
      <c r="A210" t="s">
        <v>9961</v>
      </c>
      <c r="B210" t="s">
        <v>9976</v>
      </c>
      <c r="C210" t="s">
        <v>10420</v>
      </c>
      <c r="D210" t="s">
        <v>23</v>
      </c>
      <c r="E210" t="s">
        <v>10421</v>
      </c>
      <c r="F210" s="5">
        <v>5750000</v>
      </c>
      <c r="G210" s="5">
        <v>5750000</v>
      </c>
      <c r="H210" s="4">
        <v>4613000</v>
      </c>
      <c r="I210" s="2">
        <f t="shared" si="29"/>
        <v>0.80226086956521736</v>
      </c>
      <c r="J210" s="4">
        <v>5400000</v>
      </c>
      <c r="K210" s="2">
        <f t="shared" si="30"/>
        <v>0.93913043478260871</v>
      </c>
      <c r="L210" t="s">
        <v>1001</v>
      </c>
      <c r="M210" t="s">
        <v>165</v>
      </c>
      <c r="N210" t="b">
        <f t="shared" si="31"/>
        <v>0</v>
      </c>
    </row>
    <row r="211" spans="1:14" x14ac:dyDescent="0.15">
      <c r="A211" t="s">
        <v>9961</v>
      </c>
      <c r="B211" t="s">
        <v>9976</v>
      </c>
      <c r="C211" t="s">
        <v>10422</v>
      </c>
      <c r="D211" t="s">
        <v>23</v>
      </c>
      <c r="E211" t="s">
        <v>10423</v>
      </c>
      <c r="F211" s="5">
        <v>8470000</v>
      </c>
      <c r="G211" s="5">
        <v>8470000</v>
      </c>
      <c r="H211" s="4">
        <v>6795000</v>
      </c>
      <c r="I211" s="2">
        <f t="shared" si="29"/>
        <v>0.80224321133412047</v>
      </c>
      <c r="J211" s="4">
        <v>6795000</v>
      </c>
      <c r="K211" s="2">
        <f t="shared" si="30"/>
        <v>0.80224321133412047</v>
      </c>
      <c r="L211" t="s">
        <v>694</v>
      </c>
      <c r="M211" t="s">
        <v>165</v>
      </c>
      <c r="N211" t="b">
        <f t="shared" si="31"/>
        <v>0</v>
      </c>
    </row>
    <row r="212" spans="1:14" x14ac:dyDescent="0.15">
      <c r="A212" t="s">
        <v>9961</v>
      </c>
      <c r="B212" t="s">
        <v>9976</v>
      </c>
      <c r="C212" t="s">
        <v>10424</v>
      </c>
      <c r="D212" t="s">
        <v>23</v>
      </c>
      <c r="E212" t="s">
        <v>10425</v>
      </c>
      <c r="F212" s="5">
        <v>8430000</v>
      </c>
      <c r="G212" s="5">
        <v>8430000</v>
      </c>
      <c r="H212" s="4">
        <v>6763000</v>
      </c>
      <c r="I212" s="2">
        <f t="shared" si="29"/>
        <v>0.80225385527876636</v>
      </c>
      <c r="J212" s="4">
        <v>6763000</v>
      </c>
      <c r="K212" s="2">
        <f t="shared" si="30"/>
        <v>0.80225385527876636</v>
      </c>
      <c r="L212" t="s">
        <v>9984</v>
      </c>
      <c r="M212" t="s">
        <v>165</v>
      </c>
      <c r="N212" t="b">
        <f t="shared" si="31"/>
        <v>0</v>
      </c>
    </row>
    <row r="213" spans="1:14" x14ac:dyDescent="0.15">
      <c r="A213" t="s">
        <v>9961</v>
      </c>
      <c r="B213" t="s">
        <v>9976</v>
      </c>
      <c r="C213" t="s">
        <v>10426</v>
      </c>
      <c r="D213" t="s">
        <v>23</v>
      </c>
      <c r="E213" t="s">
        <v>10427</v>
      </c>
      <c r="F213" s="5">
        <v>8410000</v>
      </c>
      <c r="G213" s="5">
        <v>8410000</v>
      </c>
      <c r="H213" s="4">
        <v>6748000</v>
      </c>
      <c r="I213" s="2">
        <f t="shared" si="29"/>
        <v>0.80237812128418551</v>
      </c>
      <c r="J213" s="4">
        <v>6748000</v>
      </c>
      <c r="K213" s="2">
        <f t="shared" si="30"/>
        <v>0.80237812128418551</v>
      </c>
      <c r="L213" t="s">
        <v>5068</v>
      </c>
      <c r="M213" t="s">
        <v>165</v>
      </c>
      <c r="N213" t="b">
        <f t="shared" si="31"/>
        <v>0</v>
      </c>
    </row>
    <row r="214" spans="1:14" x14ac:dyDescent="0.15">
      <c r="A214" t="s">
        <v>9961</v>
      </c>
      <c r="B214" t="s">
        <v>9976</v>
      </c>
      <c r="C214" t="s">
        <v>10428</v>
      </c>
      <c r="D214" t="s">
        <v>23</v>
      </c>
      <c r="E214" t="s">
        <v>3624</v>
      </c>
      <c r="F214" s="5">
        <v>8400000</v>
      </c>
      <c r="G214" s="5">
        <v>8400000</v>
      </c>
      <c r="H214" s="4">
        <v>6740000</v>
      </c>
      <c r="I214" s="2">
        <f t="shared" si="29"/>
        <v>0.80238095238095242</v>
      </c>
      <c r="J214" s="4">
        <v>6740000</v>
      </c>
      <c r="K214" s="2">
        <f t="shared" si="30"/>
        <v>0.80238095238095242</v>
      </c>
      <c r="L214" t="s">
        <v>3251</v>
      </c>
      <c r="M214" t="s">
        <v>165</v>
      </c>
      <c r="N214" t="b">
        <f t="shared" si="31"/>
        <v>0</v>
      </c>
    </row>
    <row r="215" spans="1:14" x14ac:dyDescent="0.15">
      <c r="A215" t="s">
        <v>9961</v>
      </c>
      <c r="B215" t="s">
        <v>10304</v>
      </c>
      <c r="C215" t="s">
        <v>10429</v>
      </c>
      <c r="D215" t="s">
        <v>23</v>
      </c>
      <c r="E215" t="s">
        <v>10430</v>
      </c>
      <c r="F215" s="5" t="str">
        <f>G215</f>
        <v>********</v>
      </c>
      <c r="G215" s="5" t="s">
        <v>145</v>
      </c>
      <c r="H215" t="s">
        <v>145</v>
      </c>
      <c r="I215" s="2" t="e">
        <f t="shared" si="29"/>
        <v>#VALUE!</v>
      </c>
      <c r="J215" s="4">
        <v>10930000</v>
      </c>
      <c r="K215" s="2" t="e">
        <f t="shared" si="30"/>
        <v>#VALUE!</v>
      </c>
      <c r="L215" t="s">
        <v>6041</v>
      </c>
      <c r="M215" t="s">
        <v>80</v>
      </c>
      <c r="N215" t="b">
        <f t="shared" si="31"/>
        <v>0</v>
      </c>
    </row>
    <row r="216" spans="1:14" x14ac:dyDescent="0.15">
      <c r="A216" t="s">
        <v>9961</v>
      </c>
      <c r="B216" t="s">
        <v>9967</v>
      </c>
      <c r="C216" t="s">
        <v>10431</v>
      </c>
      <c r="D216" t="s">
        <v>118</v>
      </c>
      <c r="E216" t="s">
        <v>10432</v>
      </c>
      <c r="F216" s="5">
        <v>10920000</v>
      </c>
      <c r="G216" s="5">
        <v>10920000</v>
      </c>
      <c r="H216" s="4">
        <v>8764000</v>
      </c>
      <c r="I216" s="2">
        <f t="shared" si="29"/>
        <v>0.8025641025641026</v>
      </c>
      <c r="J216" s="4">
        <v>8764000</v>
      </c>
      <c r="K216" s="2">
        <f t="shared" si="30"/>
        <v>0.8025641025641026</v>
      </c>
      <c r="L216" t="s">
        <v>263</v>
      </c>
      <c r="M216" t="s">
        <v>192</v>
      </c>
      <c r="N216" t="b">
        <f t="shared" si="31"/>
        <v>0</v>
      </c>
    </row>
    <row r="217" spans="1:14" x14ac:dyDescent="0.15">
      <c r="A217" t="s">
        <v>9961</v>
      </c>
      <c r="B217" t="s">
        <v>9967</v>
      </c>
      <c r="C217" t="s">
        <v>10433</v>
      </c>
      <c r="D217" t="s">
        <v>118</v>
      </c>
      <c r="E217" t="s">
        <v>10434</v>
      </c>
      <c r="F217" s="5">
        <v>11600000</v>
      </c>
      <c r="G217" s="5">
        <v>11600000</v>
      </c>
      <c r="H217" s="4">
        <v>9309000</v>
      </c>
      <c r="I217" s="2">
        <f t="shared" si="29"/>
        <v>0.80249999999999999</v>
      </c>
      <c r="J217" s="4">
        <v>9309000</v>
      </c>
      <c r="K217" s="2">
        <f t="shared" si="30"/>
        <v>0.80249999999999999</v>
      </c>
      <c r="L217" t="s">
        <v>3258</v>
      </c>
      <c r="M217" t="s">
        <v>80</v>
      </c>
      <c r="N217" t="b">
        <f t="shared" si="31"/>
        <v>0</v>
      </c>
    </row>
    <row r="218" spans="1:14" x14ac:dyDescent="0.15">
      <c r="A218" t="s">
        <v>9961</v>
      </c>
      <c r="B218" t="s">
        <v>9967</v>
      </c>
      <c r="C218" t="s">
        <v>10435</v>
      </c>
      <c r="D218" t="s">
        <v>118</v>
      </c>
      <c r="E218" t="s">
        <v>10436</v>
      </c>
      <c r="F218" s="5">
        <v>12970000</v>
      </c>
      <c r="G218" s="5">
        <v>12970000</v>
      </c>
      <c r="H218" s="4">
        <v>10410000</v>
      </c>
      <c r="I218" s="2">
        <f t="shared" si="29"/>
        <v>0.80262143407864306</v>
      </c>
      <c r="J218" s="4">
        <v>10410000</v>
      </c>
      <c r="K218" s="2">
        <f t="shared" si="30"/>
        <v>0.80262143407864306</v>
      </c>
      <c r="L218" t="s">
        <v>10105</v>
      </c>
      <c r="M218" t="s">
        <v>80</v>
      </c>
      <c r="N218" t="b">
        <f t="shared" si="31"/>
        <v>0</v>
      </c>
    </row>
    <row r="219" spans="1:14" x14ac:dyDescent="0.15">
      <c r="A219" t="s">
        <v>9961</v>
      </c>
      <c r="B219" t="s">
        <v>9967</v>
      </c>
      <c r="C219" t="s">
        <v>10437</v>
      </c>
      <c r="D219" t="s">
        <v>118</v>
      </c>
      <c r="E219" t="s">
        <v>10438</v>
      </c>
      <c r="F219" s="5">
        <v>14130000</v>
      </c>
      <c r="G219" s="5">
        <v>14130000</v>
      </c>
      <c r="H219" s="4">
        <v>11339000</v>
      </c>
      <c r="I219" s="2">
        <f t="shared" si="29"/>
        <v>0.80247699929228589</v>
      </c>
      <c r="J219" s="4">
        <v>11339000</v>
      </c>
      <c r="K219" s="2">
        <f t="shared" si="30"/>
        <v>0.80247699929228589</v>
      </c>
      <c r="L219" t="s">
        <v>2674</v>
      </c>
      <c r="M219" t="s">
        <v>126</v>
      </c>
      <c r="N219" t="b">
        <f t="shared" si="31"/>
        <v>0</v>
      </c>
    </row>
    <row r="220" spans="1:14" x14ac:dyDescent="0.15">
      <c r="A220" t="s">
        <v>9961</v>
      </c>
      <c r="B220" t="s">
        <v>9967</v>
      </c>
      <c r="C220" t="s">
        <v>10439</v>
      </c>
      <c r="D220" t="s">
        <v>118</v>
      </c>
      <c r="E220" t="s">
        <v>10440</v>
      </c>
      <c r="F220" s="5">
        <v>19170000</v>
      </c>
      <c r="G220" s="5">
        <v>19170000</v>
      </c>
      <c r="H220" s="4">
        <v>15387000</v>
      </c>
      <c r="I220" s="2">
        <f t="shared" si="29"/>
        <v>0.80266040688575901</v>
      </c>
      <c r="J220" s="4">
        <v>19170000</v>
      </c>
      <c r="K220" s="2">
        <f t="shared" si="30"/>
        <v>1</v>
      </c>
      <c r="L220" t="s">
        <v>5068</v>
      </c>
      <c r="M220" t="s">
        <v>126</v>
      </c>
      <c r="N220" t="b">
        <f t="shared" si="31"/>
        <v>0</v>
      </c>
    </row>
    <row r="221" spans="1:14" x14ac:dyDescent="0.15">
      <c r="A221" t="s">
        <v>9961</v>
      </c>
      <c r="B221" t="s">
        <v>9967</v>
      </c>
      <c r="C221" t="s">
        <v>10441</v>
      </c>
      <c r="D221" t="s">
        <v>118</v>
      </c>
      <c r="E221" t="s">
        <v>10442</v>
      </c>
      <c r="F221" s="5">
        <v>19680000</v>
      </c>
      <c r="G221" s="5">
        <v>19680000</v>
      </c>
      <c r="H221" s="4">
        <v>15797000</v>
      </c>
      <c r="I221" s="2">
        <f t="shared" si="29"/>
        <v>0.80269308943089435</v>
      </c>
      <c r="J221" s="4">
        <v>15797000</v>
      </c>
      <c r="K221" s="2">
        <f t="shared" si="30"/>
        <v>0.80269308943089435</v>
      </c>
      <c r="L221" t="s">
        <v>64</v>
      </c>
      <c r="M221" t="s">
        <v>165</v>
      </c>
      <c r="N221" t="b">
        <f t="shared" si="31"/>
        <v>0</v>
      </c>
    </row>
    <row r="222" spans="1:14" x14ac:dyDescent="0.15">
      <c r="A222" t="s">
        <v>9961</v>
      </c>
      <c r="B222" t="s">
        <v>9967</v>
      </c>
      <c r="C222" t="s">
        <v>10443</v>
      </c>
      <c r="D222" t="s">
        <v>118</v>
      </c>
      <c r="E222" t="s">
        <v>10444</v>
      </c>
      <c r="F222" s="5">
        <v>23750000</v>
      </c>
      <c r="G222" s="5">
        <v>23750000</v>
      </c>
      <c r="H222" s="4">
        <v>19052000</v>
      </c>
      <c r="I222" s="2">
        <f t="shared" si="29"/>
        <v>0.80218947368421056</v>
      </c>
      <c r="J222" s="4">
        <v>19052000</v>
      </c>
      <c r="K222" s="2">
        <f t="shared" si="30"/>
        <v>0.80218947368421056</v>
      </c>
      <c r="L222" t="s">
        <v>10105</v>
      </c>
      <c r="M222" t="s">
        <v>80</v>
      </c>
      <c r="N222" t="b">
        <f t="shared" si="31"/>
        <v>0</v>
      </c>
    </row>
    <row r="223" spans="1:14" x14ac:dyDescent="0.15">
      <c r="A223" t="s">
        <v>9961</v>
      </c>
      <c r="B223" t="s">
        <v>9967</v>
      </c>
      <c r="C223" t="s">
        <v>10445</v>
      </c>
      <c r="D223" t="s">
        <v>118</v>
      </c>
      <c r="E223" t="s">
        <v>3673</v>
      </c>
      <c r="F223" s="5">
        <v>24940000</v>
      </c>
      <c r="G223" s="5">
        <v>24940000</v>
      </c>
      <c r="H223" s="4">
        <v>20014000</v>
      </c>
      <c r="I223" s="2">
        <f t="shared" si="29"/>
        <v>0.80248596631916602</v>
      </c>
      <c r="J223" s="4">
        <v>20014000</v>
      </c>
      <c r="K223" s="2">
        <f t="shared" si="30"/>
        <v>0.80248596631916602</v>
      </c>
      <c r="L223" t="s">
        <v>263</v>
      </c>
      <c r="M223" t="s">
        <v>80</v>
      </c>
      <c r="N223" t="b">
        <f t="shared" si="31"/>
        <v>0</v>
      </c>
    </row>
    <row r="224" spans="1:14" x14ac:dyDescent="0.15">
      <c r="A224" t="s">
        <v>9961</v>
      </c>
      <c r="B224" t="s">
        <v>9967</v>
      </c>
      <c r="C224" t="s">
        <v>10446</v>
      </c>
      <c r="D224" t="s">
        <v>118</v>
      </c>
      <c r="E224" t="s">
        <v>10447</v>
      </c>
      <c r="F224" s="5">
        <v>20990000</v>
      </c>
      <c r="G224" s="5">
        <v>20990000</v>
      </c>
      <c r="H224" s="4">
        <v>16845000</v>
      </c>
      <c r="I224" s="2">
        <f t="shared" si="29"/>
        <v>0.80252501191043357</v>
      </c>
      <c r="J224" s="4">
        <v>16845000</v>
      </c>
      <c r="K224" s="2">
        <f t="shared" si="30"/>
        <v>0.80252501191043357</v>
      </c>
      <c r="L224" t="s">
        <v>2674</v>
      </c>
      <c r="M224" t="s">
        <v>279</v>
      </c>
      <c r="N224" t="b">
        <f t="shared" si="31"/>
        <v>0</v>
      </c>
    </row>
    <row r="225" spans="1:14" x14ac:dyDescent="0.15">
      <c r="A225" t="s">
        <v>9961</v>
      </c>
      <c r="B225" t="s">
        <v>10037</v>
      </c>
      <c r="C225" t="s">
        <v>10448</v>
      </c>
      <c r="D225" t="s">
        <v>23</v>
      </c>
      <c r="E225" t="s">
        <v>10449</v>
      </c>
      <c r="F225" s="5" t="str">
        <f t="shared" ref="F225:F226" si="32">G225</f>
        <v>********</v>
      </c>
      <c r="G225" s="5" t="s">
        <v>145</v>
      </c>
      <c r="H225" t="s">
        <v>145</v>
      </c>
      <c r="I225" s="2" t="e">
        <f t="shared" si="29"/>
        <v>#VALUE!</v>
      </c>
      <c r="J225" s="4">
        <v>6549000</v>
      </c>
      <c r="K225" s="2" t="e">
        <f t="shared" si="30"/>
        <v>#VALUE!</v>
      </c>
      <c r="L225" t="s">
        <v>263</v>
      </c>
      <c r="M225" t="s">
        <v>80</v>
      </c>
      <c r="N225" t="b">
        <f t="shared" si="31"/>
        <v>0</v>
      </c>
    </row>
    <row r="226" spans="1:14" x14ac:dyDescent="0.15">
      <c r="A226" t="s">
        <v>9961</v>
      </c>
      <c r="B226" t="s">
        <v>10051</v>
      </c>
      <c r="C226" t="s">
        <v>10450</v>
      </c>
      <c r="D226" t="s">
        <v>23</v>
      </c>
      <c r="E226" t="s">
        <v>10451</v>
      </c>
      <c r="F226" s="5" t="str">
        <f t="shared" si="32"/>
        <v>********</v>
      </c>
      <c r="G226" s="5" t="s">
        <v>145</v>
      </c>
      <c r="H226" t="s">
        <v>145</v>
      </c>
      <c r="I226" s="2" t="e">
        <f t="shared" si="29"/>
        <v>#VALUE!</v>
      </c>
      <c r="J226" s="4">
        <v>14920000</v>
      </c>
      <c r="K226" s="2" t="e">
        <f t="shared" si="30"/>
        <v>#VALUE!</v>
      </c>
      <c r="L226" t="s">
        <v>256</v>
      </c>
      <c r="M226" t="s">
        <v>80</v>
      </c>
      <c r="N226" t="b">
        <f t="shared" si="31"/>
        <v>0</v>
      </c>
    </row>
    <row r="227" spans="1:14" x14ac:dyDescent="0.15">
      <c r="A227" t="s">
        <v>9961</v>
      </c>
      <c r="B227" t="s">
        <v>9967</v>
      </c>
      <c r="C227" t="s">
        <v>10452</v>
      </c>
      <c r="D227" t="s">
        <v>118</v>
      </c>
      <c r="E227" t="s">
        <v>10453</v>
      </c>
      <c r="F227" s="5">
        <v>12580000</v>
      </c>
      <c r="G227" s="5">
        <v>12580000</v>
      </c>
      <c r="H227" s="4">
        <v>10096000</v>
      </c>
      <c r="I227" s="2">
        <f t="shared" si="29"/>
        <v>0.80254372019077902</v>
      </c>
      <c r="J227" s="4">
        <v>12580000</v>
      </c>
      <c r="K227" s="2">
        <f t="shared" si="30"/>
        <v>1</v>
      </c>
      <c r="L227" t="s">
        <v>786</v>
      </c>
      <c r="M227" t="s">
        <v>248</v>
      </c>
      <c r="N227" t="b">
        <f t="shared" si="31"/>
        <v>0</v>
      </c>
    </row>
    <row r="228" spans="1:14" x14ac:dyDescent="0.15">
      <c r="A228" t="s">
        <v>9961</v>
      </c>
      <c r="B228" t="s">
        <v>9967</v>
      </c>
      <c r="C228" t="s">
        <v>10454</v>
      </c>
      <c r="D228" t="s">
        <v>118</v>
      </c>
      <c r="E228" t="s">
        <v>10455</v>
      </c>
      <c r="F228" s="5">
        <v>27260000</v>
      </c>
      <c r="G228" s="5">
        <v>27260000</v>
      </c>
      <c r="H228" s="4">
        <v>21834000</v>
      </c>
      <c r="I228" s="2">
        <f t="shared" si="29"/>
        <v>0.80095377842993398</v>
      </c>
      <c r="J228" s="4">
        <v>21835000</v>
      </c>
      <c r="K228" s="2">
        <f t="shared" si="30"/>
        <v>0.80099046221570069</v>
      </c>
      <c r="L228" t="s">
        <v>1045</v>
      </c>
      <c r="M228" t="s">
        <v>482</v>
      </c>
      <c r="N228" t="b">
        <f t="shared" si="31"/>
        <v>0</v>
      </c>
    </row>
    <row r="229" spans="1:14" x14ac:dyDescent="0.15">
      <c r="A229" t="s">
        <v>9961</v>
      </c>
      <c r="B229" t="s">
        <v>10063</v>
      </c>
      <c r="C229" t="s">
        <v>10456</v>
      </c>
      <c r="D229" t="s">
        <v>23</v>
      </c>
      <c r="E229" t="s">
        <v>10457</v>
      </c>
      <c r="F229" s="5" t="str">
        <f t="shared" ref="F229:F231" si="33">G229</f>
        <v>********</v>
      </c>
      <c r="G229" s="5" t="s">
        <v>145</v>
      </c>
      <c r="H229" t="s">
        <v>145</v>
      </c>
      <c r="I229" s="2" t="e">
        <f t="shared" si="29"/>
        <v>#VALUE!</v>
      </c>
      <c r="J229" s="4">
        <v>16680000</v>
      </c>
      <c r="K229" s="2" t="e">
        <f t="shared" si="30"/>
        <v>#VALUE!</v>
      </c>
      <c r="L229" t="s">
        <v>215</v>
      </c>
      <c r="M229" t="s">
        <v>80</v>
      </c>
      <c r="N229" t="b">
        <f t="shared" si="31"/>
        <v>0</v>
      </c>
    </row>
    <row r="230" spans="1:14" x14ac:dyDescent="0.15">
      <c r="A230" t="s">
        <v>9961</v>
      </c>
      <c r="B230" t="s">
        <v>10063</v>
      </c>
      <c r="C230" t="s">
        <v>10458</v>
      </c>
      <c r="D230" t="s">
        <v>23</v>
      </c>
      <c r="E230" t="s">
        <v>10459</v>
      </c>
      <c r="F230" s="5" t="str">
        <f t="shared" si="33"/>
        <v>********</v>
      </c>
      <c r="G230" s="5" t="s">
        <v>145</v>
      </c>
      <c r="H230" t="s">
        <v>145</v>
      </c>
      <c r="I230" s="2" t="e">
        <f t="shared" si="29"/>
        <v>#VALUE!</v>
      </c>
      <c r="J230" s="4">
        <v>13300000</v>
      </c>
      <c r="K230" s="2" t="e">
        <f t="shared" si="30"/>
        <v>#VALUE!</v>
      </c>
      <c r="L230" t="s">
        <v>431</v>
      </c>
      <c r="M230" t="s">
        <v>80</v>
      </c>
      <c r="N230" t="b">
        <f t="shared" si="31"/>
        <v>0</v>
      </c>
    </row>
    <row r="231" spans="1:14" x14ac:dyDescent="0.15">
      <c r="A231" t="s">
        <v>9961</v>
      </c>
      <c r="B231" t="s">
        <v>10063</v>
      </c>
      <c r="C231" t="s">
        <v>10460</v>
      </c>
      <c r="D231" t="s">
        <v>23</v>
      </c>
      <c r="E231" t="s">
        <v>10461</v>
      </c>
      <c r="F231" s="5" t="str">
        <f t="shared" si="33"/>
        <v>********</v>
      </c>
      <c r="G231" s="5" t="s">
        <v>145</v>
      </c>
      <c r="H231" t="s">
        <v>145</v>
      </c>
      <c r="I231" s="2" t="e">
        <f t="shared" si="29"/>
        <v>#VALUE!</v>
      </c>
      <c r="J231" s="4">
        <v>6860000</v>
      </c>
      <c r="K231" s="2" t="e">
        <f t="shared" si="30"/>
        <v>#VALUE!</v>
      </c>
      <c r="L231" t="s">
        <v>567</v>
      </c>
      <c r="M231" t="s">
        <v>80</v>
      </c>
      <c r="N231" t="b">
        <f t="shared" si="31"/>
        <v>0</v>
      </c>
    </row>
    <row r="232" spans="1:14" x14ac:dyDescent="0.15">
      <c r="A232" t="s">
        <v>9961</v>
      </c>
      <c r="B232" t="s">
        <v>9976</v>
      </c>
      <c r="C232" t="s">
        <v>10462</v>
      </c>
      <c r="D232" t="s">
        <v>118</v>
      </c>
      <c r="E232" t="s">
        <v>10463</v>
      </c>
      <c r="F232" s="5">
        <v>12780000</v>
      </c>
      <c r="G232" s="5">
        <v>12780000</v>
      </c>
      <c r="H232" s="4">
        <v>10180000</v>
      </c>
      <c r="I232" s="2">
        <f t="shared" si="29"/>
        <v>0.79655712050078242</v>
      </c>
      <c r="J232" s="4">
        <v>10180000</v>
      </c>
      <c r="K232" s="2">
        <f t="shared" si="30"/>
        <v>0.79655712050078242</v>
      </c>
      <c r="L232" t="s">
        <v>10084</v>
      </c>
      <c r="M232" t="s">
        <v>216</v>
      </c>
      <c r="N232" t="b">
        <f t="shared" si="31"/>
        <v>0</v>
      </c>
    </row>
    <row r="233" spans="1:14" x14ac:dyDescent="0.15">
      <c r="A233" t="s">
        <v>9961</v>
      </c>
      <c r="B233" t="s">
        <v>9964</v>
      </c>
      <c r="C233" t="s">
        <v>10464</v>
      </c>
      <c r="D233" t="s">
        <v>23</v>
      </c>
      <c r="E233" t="s">
        <v>10465</v>
      </c>
      <c r="F233" s="5" t="str">
        <f>G233</f>
        <v>********</v>
      </c>
      <c r="G233" s="5" t="s">
        <v>145</v>
      </c>
      <c r="H233" t="s">
        <v>145</v>
      </c>
      <c r="I233" s="2" t="e">
        <f t="shared" si="29"/>
        <v>#VALUE!</v>
      </c>
      <c r="J233" s="4">
        <v>4100000</v>
      </c>
      <c r="K233" s="2" t="e">
        <f t="shared" si="30"/>
        <v>#VALUE!</v>
      </c>
      <c r="L233" t="s">
        <v>819</v>
      </c>
      <c r="M233" t="s">
        <v>432</v>
      </c>
      <c r="N233" t="b">
        <f t="shared" si="31"/>
        <v>0</v>
      </c>
    </row>
    <row r="234" spans="1:14" x14ac:dyDescent="0.15">
      <c r="A234" t="s">
        <v>9961</v>
      </c>
      <c r="B234" t="s">
        <v>9967</v>
      </c>
      <c r="C234" t="s">
        <v>10466</v>
      </c>
      <c r="D234" t="s">
        <v>23</v>
      </c>
      <c r="E234" t="s">
        <v>10467</v>
      </c>
      <c r="F234" s="5">
        <v>2750000</v>
      </c>
      <c r="G234" s="5">
        <v>2750000</v>
      </c>
      <c r="H234" s="4">
        <v>2208000</v>
      </c>
      <c r="I234" s="2">
        <f t="shared" si="29"/>
        <v>0.80290909090909091</v>
      </c>
      <c r="J234" s="4">
        <v>2600000</v>
      </c>
      <c r="K234" s="2">
        <f t="shared" si="30"/>
        <v>0.94545454545454544</v>
      </c>
      <c r="L234" t="s">
        <v>10068</v>
      </c>
      <c r="M234" t="s">
        <v>432</v>
      </c>
      <c r="N234" t="b">
        <f t="shared" si="31"/>
        <v>0</v>
      </c>
    </row>
    <row r="235" spans="1:14" x14ac:dyDescent="0.15">
      <c r="A235" t="s">
        <v>9961</v>
      </c>
      <c r="B235" t="s">
        <v>9967</v>
      </c>
      <c r="C235" t="s">
        <v>10468</v>
      </c>
      <c r="D235" t="s">
        <v>118</v>
      </c>
      <c r="E235" t="s">
        <v>10469</v>
      </c>
      <c r="F235" s="5">
        <v>18350000</v>
      </c>
      <c r="G235" s="5">
        <v>18350000</v>
      </c>
      <c r="H235" s="4">
        <v>14720000</v>
      </c>
      <c r="I235" s="2">
        <f t="shared" si="29"/>
        <v>0.80217983651226155</v>
      </c>
      <c r="J235" s="4">
        <v>14720000</v>
      </c>
      <c r="K235" s="2">
        <f t="shared" si="30"/>
        <v>0.80217983651226155</v>
      </c>
      <c r="L235" t="s">
        <v>4816</v>
      </c>
      <c r="M235" t="s">
        <v>313</v>
      </c>
      <c r="N235" t="b">
        <f t="shared" si="31"/>
        <v>0</v>
      </c>
    </row>
    <row r="236" spans="1:14" x14ac:dyDescent="0.15">
      <c r="A236" t="s">
        <v>9961</v>
      </c>
      <c r="B236" t="s">
        <v>9967</v>
      </c>
      <c r="C236" t="s">
        <v>10470</v>
      </c>
      <c r="D236" t="s">
        <v>118</v>
      </c>
      <c r="E236" t="s">
        <v>10471</v>
      </c>
      <c r="F236" s="5">
        <v>20560000</v>
      </c>
      <c r="G236" s="5">
        <v>20560000</v>
      </c>
      <c r="H236" s="4">
        <v>16500000</v>
      </c>
      <c r="I236" s="2">
        <f t="shared" si="29"/>
        <v>0.80252918287937747</v>
      </c>
      <c r="J236" s="4">
        <v>16500000</v>
      </c>
      <c r="K236" s="2">
        <f t="shared" si="30"/>
        <v>0.80252918287937747</v>
      </c>
      <c r="L236" t="s">
        <v>231</v>
      </c>
      <c r="M236" t="s">
        <v>1725</v>
      </c>
      <c r="N236" t="b">
        <f t="shared" si="31"/>
        <v>0</v>
      </c>
    </row>
    <row r="237" spans="1:14" x14ac:dyDescent="0.15">
      <c r="A237" t="s">
        <v>9961</v>
      </c>
      <c r="B237" t="s">
        <v>9967</v>
      </c>
      <c r="C237" t="s">
        <v>10472</v>
      </c>
      <c r="D237" t="s">
        <v>118</v>
      </c>
      <c r="E237" t="s">
        <v>10473</v>
      </c>
      <c r="F237" s="5">
        <v>14600000</v>
      </c>
      <c r="G237" s="5">
        <v>14600000</v>
      </c>
      <c r="H237" s="4">
        <v>11647000</v>
      </c>
      <c r="I237" s="2">
        <f t="shared" si="29"/>
        <v>0.79773972602739729</v>
      </c>
      <c r="J237" s="4">
        <v>11647000</v>
      </c>
      <c r="K237" s="2">
        <f t="shared" si="30"/>
        <v>0.79773972602739729</v>
      </c>
      <c r="L237" t="s">
        <v>1541</v>
      </c>
      <c r="M237" t="s">
        <v>41</v>
      </c>
      <c r="N237" t="b">
        <f t="shared" si="31"/>
        <v>0</v>
      </c>
    </row>
    <row r="238" spans="1:14" x14ac:dyDescent="0.15">
      <c r="A238" t="s">
        <v>9961</v>
      </c>
      <c r="B238" t="s">
        <v>9967</v>
      </c>
      <c r="C238" t="s">
        <v>10474</v>
      </c>
      <c r="D238" t="s">
        <v>118</v>
      </c>
      <c r="E238" t="s">
        <v>10475</v>
      </c>
      <c r="F238" s="5">
        <v>22150000</v>
      </c>
      <c r="G238" s="5">
        <v>22150000</v>
      </c>
      <c r="H238" s="4">
        <v>17766000</v>
      </c>
      <c r="I238" s="2">
        <f t="shared" si="29"/>
        <v>0.80207674943566587</v>
      </c>
      <c r="J238" s="4">
        <v>17766000</v>
      </c>
      <c r="K238" s="2">
        <f t="shared" si="30"/>
        <v>0.80207674943566587</v>
      </c>
      <c r="L238" t="s">
        <v>2674</v>
      </c>
      <c r="M238" t="s">
        <v>41</v>
      </c>
      <c r="N238" t="b">
        <f t="shared" si="31"/>
        <v>0</v>
      </c>
    </row>
    <row r="239" spans="1:14" x14ac:dyDescent="0.15">
      <c r="A239" t="s">
        <v>9961</v>
      </c>
      <c r="B239" t="s">
        <v>9967</v>
      </c>
      <c r="C239" t="s">
        <v>10476</v>
      </c>
      <c r="D239" t="s">
        <v>118</v>
      </c>
      <c r="E239" t="s">
        <v>10477</v>
      </c>
      <c r="F239" s="5">
        <v>24660000</v>
      </c>
      <c r="G239" s="5">
        <v>24660000</v>
      </c>
      <c r="H239" s="4">
        <v>19792000</v>
      </c>
      <c r="I239" s="2">
        <f t="shared" si="29"/>
        <v>0.80259529602595292</v>
      </c>
      <c r="J239" s="4">
        <v>19792000</v>
      </c>
      <c r="K239" s="2">
        <f t="shared" si="30"/>
        <v>0.80259529602595292</v>
      </c>
      <c r="L239" t="s">
        <v>3258</v>
      </c>
      <c r="M239" t="s">
        <v>192</v>
      </c>
      <c r="N239" t="b">
        <f t="shared" si="31"/>
        <v>0</v>
      </c>
    </row>
    <row r="240" spans="1:14" x14ac:dyDescent="0.15">
      <c r="A240" t="s">
        <v>9961</v>
      </c>
      <c r="B240" t="s">
        <v>9967</v>
      </c>
      <c r="C240" t="s">
        <v>10478</v>
      </c>
      <c r="D240" t="s">
        <v>118</v>
      </c>
      <c r="E240" t="s">
        <v>10479</v>
      </c>
      <c r="F240" s="5">
        <v>28260000</v>
      </c>
      <c r="G240" s="5">
        <v>28260000</v>
      </c>
      <c r="H240" s="4">
        <v>22666000</v>
      </c>
      <c r="I240" s="2">
        <f t="shared" si="29"/>
        <v>0.80205237084217973</v>
      </c>
      <c r="J240" s="4">
        <v>22666000</v>
      </c>
      <c r="K240" s="2">
        <f t="shared" si="30"/>
        <v>0.80205237084217973</v>
      </c>
      <c r="L240" t="s">
        <v>10105</v>
      </c>
      <c r="M240" t="s">
        <v>80</v>
      </c>
      <c r="N240" t="b">
        <f t="shared" si="31"/>
        <v>0</v>
      </c>
    </row>
    <row r="241" spans="1:14" x14ac:dyDescent="0.15">
      <c r="A241" t="s">
        <v>9961</v>
      </c>
      <c r="B241" t="s">
        <v>9967</v>
      </c>
      <c r="C241" t="s">
        <v>10480</v>
      </c>
      <c r="D241" t="s">
        <v>118</v>
      </c>
      <c r="E241" t="s">
        <v>10481</v>
      </c>
      <c r="F241" s="5">
        <v>33590000</v>
      </c>
      <c r="G241" s="5">
        <v>33590000</v>
      </c>
      <c r="H241" s="4">
        <v>26962000</v>
      </c>
      <c r="I241" s="2">
        <f t="shared" si="29"/>
        <v>0.80267936885977975</v>
      </c>
      <c r="J241" s="4">
        <v>26962000</v>
      </c>
      <c r="K241" s="2">
        <f t="shared" si="30"/>
        <v>0.80267936885977975</v>
      </c>
      <c r="L241" t="s">
        <v>839</v>
      </c>
      <c r="M241" t="s">
        <v>4293</v>
      </c>
      <c r="N241" t="b">
        <f t="shared" si="31"/>
        <v>0</v>
      </c>
    </row>
    <row r="242" spans="1:14" x14ac:dyDescent="0.15">
      <c r="A242" t="s">
        <v>9961</v>
      </c>
      <c r="B242" t="s">
        <v>10177</v>
      </c>
      <c r="C242" t="s">
        <v>10482</v>
      </c>
      <c r="D242" t="s">
        <v>23</v>
      </c>
      <c r="E242" t="s">
        <v>10483</v>
      </c>
      <c r="F242" s="5" t="str">
        <f t="shared" ref="F242:F246" si="34">G242</f>
        <v>********</v>
      </c>
      <c r="G242" s="5" t="s">
        <v>145</v>
      </c>
      <c r="H242" t="s">
        <v>145</v>
      </c>
      <c r="I242" s="2" t="e">
        <f t="shared" si="29"/>
        <v>#VALUE!</v>
      </c>
      <c r="J242" s="4">
        <v>3909000</v>
      </c>
      <c r="K242" s="2" t="e">
        <f t="shared" si="30"/>
        <v>#VALUE!</v>
      </c>
      <c r="L242" t="s">
        <v>1078</v>
      </c>
      <c r="M242" t="s">
        <v>192</v>
      </c>
      <c r="N242" t="b">
        <f t="shared" si="31"/>
        <v>0</v>
      </c>
    </row>
    <row r="243" spans="1:14" x14ac:dyDescent="0.15">
      <c r="A243" t="s">
        <v>9961</v>
      </c>
      <c r="B243" t="s">
        <v>10177</v>
      </c>
      <c r="C243" t="s">
        <v>10484</v>
      </c>
      <c r="D243" t="s">
        <v>23</v>
      </c>
      <c r="E243" t="s">
        <v>10485</v>
      </c>
      <c r="F243" s="5" t="str">
        <f t="shared" si="34"/>
        <v>********</v>
      </c>
      <c r="G243" s="5" t="s">
        <v>145</v>
      </c>
      <c r="H243" t="s">
        <v>145</v>
      </c>
      <c r="I243" s="2" t="e">
        <f t="shared" si="29"/>
        <v>#VALUE!</v>
      </c>
      <c r="J243" s="4">
        <v>13550000</v>
      </c>
      <c r="K243" s="2" t="e">
        <f t="shared" si="30"/>
        <v>#VALUE!</v>
      </c>
      <c r="L243" t="s">
        <v>1030</v>
      </c>
      <c r="M243" t="s">
        <v>192</v>
      </c>
      <c r="N243" t="b">
        <f t="shared" si="31"/>
        <v>0</v>
      </c>
    </row>
    <row r="244" spans="1:14" x14ac:dyDescent="0.15">
      <c r="A244" t="s">
        <v>9961</v>
      </c>
      <c r="B244" t="s">
        <v>10027</v>
      </c>
      <c r="C244" t="s">
        <v>10486</v>
      </c>
      <c r="D244" t="s">
        <v>15</v>
      </c>
      <c r="E244" t="s">
        <v>10487</v>
      </c>
      <c r="F244" s="5" t="str">
        <f t="shared" si="34"/>
        <v>********</v>
      </c>
      <c r="G244" s="5" t="s">
        <v>145</v>
      </c>
      <c r="I244" s="2" t="e">
        <f t="shared" si="29"/>
        <v>#VALUE!</v>
      </c>
      <c r="K244" s="2" t="e">
        <f t="shared" si="30"/>
        <v>#VALUE!</v>
      </c>
      <c r="M244" t="s">
        <v>139</v>
      </c>
      <c r="N244" t="b">
        <f t="shared" si="31"/>
        <v>0</v>
      </c>
    </row>
    <row r="245" spans="1:14" x14ac:dyDescent="0.15">
      <c r="A245" t="s">
        <v>9961</v>
      </c>
      <c r="B245" t="s">
        <v>10027</v>
      </c>
      <c r="C245" t="s">
        <v>10488</v>
      </c>
      <c r="D245" t="s">
        <v>23</v>
      </c>
      <c r="E245" t="s">
        <v>10489</v>
      </c>
      <c r="F245" s="5" t="str">
        <f t="shared" si="34"/>
        <v>********</v>
      </c>
      <c r="G245" s="5" t="s">
        <v>145</v>
      </c>
      <c r="H245" t="s">
        <v>145</v>
      </c>
      <c r="I245" s="2" t="e">
        <f t="shared" si="29"/>
        <v>#VALUE!</v>
      </c>
      <c r="J245" s="4">
        <v>3900000</v>
      </c>
      <c r="K245" s="2" t="e">
        <f t="shared" si="30"/>
        <v>#VALUE!</v>
      </c>
      <c r="L245" t="s">
        <v>2122</v>
      </c>
      <c r="M245" t="s">
        <v>192</v>
      </c>
      <c r="N245" t="b">
        <f t="shared" si="31"/>
        <v>0</v>
      </c>
    </row>
    <row r="246" spans="1:14" x14ac:dyDescent="0.15">
      <c r="A246" t="s">
        <v>9961</v>
      </c>
      <c r="B246" t="s">
        <v>9964</v>
      </c>
      <c r="C246" t="s">
        <v>10490</v>
      </c>
      <c r="D246" t="s">
        <v>23</v>
      </c>
      <c r="E246" t="s">
        <v>10491</v>
      </c>
      <c r="F246" s="5" t="str">
        <f t="shared" si="34"/>
        <v>********</v>
      </c>
      <c r="G246" s="5" t="s">
        <v>145</v>
      </c>
      <c r="H246" t="s">
        <v>145</v>
      </c>
      <c r="I246" s="2" t="e">
        <f t="shared" si="29"/>
        <v>#VALUE!</v>
      </c>
      <c r="J246" s="4">
        <v>11468000</v>
      </c>
      <c r="K246" s="2" t="e">
        <f t="shared" si="30"/>
        <v>#VALUE!</v>
      </c>
      <c r="L246" t="s">
        <v>1139</v>
      </c>
      <c r="M246" t="s">
        <v>192</v>
      </c>
      <c r="N246" t="b">
        <f t="shared" si="31"/>
        <v>0</v>
      </c>
    </row>
    <row r="247" spans="1:14" x14ac:dyDescent="0.15">
      <c r="A247" t="s">
        <v>9961</v>
      </c>
      <c r="B247" t="s">
        <v>9967</v>
      </c>
      <c r="C247" t="s">
        <v>10492</v>
      </c>
      <c r="D247" t="s">
        <v>23</v>
      </c>
      <c r="E247" t="s">
        <v>10493</v>
      </c>
      <c r="F247" s="5">
        <v>3570000</v>
      </c>
      <c r="G247" s="5">
        <v>3570000</v>
      </c>
      <c r="H247" s="4">
        <v>2861000</v>
      </c>
      <c r="I247" s="2">
        <f t="shared" si="29"/>
        <v>0.80140056022408968</v>
      </c>
      <c r="J247" s="4">
        <v>3350000</v>
      </c>
      <c r="K247" s="2">
        <f t="shared" si="30"/>
        <v>0.93837535014005602</v>
      </c>
      <c r="L247" t="s">
        <v>10028</v>
      </c>
      <c r="M247" t="s">
        <v>432</v>
      </c>
      <c r="N247" t="b">
        <f t="shared" si="31"/>
        <v>0</v>
      </c>
    </row>
    <row r="248" spans="1:14" x14ac:dyDescent="0.15">
      <c r="A248" t="s">
        <v>9961</v>
      </c>
      <c r="B248" t="s">
        <v>9967</v>
      </c>
      <c r="C248" t="s">
        <v>10494</v>
      </c>
      <c r="D248" t="s">
        <v>23</v>
      </c>
      <c r="E248" t="s">
        <v>10495</v>
      </c>
      <c r="F248" s="5">
        <v>6260000</v>
      </c>
      <c r="G248" s="5">
        <v>6260000</v>
      </c>
      <c r="H248" s="4">
        <v>5025000</v>
      </c>
      <c r="I248" s="2">
        <f t="shared" si="29"/>
        <v>0.80271565495207664</v>
      </c>
      <c r="J248" s="4">
        <v>5900000</v>
      </c>
      <c r="K248" s="2">
        <f t="shared" si="30"/>
        <v>0.94249201277955275</v>
      </c>
      <c r="L248" t="s">
        <v>1001</v>
      </c>
      <c r="M248" t="s">
        <v>165</v>
      </c>
      <c r="N248" t="b">
        <f t="shared" si="31"/>
        <v>0</v>
      </c>
    </row>
    <row r="249" spans="1:14" x14ac:dyDescent="0.15">
      <c r="A249" t="s">
        <v>9961</v>
      </c>
      <c r="B249" t="s">
        <v>9967</v>
      </c>
      <c r="C249" t="s">
        <v>10496</v>
      </c>
      <c r="D249" t="s">
        <v>15</v>
      </c>
      <c r="E249" t="s">
        <v>10497</v>
      </c>
      <c r="F249" s="5">
        <v>2780000</v>
      </c>
      <c r="G249" s="5">
        <v>2780000</v>
      </c>
      <c r="I249" s="2">
        <f t="shared" si="29"/>
        <v>0</v>
      </c>
      <c r="K249" s="2">
        <f t="shared" si="30"/>
        <v>0</v>
      </c>
      <c r="M249" t="s">
        <v>139</v>
      </c>
      <c r="N249" t="b">
        <f t="shared" si="31"/>
        <v>0</v>
      </c>
    </row>
    <row r="250" spans="1:14" x14ac:dyDescent="0.15">
      <c r="A250" t="s">
        <v>9961</v>
      </c>
      <c r="B250" t="s">
        <v>10021</v>
      </c>
      <c r="C250" t="s">
        <v>10498</v>
      </c>
      <c r="D250" t="s">
        <v>23</v>
      </c>
      <c r="E250" t="s">
        <v>4046</v>
      </c>
      <c r="F250" s="5" t="str">
        <f>G250</f>
        <v>********</v>
      </c>
      <c r="G250" s="5" t="s">
        <v>145</v>
      </c>
      <c r="H250" t="s">
        <v>145</v>
      </c>
      <c r="I250" s="2" t="e">
        <f t="shared" si="29"/>
        <v>#VALUE!</v>
      </c>
      <c r="J250" s="4">
        <v>3980000</v>
      </c>
      <c r="K250" s="2" t="e">
        <f t="shared" si="30"/>
        <v>#VALUE!</v>
      </c>
      <c r="L250" t="s">
        <v>215</v>
      </c>
      <c r="M250" t="s">
        <v>432</v>
      </c>
      <c r="N250" t="b">
        <f t="shared" si="31"/>
        <v>0</v>
      </c>
    </row>
    <row r="251" spans="1:14" x14ac:dyDescent="0.15">
      <c r="A251" t="s">
        <v>9961</v>
      </c>
      <c r="B251" t="s">
        <v>9967</v>
      </c>
      <c r="C251" t="s">
        <v>10499</v>
      </c>
      <c r="D251" t="s">
        <v>23</v>
      </c>
      <c r="E251" t="s">
        <v>10500</v>
      </c>
      <c r="F251" s="5">
        <v>7340000</v>
      </c>
      <c r="G251" s="5">
        <v>7340000</v>
      </c>
      <c r="H251" s="4">
        <v>5892000</v>
      </c>
      <c r="I251" s="2">
        <f t="shared" si="29"/>
        <v>0.80272479564032695</v>
      </c>
      <c r="J251" s="4">
        <v>6970000</v>
      </c>
      <c r="K251" s="2">
        <f t="shared" si="30"/>
        <v>0.94959128065395093</v>
      </c>
      <c r="L251" t="s">
        <v>1632</v>
      </c>
      <c r="M251" t="s">
        <v>165</v>
      </c>
      <c r="N251" t="b">
        <f t="shared" si="31"/>
        <v>0</v>
      </c>
    </row>
    <row r="252" spans="1:14" x14ac:dyDescent="0.15">
      <c r="A252" t="s">
        <v>9961</v>
      </c>
      <c r="B252" t="s">
        <v>9967</v>
      </c>
      <c r="C252" t="s">
        <v>10501</v>
      </c>
      <c r="D252" t="s">
        <v>23</v>
      </c>
      <c r="E252" t="s">
        <v>10502</v>
      </c>
      <c r="F252" s="5">
        <v>8060000</v>
      </c>
      <c r="G252" s="5">
        <v>8060000</v>
      </c>
      <c r="H252" s="4">
        <v>6419000</v>
      </c>
      <c r="I252" s="2">
        <f t="shared" si="29"/>
        <v>0.79640198511166249</v>
      </c>
      <c r="J252" s="4">
        <v>6419000</v>
      </c>
      <c r="K252" s="2">
        <f t="shared" si="30"/>
        <v>0.79640198511166249</v>
      </c>
      <c r="L252" t="s">
        <v>1783</v>
      </c>
      <c r="M252" t="s">
        <v>165</v>
      </c>
      <c r="N252" t="b">
        <f t="shared" si="31"/>
        <v>0</v>
      </c>
    </row>
    <row r="253" spans="1:14" x14ac:dyDescent="0.15">
      <c r="A253" t="s">
        <v>9961</v>
      </c>
      <c r="B253" t="s">
        <v>10027</v>
      </c>
      <c r="C253" t="s">
        <v>10503</v>
      </c>
      <c r="D253" t="s">
        <v>15</v>
      </c>
      <c r="E253" t="s">
        <v>10504</v>
      </c>
      <c r="F253" s="5" t="str">
        <f>G253</f>
        <v>********</v>
      </c>
      <c r="G253" s="5" t="s">
        <v>145</v>
      </c>
      <c r="I253" s="2" t="e">
        <f t="shared" si="29"/>
        <v>#VALUE!</v>
      </c>
      <c r="K253" s="2" t="e">
        <f t="shared" si="30"/>
        <v>#VALUE!</v>
      </c>
      <c r="M253" t="s">
        <v>139</v>
      </c>
      <c r="N253" t="b">
        <f t="shared" si="31"/>
        <v>0</v>
      </c>
    </row>
    <row r="254" spans="1:14" x14ac:dyDescent="0.15">
      <c r="A254" t="s">
        <v>9961</v>
      </c>
      <c r="B254" t="s">
        <v>9967</v>
      </c>
      <c r="C254" t="s">
        <v>10505</v>
      </c>
      <c r="D254" t="s">
        <v>118</v>
      </c>
      <c r="E254" t="s">
        <v>10506</v>
      </c>
      <c r="F254" s="5">
        <v>9320000</v>
      </c>
      <c r="G254" s="5">
        <v>9320000</v>
      </c>
      <c r="H254" s="4">
        <v>7481000</v>
      </c>
      <c r="I254" s="2">
        <f t="shared" si="29"/>
        <v>0.80268240343347641</v>
      </c>
      <c r="J254" s="4">
        <v>7481000</v>
      </c>
      <c r="K254" s="2">
        <f t="shared" si="30"/>
        <v>0.80268240343347641</v>
      </c>
      <c r="L254" t="s">
        <v>263</v>
      </c>
      <c r="M254" t="s">
        <v>126</v>
      </c>
      <c r="N254" t="b">
        <f t="shared" si="31"/>
        <v>0</v>
      </c>
    </row>
    <row r="255" spans="1:14" x14ac:dyDescent="0.15">
      <c r="A255" t="s">
        <v>9961</v>
      </c>
      <c r="B255" t="s">
        <v>9976</v>
      </c>
      <c r="C255" t="s">
        <v>10507</v>
      </c>
      <c r="D255" t="s">
        <v>23</v>
      </c>
      <c r="E255" t="s">
        <v>10508</v>
      </c>
      <c r="F255" s="5">
        <v>7780000</v>
      </c>
      <c r="G255" s="5">
        <v>7780000</v>
      </c>
      <c r="H255" s="4">
        <v>6187000</v>
      </c>
      <c r="I255" s="2">
        <f t="shared" si="29"/>
        <v>0.7952442159383033</v>
      </c>
      <c r="J255" s="4">
        <v>6187000</v>
      </c>
      <c r="K255" s="2">
        <f t="shared" si="30"/>
        <v>0.7952442159383033</v>
      </c>
      <c r="L255" t="s">
        <v>3251</v>
      </c>
      <c r="M255" t="s">
        <v>165</v>
      </c>
      <c r="N255" t="b">
        <f t="shared" si="31"/>
        <v>0</v>
      </c>
    </row>
    <row r="256" spans="1:14" x14ac:dyDescent="0.15">
      <c r="A256" t="s">
        <v>9961</v>
      </c>
      <c r="B256" t="s">
        <v>10027</v>
      </c>
      <c r="C256" t="s">
        <v>10509</v>
      </c>
      <c r="D256" t="s">
        <v>23</v>
      </c>
      <c r="E256" t="s">
        <v>10510</v>
      </c>
      <c r="F256" s="5" t="str">
        <f t="shared" ref="F256:F277" si="35">G256</f>
        <v>********</v>
      </c>
      <c r="G256" s="5" t="s">
        <v>145</v>
      </c>
      <c r="H256" t="s">
        <v>145</v>
      </c>
      <c r="I256" s="2" t="e">
        <f t="shared" si="29"/>
        <v>#VALUE!</v>
      </c>
      <c r="J256" s="4">
        <v>4200000</v>
      </c>
      <c r="K256" s="2" t="e">
        <f t="shared" si="30"/>
        <v>#VALUE!</v>
      </c>
      <c r="L256" t="s">
        <v>2122</v>
      </c>
      <c r="M256" t="s">
        <v>192</v>
      </c>
      <c r="N256" t="b">
        <f t="shared" si="31"/>
        <v>0</v>
      </c>
    </row>
    <row r="257" spans="1:14" x14ac:dyDescent="0.15">
      <c r="A257" t="s">
        <v>9961</v>
      </c>
      <c r="B257" t="s">
        <v>10027</v>
      </c>
      <c r="C257" t="s">
        <v>10511</v>
      </c>
      <c r="D257" t="s">
        <v>23</v>
      </c>
      <c r="E257" t="s">
        <v>10512</v>
      </c>
      <c r="F257" s="5" t="str">
        <f t="shared" si="35"/>
        <v>********</v>
      </c>
      <c r="G257" s="5" t="s">
        <v>145</v>
      </c>
      <c r="H257" t="s">
        <v>145</v>
      </c>
      <c r="I257" s="2" t="e">
        <f t="shared" si="29"/>
        <v>#VALUE!</v>
      </c>
      <c r="J257" s="4">
        <v>4000000</v>
      </c>
      <c r="K257" s="2" t="e">
        <f t="shared" si="30"/>
        <v>#VALUE!</v>
      </c>
      <c r="L257" t="s">
        <v>4816</v>
      </c>
      <c r="M257" t="s">
        <v>192</v>
      </c>
      <c r="N257" t="b">
        <f t="shared" si="31"/>
        <v>0</v>
      </c>
    </row>
    <row r="258" spans="1:14" x14ac:dyDescent="0.15">
      <c r="A258" t="s">
        <v>9961</v>
      </c>
      <c r="B258" t="s">
        <v>10141</v>
      </c>
      <c r="C258" t="s">
        <v>10513</v>
      </c>
      <c r="D258" t="s">
        <v>15</v>
      </c>
      <c r="E258" t="s">
        <v>10514</v>
      </c>
      <c r="F258" s="5" t="str">
        <f t="shared" si="35"/>
        <v>********</v>
      </c>
      <c r="G258" s="5" t="s">
        <v>145</v>
      </c>
      <c r="I258" s="2" t="e">
        <f t="shared" si="29"/>
        <v>#VALUE!</v>
      </c>
      <c r="K258" s="2" t="e">
        <f t="shared" si="30"/>
        <v>#VALUE!</v>
      </c>
      <c r="M258" t="s">
        <v>139</v>
      </c>
      <c r="N258" t="b">
        <f t="shared" si="31"/>
        <v>0</v>
      </c>
    </row>
    <row r="259" spans="1:14" x14ac:dyDescent="0.15">
      <c r="A259" t="s">
        <v>9961</v>
      </c>
      <c r="B259" t="s">
        <v>10021</v>
      </c>
      <c r="C259" t="s">
        <v>10515</v>
      </c>
      <c r="D259" t="s">
        <v>23</v>
      </c>
      <c r="E259" t="s">
        <v>10516</v>
      </c>
      <c r="F259" s="5" t="str">
        <f t="shared" si="35"/>
        <v>********</v>
      </c>
      <c r="G259" s="5" t="s">
        <v>145</v>
      </c>
      <c r="H259" t="s">
        <v>145</v>
      </c>
      <c r="I259" s="2" t="e">
        <f t="shared" si="29"/>
        <v>#VALUE!</v>
      </c>
      <c r="J259" s="4">
        <v>2250000</v>
      </c>
      <c r="K259" s="2" t="e">
        <f t="shared" si="30"/>
        <v>#VALUE!</v>
      </c>
      <c r="L259" t="s">
        <v>5186</v>
      </c>
      <c r="M259" t="s">
        <v>432</v>
      </c>
      <c r="N259" t="b">
        <f t="shared" si="31"/>
        <v>0</v>
      </c>
    </row>
    <row r="260" spans="1:14" x14ac:dyDescent="0.15">
      <c r="A260" t="s">
        <v>9961</v>
      </c>
      <c r="B260" t="s">
        <v>10021</v>
      </c>
      <c r="C260" t="s">
        <v>10517</v>
      </c>
      <c r="D260" t="s">
        <v>23</v>
      </c>
      <c r="E260" t="s">
        <v>10518</v>
      </c>
      <c r="F260" s="5" t="str">
        <f t="shared" si="35"/>
        <v>********</v>
      </c>
      <c r="G260" s="5" t="s">
        <v>145</v>
      </c>
      <c r="H260" t="s">
        <v>145</v>
      </c>
      <c r="I260" s="2" t="e">
        <f t="shared" ref="I260:I323" si="36">H260/G260</f>
        <v>#VALUE!</v>
      </c>
      <c r="J260" s="4">
        <v>3380000</v>
      </c>
      <c r="K260" s="2" t="e">
        <f t="shared" ref="K260:K323" si="37">J260/G260</f>
        <v>#VALUE!</v>
      </c>
      <c r="L260" t="s">
        <v>5636</v>
      </c>
      <c r="M260" t="s">
        <v>432</v>
      </c>
      <c r="N260" t="b">
        <f t="shared" ref="N260:N323" si="38">F260&lt;&gt;G260</f>
        <v>0</v>
      </c>
    </row>
    <row r="261" spans="1:14" x14ac:dyDescent="0.15">
      <c r="A261" t="s">
        <v>9961</v>
      </c>
      <c r="B261" t="s">
        <v>10141</v>
      </c>
      <c r="C261" t="s">
        <v>10519</v>
      </c>
      <c r="D261" t="s">
        <v>23</v>
      </c>
      <c r="E261" t="s">
        <v>10520</v>
      </c>
      <c r="F261" s="5" t="str">
        <f t="shared" si="35"/>
        <v>********</v>
      </c>
      <c r="G261" s="5" t="s">
        <v>145</v>
      </c>
      <c r="H261" t="s">
        <v>145</v>
      </c>
      <c r="I261" s="2" t="e">
        <f t="shared" si="36"/>
        <v>#VALUE!</v>
      </c>
      <c r="J261" s="4">
        <v>12700000</v>
      </c>
      <c r="K261" s="2" t="e">
        <f t="shared" si="37"/>
        <v>#VALUE!</v>
      </c>
      <c r="L261" t="s">
        <v>903</v>
      </c>
      <c r="M261" t="s">
        <v>80</v>
      </c>
      <c r="N261" t="b">
        <f t="shared" si="38"/>
        <v>0</v>
      </c>
    </row>
    <row r="262" spans="1:14" x14ac:dyDescent="0.15">
      <c r="A262" t="s">
        <v>9961</v>
      </c>
      <c r="B262" t="s">
        <v>9964</v>
      </c>
      <c r="C262" t="s">
        <v>10521</v>
      </c>
      <c r="D262" t="s">
        <v>23</v>
      </c>
      <c r="E262" t="s">
        <v>10522</v>
      </c>
      <c r="F262" s="5" t="str">
        <f t="shared" si="35"/>
        <v>********</v>
      </c>
      <c r="G262" s="5" t="s">
        <v>145</v>
      </c>
      <c r="H262" t="s">
        <v>145</v>
      </c>
      <c r="I262" s="2" t="e">
        <f t="shared" si="36"/>
        <v>#VALUE!</v>
      </c>
      <c r="J262" s="4">
        <v>4200000</v>
      </c>
      <c r="K262" s="2" t="e">
        <f t="shared" si="37"/>
        <v>#VALUE!</v>
      </c>
      <c r="L262" t="s">
        <v>332</v>
      </c>
      <c r="M262" t="s">
        <v>432</v>
      </c>
      <c r="N262" t="b">
        <f t="shared" si="38"/>
        <v>0</v>
      </c>
    </row>
    <row r="263" spans="1:14" x14ac:dyDescent="0.15">
      <c r="A263" t="s">
        <v>9961</v>
      </c>
      <c r="B263" t="s">
        <v>9964</v>
      </c>
      <c r="C263" t="s">
        <v>10523</v>
      </c>
      <c r="D263" t="s">
        <v>23</v>
      </c>
      <c r="E263" t="s">
        <v>10524</v>
      </c>
      <c r="F263" s="5">
        <f t="shared" si="35"/>
        <v>5430000</v>
      </c>
      <c r="G263" s="5">
        <v>5430000</v>
      </c>
      <c r="H263" t="s">
        <v>145</v>
      </c>
      <c r="I263" s="2" t="e">
        <f t="shared" si="36"/>
        <v>#VALUE!</v>
      </c>
      <c r="J263" s="4">
        <v>5200000</v>
      </c>
      <c r="K263" s="2">
        <f t="shared" si="37"/>
        <v>0.9576427255985267</v>
      </c>
      <c r="L263" t="s">
        <v>64</v>
      </c>
      <c r="M263" t="s">
        <v>192</v>
      </c>
      <c r="N263" t="b">
        <f t="shared" si="38"/>
        <v>0</v>
      </c>
    </row>
    <row r="264" spans="1:14" x14ac:dyDescent="0.15">
      <c r="A264" t="s">
        <v>9961</v>
      </c>
      <c r="B264" t="s">
        <v>10037</v>
      </c>
      <c r="C264" t="s">
        <v>10525</v>
      </c>
      <c r="D264" t="s">
        <v>23</v>
      </c>
      <c r="E264" t="s">
        <v>10526</v>
      </c>
      <c r="F264" s="5" t="str">
        <f t="shared" si="35"/>
        <v>********</v>
      </c>
      <c r="G264" s="5" t="s">
        <v>145</v>
      </c>
      <c r="H264" t="s">
        <v>145</v>
      </c>
      <c r="I264" s="2" t="e">
        <f t="shared" si="36"/>
        <v>#VALUE!</v>
      </c>
      <c r="J264" s="4">
        <v>12800000</v>
      </c>
      <c r="K264" s="2" t="e">
        <f t="shared" si="37"/>
        <v>#VALUE!</v>
      </c>
      <c r="L264" t="s">
        <v>786</v>
      </c>
      <c r="M264" t="s">
        <v>80</v>
      </c>
      <c r="N264" t="b">
        <f t="shared" si="38"/>
        <v>0</v>
      </c>
    </row>
    <row r="265" spans="1:14" x14ac:dyDescent="0.15">
      <c r="A265" t="s">
        <v>9961</v>
      </c>
      <c r="B265" t="s">
        <v>10063</v>
      </c>
      <c r="C265" t="s">
        <v>10527</v>
      </c>
      <c r="D265" t="s">
        <v>15</v>
      </c>
      <c r="E265" t="s">
        <v>10528</v>
      </c>
      <c r="F265" s="5" t="str">
        <f t="shared" si="35"/>
        <v>********</v>
      </c>
      <c r="G265" s="5" t="s">
        <v>145</v>
      </c>
      <c r="I265" s="2" t="e">
        <f t="shared" si="36"/>
        <v>#VALUE!</v>
      </c>
      <c r="K265" s="2" t="e">
        <f t="shared" si="37"/>
        <v>#VALUE!</v>
      </c>
      <c r="M265" t="s">
        <v>139</v>
      </c>
      <c r="N265" t="b">
        <f t="shared" si="38"/>
        <v>0</v>
      </c>
    </row>
    <row r="266" spans="1:14" x14ac:dyDescent="0.15">
      <c r="A266" t="s">
        <v>9961</v>
      </c>
      <c r="B266" t="s">
        <v>10063</v>
      </c>
      <c r="C266" t="s">
        <v>10529</v>
      </c>
      <c r="D266" t="s">
        <v>23</v>
      </c>
      <c r="E266" t="s">
        <v>10530</v>
      </c>
      <c r="F266" s="5" t="str">
        <f t="shared" si="35"/>
        <v>********</v>
      </c>
      <c r="G266" s="5" t="s">
        <v>145</v>
      </c>
      <c r="H266" t="s">
        <v>145</v>
      </c>
      <c r="I266" s="2" t="e">
        <f t="shared" si="36"/>
        <v>#VALUE!</v>
      </c>
      <c r="J266" s="4">
        <v>14040000</v>
      </c>
      <c r="K266" s="2" t="e">
        <f t="shared" si="37"/>
        <v>#VALUE!</v>
      </c>
      <c r="L266" t="s">
        <v>239</v>
      </c>
      <c r="M266" t="s">
        <v>80</v>
      </c>
      <c r="N266" t="b">
        <f t="shared" si="38"/>
        <v>0</v>
      </c>
    </row>
    <row r="267" spans="1:14" x14ac:dyDescent="0.15">
      <c r="A267" t="s">
        <v>9961</v>
      </c>
      <c r="B267" t="s">
        <v>10063</v>
      </c>
      <c r="C267" t="s">
        <v>10531</v>
      </c>
      <c r="D267" t="s">
        <v>23</v>
      </c>
      <c r="E267" t="s">
        <v>10532</v>
      </c>
      <c r="F267" s="5" t="str">
        <f t="shared" si="35"/>
        <v>********</v>
      </c>
      <c r="G267" s="5" t="s">
        <v>145</v>
      </c>
      <c r="H267" t="s">
        <v>145</v>
      </c>
      <c r="I267" s="2" t="e">
        <f t="shared" si="36"/>
        <v>#VALUE!</v>
      </c>
      <c r="J267" s="4">
        <v>58453000</v>
      </c>
      <c r="K267" s="2" t="e">
        <f t="shared" si="37"/>
        <v>#VALUE!</v>
      </c>
      <c r="L267" t="s">
        <v>239</v>
      </c>
      <c r="M267" t="s">
        <v>80</v>
      </c>
      <c r="N267" t="b">
        <f t="shared" si="38"/>
        <v>0</v>
      </c>
    </row>
    <row r="268" spans="1:14" x14ac:dyDescent="0.15">
      <c r="A268" t="s">
        <v>9961</v>
      </c>
      <c r="B268" t="s">
        <v>10063</v>
      </c>
      <c r="C268" t="s">
        <v>10533</v>
      </c>
      <c r="D268" t="s">
        <v>23</v>
      </c>
      <c r="E268" t="s">
        <v>10534</v>
      </c>
      <c r="F268" s="5" t="str">
        <f t="shared" si="35"/>
        <v>********</v>
      </c>
      <c r="G268" s="5" t="s">
        <v>145</v>
      </c>
      <c r="H268" t="s">
        <v>145</v>
      </c>
      <c r="I268" s="2" t="e">
        <f t="shared" si="36"/>
        <v>#VALUE!</v>
      </c>
      <c r="J268" s="4">
        <v>2050000</v>
      </c>
      <c r="K268" s="2" t="e">
        <f t="shared" si="37"/>
        <v>#VALUE!</v>
      </c>
      <c r="L268" t="s">
        <v>263</v>
      </c>
      <c r="M268" t="s">
        <v>192</v>
      </c>
      <c r="N268" t="b">
        <f t="shared" si="38"/>
        <v>0</v>
      </c>
    </row>
    <row r="269" spans="1:14" x14ac:dyDescent="0.15">
      <c r="A269" t="s">
        <v>9961</v>
      </c>
      <c r="B269" t="s">
        <v>10063</v>
      </c>
      <c r="C269" t="s">
        <v>10535</v>
      </c>
      <c r="D269" t="s">
        <v>23</v>
      </c>
      <c r="E269" t="s">
        <v>10536</v>
      </c>
      <c r="F269" s="5" t="str">
        <f t="shared" si="35"/>
        <v>********</v>
      </c>
      <c r="G269" s="5" t="s">
        <v>145</v>
      </c>
      <c r="H269" t="s">
        <v>145</v>
      </c>
      <c r="I269" s="2" t="e">
        <f t="shared" si="36"/>
        <v>#VALUE!</v>
      </c>
      <c r="J269" s="4">
        <v>12390000</v>
      </c>
      <c r="K269" s="2" t="e">
        <f t="shared" si="37"/>
        <v>#VALUE!</v>
      </c>
      <c r="L269" t="s">
        <v>1030</v>
      </c>
      <c r="M269" t="s">
        <v>80</v>
      </c>
      <c r="N269" t="b">
        <f t="shared" si="38"/>
        <v>0</v>
      </c>
    </row>
    <row r="270" spans="1:14" x14ac:dyDescent="0.15">
      <c r="A270" t="s">
        <v>9961</v>
      </c>
      <c r="B270" t="s">
        <v>10063</v>
      </c>
      <c r="C270" t="s">
        <v>10537</v>
      </c>
      <c r="D270" t="s">
        <v>23</v>
      </c>
      <c r="E270" t="s">
        <v>10538</v>
      </c>
      <c r="F270" s="5" t="str">
        <f t="shared" si="35"/>
        <v>********</v>
      </c>
      <c r="G270" s="5" t="s">
        <v>145</v>
      </c>
      <c r="H270" t="s">
        <v>145</v>
      </c>
      <c r="I270" s="2" t="e">
        <f t="shared" si="36"/>
        <v>#VALUE!</v>
      </c>
      <c r="J270" s="4">
        <v>26300000</v>
      </c>
      <c r="K270" s="2" t="e">
        <f t="shared" si="37"/>
        <v>#VALUE!</v>
      </c>
      <c r="L270" t="s">
        <v>332</v>
      </c>
      <c r="M270" t="s">
        <v>80</v>
      </c>
      <c r="N270" t="b">
        <f t="shared" si="38"/>
        <v>0</v>
      </c>
    </row>
    <row r="271" spans="1:14" x14ac:dyDescent="0.15">
      <c r="A271" t="s">
        <v>9961</v>
      </c>
      <c r="B271" t="s">
        <v>10063</v>
      </c>
      <c r="C271" t="s">
        <v>10539</v>
      </c>
      <c r="D271" t="s">
        <v>23</v>
      </c>
      <c r="E271" t="s">
        <v>10540</v>
      </c>
      <c r="F271" s="5" t="str">
        <f t="shared" si="35"/>
        <v>********</v>
      </c>
      <c r="G271" s="5" t="s">
        <v>145</v>
      </c>
      <c r="H271" t="s">
        <v>145</v>
      </c>
      <c r="I271" s="2" t="e">
        <f t="shared" si="36"/>
        <v>#VALUE!</v>
      </c>
      <c r="J271" s="4">
        <v>5089000</v>
      </c>
      <c r="K271" s="2" t="e">
        <f t="shared" si="37"/>
        <v>#VALUE!</v>
      </c>
      <c r="L271" t="s">
        <v>360</v>
      </c>
      <c r="M271" t="s">
        <v>80</v>
      </c>
      <c r="N271" t="b">
        <f t="shared" si="38"/>
        <v>0</v>
      </c>
    </row>
    <row r="272" spans="1:14" x14ac:dyDescent="0.15">
      <c r="A272" t="s">
        <v>9961</v>
      </c>
      <c r="B272" t="s">
        <v>10063</v>
      </c>
      <c r="C272" t="s">
        <v>10541</v>
      </c>
      <c r="D272" t="s">
        <v>23</v>
      </c>
      <c r="E272" t="s">
        <v>10542</v>
      </c>
      <c r="F272" s="5" t="str">
        <f t="shared" si="35"/>
        <v>********</v>
      </c>
      <c r="G272" s="5" t="s">
        <v>145</v>
      </c>
      <c r="H272" t="s">
        <v>145</v>
      </c>
      <c r="I272" s="2" t="e">
        <f t="shared" si="36"/>
        <v>#VALUE!</v>
      </c>
      <c r="J272" s="4">
        <v>9650000</v>
      </c>
      <c r="K272" s="2" t="e">
        <f t="shared" si="37"/>
        <v>#VALUE!</v>
      </c>
      <c r="L272" t="s">
        <v>215</v>
      </c>
      <c r="M272" t="s">
        <v>80</v>
      </c>
      <c r="N272" t="b">
        <f t="shared" si="38"/>
        <v>0</v>
      </c>
    </row>
    <row r="273" spans="1:14" x14ac:dyDescent="0.15">
      <c r="A273" t="s">
        <v>9961</v>
      </c>
      <c r="B273" t="s">
        <v>10063</v>
      </c>
      <c r="C273" t="s">
        <v>10543</v>
      </c>
      <c r="D273" t="s">
        <v>23</v>
      </c>
      <c r="E273" t="s">
        <v>10544</v>
      </c>
      <c r="F273" s="5" t="str">
        <f t="shared" si="35"/>
        <v>********</v>
      </c>
      <c r="G273" s="5" t="s">
        <v>145</v>
      </c>
      <c r="H273" t="s">
        <v>145</v>
      </c>
      <c r="I273" s="2" t="e">
        <f t="shared" si="36"/>
        <v>#VALUE!</v>
      </c>
      <c r="J273" s="4">
        <v>6860000</v>
      </c>
      <c r="K273" s="2" t="e">
        <f t="shared" si="37"/>
        <v>#VALUE!</v>
      </c>
      <c r="L273" t="s">
        <v>1800</v>
      </c>
      <c r="M273" t="s">
        <v>80</v>
      </c>
      <c r="N273" t="b">
        <f t="shared" si="38"/>
        <v>0</v>
      </c>
    </row>
    <row r="274" spans="1:14" x14ac:dyDescent="0.15">
      <c r="A274" t="s">
        <v>9961</v>
      </c>
      <c r="B274" t="s">
        <v>10063</v>
      </c>
      <c r="C274" t="s">
        <v>10545</v>
      </c>
      <c r="D274" t="s">
        <v>23</v>
      </c>
      <c r="E274" t="s">
        <v>10546</v>
      </c>
      <c r="F274" s="5" t="str">
        <f t="shared" si="35"/>
        <v>********</v>
      </c>
      <c r="G274" s="5" t="s">
        <v>145</v>
      </c>
      <c r="H274" t="s">
        <v>145</v>
      </c>
      <c r="I274" s="2" t="e">
        <f t="shared" si="36"/>
        <v>#VALUE!</v>
      </c>
      <c r="J274" s="4">
        <v>12950000</v>
      </c>
      <c r="K274" s="2" t="e">
        <f t="shared" si="37"/>
        <v>#VALUE!</v>
      </c>
      <c r="L274" t="s">
        <v>298</v>
      </c>
      <c r="M274" t="s">
        <v>80</v>
      </c>
      <c r="N274" t="b">
        <f t="shared" si="38"/>
        <v>0</v>
      </c>
    </row>
    <row r="275" spans="1:14" x14ac:dyDescent="0.15">
      <c r="A275" t="s">
        <v>9961</v>
      </c>
      <c r="B275" t="s">
        <v>10063</v>
      </c>
      <c r="C275" t="s">
        <v>10547</v>
      </c>
      <c r="D275" t="s">
        <v>23</v>
      </c>
      <c r="E275" t="s">
        <v>10548</v>
      </c>
      <c r="F275" s="5" t="str">
        <f t="shared" si="35"/>
        <v>********</v>
      </c>
      <c r="G275" s="5" t="s">
        <v>145</v>
      </c>
      <c r="H275" t="s">
        <v>145</v>
      </c>
      <c r="I275" s="2" t="e">
        <f t="shared" si="36"/>
        <v>#VALUE!</v>
      </c>
      <c r="J275" s="4">
        <v>8800000</v>
      </c>
      <c r="K275" s="2" t="e">
        <f t="shared" si="37"/>
        <v>#VALUE!</v>
      </c>
      <c r="L275" t="s">
        <v>9405</v>
      </c>
      <c r="M275" t="s">
        <v>80</v>
      </c>
      <c r="N275" t="b">
        <f t="shared" si="38"/>
        <v>0</v>
      </c>
    </row>
    <row r="276" spans="1:14" x14ac:dyDescent="0.15">
      <c r="A276" t="s">
        <v>9961</v>
      </c>
      <c r="B276" t="s">
        <v>10051</v>
      </c>
      <c r="C276" t="s">
        <v>10549</v>
      </c>
      <c r="D276" t="s">
        <v>23</v>
      </c>
      <c r="E276" t="s">
        <v>10550</v>
      </c>
      <c r="F276" s="5" t="str">
        <f t="shared" si="35"/>
        <v>********</v>
      </c>
      <c r="G276" s="5" t="s">
        <v>145</v>
      </c>
      <c r="H276" t="s">
        <v>145</v>
      </c>
      <c r="I276" s="2" t="e">
        <f t="shared" si="36"/>
        <v>#VALUE!</v>
      </c>
      <c r="J276" s="4">
        <v>15300000</v>
      </c>
      <c r="K276" s="2" t="e">
        <f t="shared" si="37"/>
        <v>#VALUE!</v>
      </c>
      <c r="L276" t="s">
        <v>4797</v>
      </c>
      <c r="M276" t="s">
        <v>80</v>
      </c>
      <c r="N276" t="b">
        <f t="shared" si="38"/>
        <v>0</v>
      </c>
    </row>
    <row r="277" spans="1:14" x14ac:dyDescent="0.15">
      <c r="A277" t="s">
        <v>9961</v>
      </c>
      <c r="B277" t="s">
        <v>10051</v>
      </c>
      <c r="C277" t="s">
        <v>10551</v>
      </c>
      <c r="D277" t="s">
        <v>23</v>
      </c>
      <c r="E277" t="s">
        <v>10552</v>
      </c>
      <c r="F277" s="5" t="str">
        <f t="shared" si="35"/>
        <v>********</v>
      </c>
      <c r="G277" s="5" t="s">
        <v>145</v>
      </c>
      <c r="H277" t="s">
        <v>145</v>
      </c>
      <c r="I277" s="2" t="e">
        <f t="shared" si="36"/>
        <v>#VALUE!</v>
      </c>
      <c r="J277" s="4">
        <v>40000000</v>
      </c>
      <c r="K277" s="2" t="e">
        <f t="shared" si="37"/>
        <v>#VALUE!</v>
      </c>
      <c r="L277" t="s">
        <v>10364</v>
      </c>
      <c r="M277" t="s">
        <v>80</v>
      </c>
      <c r="N277" t="b">
        <f t="shared" si="38"/>
        <v>0</v>
      </c>
    </row>
    <row r="278" spans="1:14" x14ac:dyDescent="0.15">
      <c r="A278" t="s">
        <v>9961</v>
      </c>
      <c r="B278" t="s">
        <v>9967</v>
      </c>
      <c r="C278" t="s">
        <v>10553</v>
      </c>
      <c r="D278" t="s">
        <v>23</v>
      </c>
      <c r="E278" t="s">
        <v>10554</v>
      </c>
      <c r="F278" s="5">
        <v>3710000</v>
      </c>
      <c r="G278" s="5">
        <v>3710000</v>
      </c>
      <c r="H278" s="4">
        <v>3005000</v>
      </c>
      <c r="I278" s="2">
        <f t="shared" si="36"/>
        <v>0.80997304582210239</v>
      </c>
      <c r="J278" s="4">
        <v>3300000</v>
      </c>
      <c r="K278" s="2">
        <f t="shared" si="37"/>
        <v>0.88948787061994605</v>
      </c>
      <c r="L278" t="s">
        <v>10100</v>
      </c>
      <c r="M278" t="s">
        <v>432</v>
      </c>
      <c r="N278" t="b">
        <f t="shared" si="38"/>
        <v>0</v>
      </c>
    </row>
    <row r="279" spans="1:14" x14ac:dyDescent="0.15">
      <c r="A279" t="s">
        <v>9961</v>
      </c>
      <c r="B279" t="s">
        <v>9967</v>
      </c>
      <c r="C279" t="s">
        <v>10555</v>
      </c>
      <c r="D279" t="s">
        <v>23</v>
      </c>
      <c r="E279" t="s">
        <v>10556</v>
      </c>
      <c r="F279" s="5">
        <v>4730000</v>
      </c>
      <c r="G279" s="5">
        <v>4730000</v>
      </c>
      <c r="H279" s="4">
        <v>3799000</v>
      </c>
      <c r="I279" s="2">
        <f t="shared" si="36"/>
        <v>0.80317124735729384</v>
      </c>
      <c r="J279" s="4">
        <v>4450000</v>
      </c>
      <c r="K279" s="2">
        <f t="shared" si="37"/>
        <v>0.94080338266384778</v>
      </c>
      <c r="L279" t="s">
        <v>1541</v>
      </c>
      <c r="M279" t="s">
        <v>165</v>
      </c>
      <c r="N279" t="b">
        <f t="shared" si="38"/>
        <v>0</v>
      </c>
    </row>
    <row r="280" spans="1:14" x14ac:dyDescent="0.15">
      <c r="A280" t="s">
        <v>9961</v>
      </c>
      <c r="B280" t="s">
        <v>9967</v>
      </c>
      <c r="C280" t="s">
        <v>10557</v>
      </c>
      <c r="D280" t="s">
        <v>23</v>
      </c>
      <c r="E280" t="s">
        <v>10558</v>
      </c>
      <c r="F280" s="5">
        <v>8320000</v>
      </c>
      <c r="G280" s="5">
        <v>8320000</v>
      </c>
      <c r="H280" s="4">
        <v>6669000</v>
      </c>
      <c r="I280" s="2">
        <f t="shared" si="36"/>
        <v>0.80156249999999996</v>
      </c>
      <c r="J280" s="4">
        <v>7900000</v>
      </c>
      <c r="K280" s="2">
        <f t="shared" si="37"/>
        <v>0.94951923076923073</v>
      </c>
      <c r="L280" t="s">
        <v>10054</v>
      </c>
      <c r="M280" t="s">
        <v>165</v>
      </c>
      <c r="N280" t="b">
        <f t="shared" si="38"/>
        <v>0</v>
      </c>
    </row>
    <row r="281" spans="1:14" x14ac:dyDescent="0.15">
      <c r="A281" t="s">
        <v>9961</v>
      </c>
      <c r="B281" t="s">
        <v>9967</v>
      </c>
      <c r="C281" t="s">
        <v>10559</v>
      </c>
      <c r="D281" t="s">
        <v>118</v>
      </c>
      <c r="E281" t="s">
        <v>10560</v>
      </c>
      <c r="F281" s="5">
        <v>9390000</v>
      </c>
      <c r="G281" s="5">
        <v>9390000</v>
      </c>
      <c r="H281" s="4">
        <v>7491000</v>
      </c>
      <c r="I281" s="2">
        <f t="shared" si="36"/>
        <v>0.79776357827476041</v>
      </c>
      <c r="J281" s="4">
        <v>7491000</v>
      </c>
      <c r="K281" s="2">
        <f t="shared" si="37"/>
        <v>0.79776357827476041</v>
      </c>
      <c r="L281" t="s">
        <v>10105</v>
      </c>
      <c r="M281" t="s">
        <v>248</v>
      </c>
      <c r="N281" t="b">
        <f t="shared" si="38"/>
        <v>0</v>
      </c>
    </row>
    <row r="282" spans="1:14" x14ac:dyDescent="0.15">
      <c r="A282" t="s">
        <v>9961</v>
      </c>
      <c r="B282" t="s">
        <v>9967</v>
      </c>
      <c r="C282" t="s">
        <v>10561</v>
      </c>
      <c r="D282" t="s">
        <v>118</v>
      </c>
      <c r="E282" t="s">
        <v>10562</v>
      </c>
      <c r="F282" s="5">
        <v>17670000</v>
      </c>
      <c r="G282" s="5">
        <v>17670000</v>
      </c>
      <c r="H282" s="4">
        <v>14195000</v>
      </c>
      <c r="I282" s="2">
        <f t="shared" si="36"/>
        <v>0.80333899264289754</v>
      </c>
      <c r="J282" s="4">
        <v>14199000</v>
      </c>
      <c r="K282" s="2">
        <f t="shared" si="37"/>
        <v>0.80356536502546694</v>
      </c>
      <c r="L282" t="s">
        <v>1718</v>
      </c>
      <c r="M282" t="s">
        <v>773</v>
      </c>
      <c r="N282" t="b">
        <f t="shared" si="38"/>
        <v>0</v>
      </c>
    </row>
    <row r="283" spans="1:14" x14ac:dyDescent="0.15">
      <c r="A283" t="s">
        <v>9961</v>
      </c>
      <c r="B283" t="s">
        <v>9967</v>
      </c>
      <c r="C283" t="s">
        <v>10563</v>
      </c>
      <c r="D283" t="s">
        <v>118</v>
      </c>
      <c r="E283" t="s">
        <v>10564</v>
      </c>
      <c r="F283" s="5">
        <v>18710000</v>
      </c>
      <c r="G283" s="5">
        <v>18710000</v>
      </c>
      <c r="H283" s="4">
        <v>15026000</v>
      </c>
      <c r="I283" s="2">
        <f t="shared" si="36"/>
        <v>0.8030999465526456</v>
      </c>
      <c r="J283" s="4">
        <v>15100000</v>
      </c>
      <c r="K283" s="2">
        <f t="shared" si="37"/>
        <v>0.80705505077498663</v>
      </c>
      <c r="L283" t="s">
        <v>1915</v>
      </c>
      <c r="M283" t="s">
        <v>232</v>
      </c>
      <c r="N283" t="b">
        <f t="shared" si="38"/>
        <v>0</v>
      </c>
    </row>
    <row r="284" spans="1:14" x14ac:dyDescent="0.15">
      <c r="A284" t="s">
        <v>9961</v>
      </c>
      <c r="B284" t="s">
        <v>9967</v>
      </c>
      <c r="C284" t="s">
        <v>10565</v>
      </c>
      <c r="D284" t="s">
        <v>118</v>
      </c>
      <c r="E284" t="s">
        <v>10566</v>
      </c>
      <c r="F284" s="5">
        <v>24800000</v>
      </c>
      <c r="G284" s="5">
        <v>24800000</v>
      </c>
      <c r="H284" s="4">
        <v>19817000</v>
      </c>
      <c r="I284" s="2">
        <f t="shared" si="36"/>
        <v>0.79907258064516129</v>
      </c>
      <c r="J284" s="4">
        <v>19817000</v>
      </c>
      <c r="K284" s="2">
        <f t="shared" si="37"/>
        <v>0.79907258064516129</v>
      </c>
      <c r="L284" t="s">
        <v>1915</v>
      </c>
      <c r="M284" t="s">
        <v>3009</v>
      </c>
      <c r="N284" t="b">
        <f t="shared" si="38"/>
        <v>0</v>
      </c>
    </row>
    <row r="285" spans="1:14" x14ac:dyDescent="0.15">
      <c r="A285" t="s">
        <v>9961</v>
      </c>
      <c r="B285" t="s">
        <v>9976</v>
      </c>
      <c r="C285" t="s">
        <v>10567</v>
      </c>
      <c r="D285" t="s">
        <v>118</v>
      </c>
      <c r="E285" t="s">
        <v>10568</v>
      </c>
      <c r="F285" s="5">
        <v>16240000</v>
      </c>
      <c r="G285" s="5">
        <v>16240000</v>
      </c>
      <c r="H285" s="4">
        <v>12942000</v>
      </c>
      <c r="I285" s="2">
        <f t="shared" si="36"/>
        <v>0.79692118226600983</v>
      </c>
      <c r="J285" s="4">
        <v>12942000</v>
      </c>
      <c r="K285" s="2">
        <f t="shared" si="37"/>
        <v>0.79692118226600983</v>
      </c>
      <c r="L285" t="s">
        <v>173</v>
      </c>
      <c r="M285" t="s">
        <v>41</v>
      </c>
      <c r="N285" t="b">
        <f t="shared" si="38"/>
        <v>0</v>
      </c>
    </row>
    <row r="286" spans="1:14" x14ac:dyDescent="0.15">
      <c r="A286" t="s">
        <v>9961</v>
      </c>
      <c r="B286" t="s">
        <v>9976</v>
      </c>
      <c r="C286" t="s">
        <v>10569</v>
      </c>
      <c r="D286" t="s">
        <v>118</v>
      </c>
      <c r="E286" t="s">
        <v>10570</v>
      </c>
      <c r="F286" s="5">
        <v>16360000</v>
      </c>
      <c r="G286" s="5">
        <v>16360000</v>
      </c>
      <c r="H286" s="4">
        <v>13052000</v>
      </c>
      <c r="I286" s="2">
        <f t="shared" si="36"/>
        <v>0.79779951100244495</v>
      </c>
      <c r="J286" s="4">
        <v>13052000</v>
      </c>
      <c r="K286" s="2">
        <f t="shared" si="37"/>
        <v>0.79779951100244495</v>
      </c>
      <c r="L286" t="s">
        <v>5693</v>
      </c>
      <c r="M286" t="s">
        <v>80</v>
      </c>
      <c r="N286" t="b">
        <f t="shared" si="38"/>
        <v>0</v>
      </c>
    </row>
    <row r="287" spans="1:14" x14ac:dyDescent="0.15">
      <c r="A287" t="s">
        <v>9961</v>
      </c>
      <c r="B287" t="s">
        <v>9967</v>
      </c>
      <c r="C287" t="s">
        <v>10571</v>
      </c>
      <c r="D287" t="s">
        <v>23</v>
      </c>
      <c r="E287" t="s">
        <v>10572</v>
      </c>
      <c r="F287" s="5">
        <v>6710000</v>
      </c>
      <c r="G287" s="5">
        <v>6710000</v>
      </c>
      <c r="H287" s="4">
        <v>5388000</v>
      </c>
      <c r="I287" s="2">
        <f t="shared" si="36"/>
        <v>0.80298062593144559</v>
      </c>
      <c r="J287" s="4">
        <v>5400000</v>
      </c>
      <c r="K287" s="2">
        <f t="shared" si="37"/>
        <v>0.80476900149031294</v>
      </c>
      <c r="L287" t="s">
        <v>10022</v>
      </c>
      <c r="M287" t="s">
        <v>165</v>
      </c>
      <c r="N287" t="b">
        <f t="shared" si="38"/>
        <v>0</v>
      </c>
    </row>
    <row r="288" spans="1:14" x14ac:dyDescent="0.15">
      <c r="A288" t="s">
        <v>9961</v>
      </c>
      <c r="B288" t="s">
        <v>9967</v>
      </c>
      <c r="C288" t="s">
        <v>10573</v>
      </c>
      <c r="D288" t="s">
        <v>23</v>
      </c>
      <c r="E288" t="s">
        <v>10574</v>
      </c>
      <c r="F288" s="5">
        <v>7810000</v>
      </c>
      <c r="G288" s="5">
        <v>7810000</v>
      </c>
      <c r="H288" s="4">
        <v>6256000</v>
      </c>
      <c r="I288" s="2">
        <f t="shared" si="36"/>
        <v>0.80102432778489119</v>
      </c>
      <c r="J288" s="4">
        <v>7200000</v>
      </c>
      <c r="K288" s="2">
        <f t="shared" si="37"/>
        <v>0.92189500640204869</v>
      </c>
      <c r="L288" t="s">
        <v>1170</v>
      </c>
      <c r="M288" t="s">
        <v>165</v>
      </c>
      <c r="N288" t="b">
        <f t="shared" si="38"/>
        <v>0</v>
      </c>
    </row>
    <row r="289" spans="1:14" x14ac:dyDescent="0.15">
      <c r="A289" t="s">
        <v>9961</v>
      </c>
      <c r="B289" t="s">
        <v>9967</v>
      </c>
      <c r="C289" t="s">
        <v>10575</v>
      </c>
      <c r="D289" t="s">
        <v>23</v>
      </c>
      <c r="E289" t="s">
        <v>10576</v>
      </c>
      <c r="F289" s="5">
        <v>7900000</v>
      </c>
      <c r="G289" s="5">
        <v>7900000</v>
      </c>
      <c r="H289" s="4">
        <v>6344000</v>
      </c>
      <c r="I289" s="2">
        <f t="shared" si="36"/>
        <v>0.80303797468354432</v>
      </c>
      <c r="J289" s="4">
        <v>7900000</v>
      </c>
      <c r="K289" s="2">
        <f t="shared" si="37"/>
        <v>1</v>
      </c>
      <c r="L289" t="s">
        <v>256</v>
      </c>
      <c r="M289" t="s">
        <v>174</v>
      </c>
      <c r="N289" t="b">
        <f t="shared" si="38"/>
        <v>0</v>
      </c>
    </row>
    <row r="290" spans="1:14" x14ac:dyDescent="0.15">
      <c r="A290" t="s">
        <v>9961</v>
      </c>
      <c r="B290" t="s">
        <v>9967</v>
      </c>
      <c r="C290" t="s">
        <v>10577</v>
      </c>
      <c r="D290" t="s">
        <v>23</v>
      </c>
      <c r="E290" t="s">
        <v>10578</v>
      </c>
      <c r="F290" s="5">
        <v>8520000</v>
      </c>
      <c r="G290" s="5">
        <v>8520000</v>
      </c>
      <c r="H290" s="4">
        <v>6842000</v>
      </c>
      <c r="I290" s="2">
        <f t="shared" si="36"/>
        <v>0.80305164319248823</v>
      </c>
      <c r="J290" s="4">
        <v>8300000</v>
      </c>
      <c r="K290" s="2">
        <f t="shared" si="37"/>
        <v>0.9741784037558685</v>
      </c>
      <c r="L290" t="s">
        <v>64</v>
      </c>
      <c r="M290" t="s">
        <v>174</v>
      </c>
      <c r="N290" t="b">
        <f t="shared" si="38"/>
        <v>0</v>
      </c>
    </row>
    <row r="291" spans="1:14" x14ac:dyDescent="0.15">
      <c r="A291" t="s">
        <v>9961</v>
      </c>
      <c r="B291" t="s">
        <v>9967</v>
      </c>
      <c r="C291" t="s">
        <v>10579</v>
      </c>
      <c r="D291" t="s">
        <v>118</v>
      </c>
      <c r="E291" t="s">
        <v>10580</v>
      </c>
      <c r="F291" s="5">
        <v>12910000</v>
      </c>
      <c r="G291" s="5">
        <v>12910000</v>
      </c>
      <c r="H291" s="4">
        <v>10238000</v>
      </c>
      <c r="I291" s="2">
        <f t="shared" si="36"/>
        <v>0.79302865995352445</v>
      </c>
      <c r="J291" s="4">
        <v>10250000</v>
      </c>
      <c r="K291" s="2">
        <f t="shared" si="37"/>
        <v>0.79395817195972118</v>
      </c>
      <c r="L291" t="s">
        <v>694</v>
      </c>
      <c r="M291" t="s">
        <v>248</v>
      </c>
      <c r="N291" t="b">
        <f t="shared" si="38"/>
        <v>0</v>
      </c>
    </row>
    <row r="292" spans="1:14" x14ac:dyDescent="0.15">
      <c r="A292" t="s">
        <v>9961</v>
      </c>
      <c r="B292" t="s">
        <v>10021</v>
      </c>
      <c r="C292" t="s">
        <v>10581</v>
      </c>
      <c r="D292" t="s">
        <v>23</v>
      </c>
      <c r="E292" t="s">
        <v>10582</v>
      </c>
      <c r="F292" s="5" t="str">
        <f t="shared" ref="F292:F295" si="39">G292</f>
        <v>********</v>
      </c>
      <c r="G292" s="5" t="s">
        <v>145</v>
      </c>
      <c r="H292" t="s">
        <v>145</v>
      </c>
      <c r="I292" s="2" t="e">
        <f t="shared" si="36"/>
        <v>#VALUE!</v>
      </c>
      <c r="J292" s="4">
        <v>8000000</v>
      </c>
      <c r="K292" s="2" t="e">
        <f t="shared" si="37"/>
        <v>#VALUE!</v>
      </c>
      <c r="L292" t="s">
        <v>298</v>
      </c>
      <c r="M292" t="s">
        <v>192</v>
      </c>
      <c r="N292" t="b">
        <f t="shared" si="38"/>
        <v>0</v>
      </c>
    </row>
    <row r="293" spans="1:14" x14ac:dyDescent="0.15">
      <c r="A293" t="s">
        <v>9961</v>
      </c>
      <c r="B293" t="s">
        <v>10021</v>
      </c>
      <c r="C293" t="s">
        <v>10583</v>
      </c>
      <c r="D293" t="s">
        <v>23</v>
      </c>
      <c r="E293" t="s">
        <v>10584</v>
      </c>
      <c r="F293" s="5" t="str">
        <f t="shared" si="39"/>
        <v>********</v>
      </c>
      <c r="G293" s="5" t="s">
        <v>145</v>
      </c>
      <c r="H293" t="s">
        <v>145</v>
      </c>
      <c r="I293" s="2" t="e">
        <f t="shared" si="36"/>
        <v>#VALUE!</v>
      </c>
      <c r="J293" s="4">
        <v>3750000</v>
      </c>
      <c r="K293" s="2" t="e">
        <f t="shared" si="37"/>
        <v>#VALUE!</v>
      </c>
      <c r="L293" t="s">
        <v>5186</v>
      </c>
      <c r="M293" t="s">
        <v>432</v>
      </c>
      <c r="N293" t="b">
        <f t="shared" si="38"/>
        <v>0</v>
      </c>
    </row>
    <row r="294" spans="1:14" x14ac:dyDescent="0.15">
      <c r="A294" t="s">
        <v>9961</v>
      </c>
      <c r="B294" t="s">
        <v>10587</v>
      </c>
      <c r="C294" t="s">
        <v>10585</v>
      </c>
      <c r="D294" t="s">
        <v>23</v>
      </c>
      <c r="E294" t="s">
        <v>10586</v>
      </c>
      <c r="F294" s="5" t="str">
        <f t="shared" si="39"/>
        <v>********</v>
      </c>
      <c r="G294" s="5" t="s">
        <v>145</v>
      </c>
      <c r="H294" t="s">
        <v>145</v>
      </c>
      <c r="I294" s="2" t="e">
        <f t="shared" si="36"/>
        <v>#VALUE!</v>
      </c>
      <c r="J294" s="4">
        <v>2200000</v>
      </c>
      <c r="K294" s="2" t="e">
        <f t="shared" si="37"/>
        <v>#VALUE!</v>
      </c>
      <c r="L294" t="s">
        <v>5186</v>
      </c>
      <c r="M294" t="s">
        <v>432</v>
      </c>
      <c r="N294" t="b">
        <f t="shared" si="38"/>
        <v>0</v>
      </c>
    </row>
    <row r="295" spans="1:14" x14ac:dyDescent="0.15">
      <c r="A295" t="s">
        <v>9961</v>
      </c>
      <c r="B295" t="s">
        <v>10257</v>
      </c>
      <c r="C295" t="s">
        <v>10588</v>
      </c>
      <c r="D295" t="s">
        <v>23</v>
      </c>
      <c r="E295" t="s">
        <v>10589</v>
      </c>
      <c r="F295" s="5" t="str">
        <f t="shared" si="39"/>
        <v>********</v>
      </c>
      <c r="G295" s="5" t="s">
        <v>145</v>
      </c>
      <c r="H295" s="4">
        <v>3018000</v>
      </c>
      <c r="I295" s="2" t="e">
        <f t="shared" si="36"/>
        <v>#VALUE!</v>
      </c>
      <c r="J295" s="4">
        <v>3550000</v>
      </c>
      <c r="K295" s="2" t="e">
        <f t="shared" si="37"/>
        <v>#VALUE!</v>
      </c>
      <c r="L295" t="s">
        <v>1333</v>
      </c>
      <c r="M295" t="s">
        <v>432</v>
      </c>
      <c r="N295" t="b">
        <f t="shared" si="38"/>
        <v>0</v>
      </c>
    </row>
    <row r="296" spans="1:14" x14ac:dyDescent="0.15">
      <c r="A296" t="s">
        <v>9961</v>
      </c>
      <c r="B296" t="s">
        <v>9976</v>
      </c>
      <c r="C296" t="s">
        <v>10590</v>
      </c>
      <c r="D296" t="s">
        <v>118</v>
      </c>
      <c r="E296" t="s">
        <v>10591</v>
      </c>
      <c r="F296" s="5">
        <v>12830000</v>
      </c>
      <c r="G296" s="5">
        <v>12830000</v>
      </c>
      <c r="H296" s="4">
        <v>10293000</v>
      </c>
      <c r="I296" s="2">
        <f t="shared" si="36"/>
        <v>0.80226032735775521</v>
      </c>
      <c r="J296" s="4">
        <v>10293000</v>
      </c>
      <c r="K296" s="2">
        <f t="shared" si="37"/>
        <v>0.80226032735775521</v>
      </c>
      <c r="L296" t="s">
        <v>7070</v>
      </c>
      <c r="M296" t="s">
        <v>432</v>
      </c>
      <c r="N296" t="b">
        <f t="shared" si="38"/>
        <v>0</v>
      </c>
    </row>
    <row r="297" spans="1:14" x14ac:dyDescent="0.15">
      <c r="A297" t="s">
        <v>9961</v>
      </c>
      <c r="B297" t="s">
        <v>9976</v>
      </c>
      <c r="C297" t="s">
        <v>10592</v>
      </c>
      <c r="D297" t="s">
        <v>118</v>
      </c>
      <c r="E297" t="s">
        <v>10593</v>
      </c>
      <c r="F297" s="5">
        <v>15460000</v>
      </c>
      <c r="G297" s="5">
        <v>15460000</v>
      </c>
      <c r="H297" s="4">
        <v>12404000</v>
      </c>
      <c r="I297" s="2">
        <f t="shared" si="36"/>
        <v>0.80232858990944378</v>
      </c>
      <c r="J297" s="4">
        <v>15400000</v>
      </c>
      <c r="K297" s="2">
        <f t="shared" si="37"/>
        <v>0.99611901681759374</v>
      </c>
      <c r="L297" t="s">
        <v>10326</v>
      </c>
      <c r="M297" t="s">
        <v>80</v>
      </c>
      <c r="N297" t="b">
        <f t="shared" si="38"/>
        <v>0</v>
      </c>
    </row>
    <row r="298" spans="1:14" x14ac:dyDescent="0.15">
      <c r="A298" t="s">
        <v>9961</v>
      </c>
      <c r="B298" t="s">
        <v>9976</v>
      </c>
      <c r="C298" t="s">
        <v>10594</v>
      </c>
      <c r="D298" t="s">
        <v>118</v>
      </c>
      <c r="E298" t="s">
        <v>10595</v>
      </c>
      <c r="F298" s="5">
        <v>17560000</v>
      </c>
      <c r="G298" s="5">
        <v>17560000</v>
      </c>
      <c r="H298" s="4">
        <v>14088000</v>
      </c>
      <c r="I298" s="2">
        <f t="shared" si="36"/>
        <v>0.80227790432801827</v>
      </c>
      <c r="J298" s="4">
        <v>14088000</v>
      </c>
      <c r="K298" s="2">
        <f t="shared" si="37"/>
        <v>0.80227790432801827</v>
      </c>
      <c r="L298" t="s">
        <v>7070</v>
      </c>
      <c r="M298" t="s">
        <v>80</v>
      </c>
      <c r="N298" t="b">
        <f t="shared" si="38"/>
        <v>0</v>
      </c>
    </row>
    <row r="299" spans="1:14" x14ac:dyDescent="0.15">
      <c r="A299" t="s">
        <v>9961</v>
      </c>
      <c r="B299" t="s">
        <v>10304</v>
      </c>
      <c r="C299" t="s">
        <v>10596</v>
      </c>
      <c r="D299" t="s">
        <v>23</v>
      </c>
      <c r="E299" t="s">
        <v>10597</v>
      </c>
      <c r="F299" s="5" t="str">
        <f t="shared" ref="F299:F305" si="40">G299</f>
        <v>********</v>
      </c>
      <c r="G299" s="5" t="s">
        <v>145</v>
      </c>
      <c r="H299" t="s">
        <v>145</v>
      </c>
      <c r="I299" s="2" t="e">
        <f t="shared" si="36"/>
        <v>#VALUE!</v>
      </c>
      <c r="J299" s="4">
        <v>8740000</v>
      </c>
      <c r="K299" s="2" t="e">
        <f t="shared" si="37"/>
        <v>#VALUE!</v>
      </c>
      <c r="L299" t="s">
        <v>173</v>
      </c>
      <c r="M299" t="s">
        <v>80</v>
      </c>
      <c r="N299" t="b">
        <f t="shared" si="38"/>
        <v>0</v>
      </c>
    </row>
    <row r="300" spans="1:14" x14ac:dyDescent="0.15">
      <c r="A300" t="s">
        <v>9961</v>
      </c>
      <c r="B300" t="s">
        <v>10304</v>
      </c>
      <c r="C300" t="s">
        <v>10598</v>
      </c>
      <c r="D300" t="s">
        <v>23</v>
      </c>
      <c r="E300" t="s">
        <v>10599</v>
      </c>
      <c r="F300" s="5" t="str">
        <f t="shared" si="40"/>
        <v>********</v>
      </c>
      <c r="G300" s="5" t="s">
        <v>145</v>
      </c>
      <c r="H300" t="s">
        <v>145</v>
      </c>
      <c r="I300" s="2" t="e">
        <f t="shared" si="36"/>
        <v>#VALUE!</v>
      </c>
      <c r="J300" s="4">
        <v>9857000</v>
      </c>
      <c r="K300" s="2" t="e">
        <f t="shared" si="37"/>
        <v>#VALUE!</v>
      </c>
      <c r="L300" t="s">
        <v>1541</v>
      </c>
      <c r="M300" t="s">
        <v>80</v>
      </c>
      <c r="N300" t="b">
        <f t="shared" si="38"/>
        <v>0</v>
      </c>
    </row>
    <row r="301" spans="1:14" x14ac:dyDescent="0.15">
      <c r="A301" t="s">
        <v>9961</v>
      </c>
      <c r="B301" t="s">
        <v>10304</v>
      </c>
      <c r="C301" t="s">
        <v>10600</v>
      </c>
      <c r="D301" t="s">
        <v>23</v>
      </c>
      <c r="E301" t="s">
        <v>10601</v>
      </c>
      <c r="F301" s="5" t="str">
        <f t="shared" si="40"/>
        <v>********</v>
      </c>
      <c r="G301" s="5" t="s">
        <v>145</v>
      </c>
      <c r="H301" t="s">
        <v>145</v>
      </c>
      <c r="I301" s="2" t="e">
        <f t="shared" si="36"/>
        <v>#VALUE!</v>
      </c>
      <c r="J301" s="4">
        <v>9086000</v>
      </c>
      <c r="K301" s="2" t="e">
        <f t="shared" si="37"/>
        <v>#VALUE!</v>
      </c>
      <c r="L301" t="s">
        <v>1541</v>
      </c>
      <c r="M301" t="s">
        <v>80</v>
      </c>
      <c r="N301" t="b">
        <f t="shared" si="38"/>
        <v>0</v>
      </c>
    </row>
    <row r="302" spans="1:14" x14ac:dyDescent="0.15">
      <c r="A302" t="s">
        <v>9961</v>
      </c>
      <c r="B302" t="s">
        <v>10304</v>
      </c>
      <c r="C302" t="s">
        <v>10602</v>
      </c>
      <c r="D302" t="s">
        <v>23</v>
      </c>
      <c r="E302" t="s">
        <v>10603</v>
      </c>
      <c r="F302" s="5" t="str">
        <f t="shared" si="40"/>
        <v>********</v>
      </c>
      <c r="G302" s="5" t="s">
        <v>145</v>
      </c>
      <c r="H302" t="s">
        <v>145</v>
      </c>
      <c r="I302" s="2" t="e">
        <f t="shared" si="36"/>
        <v>#VALUE!</v>
      </c>
      <c r="J302" s="4">
        <v>11716000</v>
      </c>
      <c r="K302" s="2" t="e">
        <f t="shared" si="37"/>
        <v>#VALUE!</v>
      </c>
      <c r="L302" t="s">
        <v>256</v>
      </c>
      <c r="M302" t="s">
        <v>80</v>
      </c>
      <c r="N302" t="b">
        <f t="shared" si="38"/>
        <v>0</v>
      </c>
    </row>
    <row r="303" spans="1:14" x14ac:dyDescent="0.15">
      <c r="A303" t="s">
        <v>9961</v>
      </c>
      <c r="B303" t="s">
        <v>10021</v>
      </c>
      <c r="C303" t="s">
        <v>10604</v>
      </c>
      <c r="D303" t="s">
        <v>23</v>
      </c>
      <c r="E303" t="s">
        <v>10605</v>
      </c>
      <c r="F303" s="5" t="str">
        <f t="shared" si="40"/>
        <v>********</v>
      </c>
      <c r="G303" s="5" t="s">
        <v>145</v>
      </c>
      <c r="H303" t="s">
        <v>145</v>
      </c>
      <c r="I303" s="2" t="e">
        <f t="shared" si="36"/>
        <v>#VALUE!</v>
      </c>
      <c r="J303" s="4">
        <v>5980000</v>
      </c>
      <c r="K303" s="2" t="e">
        <f t="shared" si="37"/>
        <v>#VALUE!</v>
      </c>
      <c r="L303" t="s">
        <v>298</v>
      </c>
      <c r="M303" t="s">
        <v>192</v>
      </c>
      <c r="N303" t="b">
        <f t="shared" si="38"/>
        <v>0</v>
      </c>
    </row>
    <row r="304" spans="1:14" x14ac:dyDescent="0.15">
      <c r="A304" t="s">
        <v>9961</v>
      </c>
      <c r="B304" t="s">
        <v>9964</v>
      </c>
      <c r="C304" t="s">
        <v>10606</v>
      </c>
      <c r="D304" t="s">
        <v>23</v>
      </c>
      <c r="E304" t="s">
        <v>10607</v>
      </c>
      <c r="F304" s="5" t="str">
        <f t="shared" si="40"/>
        <v>********</v>
      </c>
      <c r="G304" s="5" t="s">
        <v>145</v>
      </c>
      <c r="H304" t="s">
        <v>145</v>
      </c>
      <c r="I304" s="2" t="e">
        <f t="shared" si="36"/>
        <v>#VALUE!</v>
      </c>
      <c r="J304" s="4">
        <v>3478000</v>
      </c>
      <c r="K304" s="2" t="e">
        <f t="shared" si="37"/>
        <v>#VALUE!</v>
      </c>
      <c r="L304" t="s">
        <v>1718</v>
      </c>
      <c r="M304" t="s">
        <v>432</v>
      </c>
      <c r="N304" t="b">
        <f t="shared" si="38"/>
        <v>0</v>
      </c>
    </row>
    <row r="305" spans="1:14" x14ac:dyDescent="0.15">
      <c r="A305" t="s">
        <v>9961</v>
      </c>
      <c r="B305" t="s">
        <v>10037</v>
      </c>
      <c r="C305" t="s">
        <v>10608</v>
      </c>
      <c r="D305" t="s">
        <v>23</v>
      </c>
      <c r="E305" t="s">
        <v>10609</v>
      </c>
      <c r="F305" s="5" t="str">
        <f t="shared" si="40"/>
        <v>********</v>
      </c>
      <c r="G305" s="5" t="s">
        <v>145</v>
      </c>
      <c r="H305" t="s">
        <v>145</v>
      </c>
      <c r="I305" s="2" t="e">
        <f t="shared" si="36"/>
        <v>#VALUE!</v>
      </c>
      <c r="J305" s="4">
        <v>6486000</v>
      </c>
      <c r="K305" s="2" t="e">
        <f t="shared" si="37"/>
        <v>#VALUE!</v>
      </c>
      <c r="L305" t="s">
        <v>5068</v>
      </c>
      <c r="M305" t="s">
        <v>80</v>
      </c>
      <c r="N305" t="b">
        <f t="shared" si="38"/>
        <v>0</v>
      </c>
    </row>
    <row r="306" spans="1:14" x14ac:dyDescent="0.15">
      <c r="A306" t="s">
        <v>9961</v>
      </c>
      <c r="B306" t="s">
        <v>9967</v>
      </c>
      <c r="C306" t="s">
        <v>10610</v>
      </c>
      <c r="D306" t="s">
        <v>23</v>
      </c>
      <c r="E306" t="s">
        <v>10611</v>
      </c>
      <c r="F306" s="5">
        <v>405817</v>
      </c>
      <c r="G306" s="5">
        <v>405817</v>
      </c>
      <c r="I306" s="2">
        <f t="shared" si="36"/>
        <v>0</v>
      </c>
      <c r="J306" s="4">
        <v>335000</v>
      </c>
      <c r="K306" s="2">
        <f t="shared" si="37"/>
        <v>0.82549523553720028</v>
      </c>
      <c r="L306" t="s">
        <v>6388</v>
      </c>
      <c r="M306" t="s">
        <v>165</v>
      </c>
      <c r="N306" t="b">
        <f t="shared" si="38"/>
        <v>0</v>
      </c>
    </row>
    <row r="307" spans="1:14" x14ac:dyDescent="0.15">
      <c r="A307" t="s">
        <v>9961</v>
      </c>
      <c r="B307" t="s">
        <v>9967</v>
      </c>
      <c r="C307" t="s">
        <v>10612</v>
      </c>
      <c r="D307" t="s">
        <v>23</v>
      </c>
      <c r="E307" t="s">
        <v>10613</v>
      </c>
      <c r="F307" s="5">
        <v>4260000</v>
      </c>
      <c r="G307" s="5">
        <v>4260000</v>
      </c>
      <c r="H307" s="4">
        <v>3421000</v>
      </c>
      <c r="I307" s="2">
        <f t="shared" si="36"/>
        <v>0.80305164319248823</v>
      </c>
      <c r="J307" s="4">
        <v>4100000</v>
      </c>
      <c r="K307" s="2">
        <f t="shared" si="37"/>
        <v>0.96244131455399062</v>
      </c>
      <c r="L307" t="s">
        <v>9984</v>
      </c>
      <c r="M307" t="s">
        <v>432</v>
      </c>
      <c r="N307" t="b">
        <f t="shared" si="38"/>
        <v>0</v>
      </c>
    </row>
    <row r="308" spans="1:14" x14ac:dyDescent="0.15">
      <c r="A308" t="s">
        <v>9961</v>
      </c>
      <c r="B308" t="s">
        <v>9967</v>
      </c>
      <c r="C308" t="s">
        <v>10614</v>
      </c>
      <c r="D308" t="s">
        <v>23</v>
      </c>
      <c r="E308" t="s">
        <v>10615</v>
      </c>
      <c r="F308" s="5">
        <v>5050000</v>
      </c>
      <c r="G308" s="5">
        <v>5050000</v>
      </c>
      <c r="H308" s="4">
        <v>4055000</v>
      </c>
      <c r="I308" s="2">
        <f t="shared" si="36"/>
        <v>0.80297029702970302</v>
      </c>
      <c r="J308" s="4">
        <v>4700000</v>
      </c>
      <c r="K308" s="2">
        <f t="shared" si="37"/>
        <v>0.93069306930693074</v>
      </c>
      <c r="L308" t="s">
        <v>5693</v>
      </c>
      <c r="M308" t="s">
        <v>165</v>
      </c>
      <c r="N308" t="b">
        <f t="shared" si="38"/>
        <v>0</v>
      </c>
    </row>
    <row r="309" spans="1:14" x14ac:dyDescent="0.15">
      <c r="A309" t="s">
        <v>9961</v>
      </c>
      <c r="B309" t="s">
        <v>9967</v>
      </c>
      <c r="C309" t="s">
        <v>10616</v>
      </c>
      <c r="D309" t="s">
        <v>23</v>
      </c>
      <c r="E309" t="s">
        <v>10617</v>
      </c>
      <c r="F309" s="5">
        <v>7500000</v>
      </c>
      <c r="G309" s="5">
        <v>7500000</v>
      </c>
      <c r="H309" s="4">
        <v>6021000</v>
      </c>
      <c r="I309" s="2">
        <f t="shared" si="36"/>
        <v>0.80279999999999996</v>
      </c>
      <c r="J309" s="4">
        <v>7100000</v>
      </c>
      <c r="K309" s="2">
        <f t="shared" si="37"/>
        <v>0.94666666666666666</v>
      </c>
      <c r="L309" t="s">
        <v>10068</v>
      </c>
      <c r="M309" t="s">
        <v>165</v>
      </c>
      <c r="N309" t="b">
        <f t="shared" si="38"/>
        <v>0</v>
      </c>
    </row>
    <row r="310" spans="1:14" x14ac:dyDescent="0.15">
      <c r="A310" t="s">
        <v>9961</v>
      </c>
      <c r="B310" t="s">
        <v>9967</v>
      </c>
      <c r="C310" t="s">
        <v>10618</v>
      </c>
      <c r="D310" t="s">
        <v>118</v>
      </c>
      <c r="E310" t="s">
        <v>10619</v>
      </c>
      <c r="F310" s="5">
        <v>15410000</v>
      </c>
      <c r="G310" s="5">
        <v>15410000</v>
      </c>
      <c r="H310" s="4">
        <v>12370000</v>
      </c>
      <c r="I310" s="2">
        <f t="shared" si="36"/>
        <v>0.80272550292018174</v>
      </c>
      <c r="J310" s="4">
        <v>12370000</v>
      </c>
      <c r="K310" s="2">
        <f t="shared" si="37"/>
        <v>0.80272550292018174</v>
      </c>
      <c r="L310" t="s">
        <v>1045</v>
      </c>
      <c r="M310" t="s">
        <v>232</v>
      </c>
      <c r="N310" t="b">
        <f t="shared" si="38"/>
        <v>0</v>
      </c>
    </row>
    <row r="311" spans="1:14" x14ac:dyDescent="0.15">
      <c r="A311" t="s">
        <v>9961</v>
      </c>
      <c r="B311" t="s">
        <v>10063</v>
      </c>
      <c r="C311" t="s">
        <v>10620</v>
      </c>
      <c r="D311" t="s">
        <v>23</v>
      </c>
      <c r="E311" t="s">
        <v>10621</v>
      </c>
      <c r="F311" s="5" t="str">
        <f t="shared" ref="F311:F317" si="41">G311</f>
        <v>********</v>
      </c>
      <c r="G311" s="5" t="s">
        <v>145</v>
      </c>
      <c r="H311" t="s">
        <v>145</v>
      </c>
      <c r="I311" s="2" t="e">
        <f t="shared" si="36"/>
        <v>#VALUE!</v>
      </c>
      <c r="J311" s="4">
        <v>3815000</v>
      </c>
      <c r="K311" s="2" t="e">
        <f t="shared" si="37"/>
        <v>#VALUE!</v>
      </c>
      <c r="L311" t="s">
        <v>256</v>
      </c>
      <c r="M311" t="s">
        <v>80</v>
      </c>
      <c r="N311" t="b">
        <f t="shared" si="38"/>
        <v>0</v>
      </c>
    </row>
    <row r="312" spans="1:14" x14ac:dyDescent="0.15">
      <c r="A312" t="s">
        <v>9961</v>
      </c>
      <c r="B312" t="s">
        <v>10063</v>
      </c>
      <c r="C312" t="s">
        <v>10622</v>
      </c>
      <c r="D312" t="s">
        <v>23</v>
      </c>
      <c r="E312" t="s">
        <v>10623</v>
      </c>
      <c r="F312" s="5" t="str">
        <f t="shared" si="41"/>
        <v>********</v>
      </c>
      <c r="G312" s="5" t="s">
        <v>145</v>
      </c>
      <c r="H312" t="s">
        <v>145</v>
      </c>
      <c r="I312" s="2" t="e">
        <f t="shared" si="36"/>
        <v>#VALUE!</v>
      </c>
      <c r="J312" s="4">
        <v>10718000</v>
      </c>
      <c r="K312" s="2" t="e">
        <f t="shared" si="37"/>
        <v>#VALUE!</v>
      </c>
      <c r="L312" t="s">
        <v>1104</v>
      </c>
      <c r="M312" t="s">
        <v>80</v>
      </c>
      <c r="N312" t="b">
        <f t="shared" si="38"/>
        <v>0</v>
      </c>
    </row>
    <row r="313" spans="1:14" x14ac:dyDescent="0.15">
      <c r="A313" t="s">
        <v>9961</v>
      </c>
      <c r="B313" t="s">
        <v>10063</v>
      </c>
      <c r="C313" t="s">
        <v>10624</v>
      </c>
      <c r="D313" t="s">
        <v>23</v>
      </c>
      <c r="E313" t="s">
        <v>10625</v>
      </c>
      <c r="F313" s="5" t="str">
        <f t="shared" si="41"/>
        <v>********</v>
      </c>
      <c r="G313" s="5" t="s">
        <v>145</v>
      </c>
      <c r="H313" t="s">
        <v>145</v>
      </c>
      <c r="I313" s="2" t="e">
        <f t="shared" si="36"/>
        <v>#VALUE!</v>
      </c>
      <c r="J313" s="4">
        <v>12000000</v>
      </c>
      <c r="K313" s="2" t="e">
        <f t="shared" si="37"/>
        <v>#VALUE!</v>
      </c>
      <c r="L313" t="s">
        <v>633</v>
      </c>
      <c r="M313" t="s">
        <v>80</v>
      </c>
      <c r="N313" t="b">
        <f t="shared" si="38"/>
        <v>0</v>
      </c>
    </row>
    <row r="314" spans="1:14" x14ac:dyDescent="0.15">
      <c r="A314" t="s">
        <v>9961</v>
      </c>
      <c r="B314" t="s">
        <v>10063</v>
      </c>
      <c r="C314" t="s">
        <v>10626</v>
      </c>
      <c r="D314" t="s">
        <v>23</v>
      </c>
      <c r="E314" t="s">
        <v>4776</v>
      </c>
      <c r="F314" s="5" t="str">
        <f t="shared" si="41"/>
        <v>********</v>
      </c>
      <c r="G314" s="5" t="s">
        <v>145</v>
      </c>
      <c r="H314" t="s">
        <v>145</v>
      </c>
      <c r="I314" s="2" t="e">
        <f t="shared" si="36"/>
        <v>#VALUE!</v>
      </c>
      <c r="J314" s="4">
        <v>60000000</v>
      </c>
      <c r="K314" s="2" t="e">
        <f t="shared" si="37"/>
        <v>#VALUE!</v>
      </c>
      <c r="L314" t="s">
        <v>263</v>
      </c>
      <c r="M314" t="s">
        <v>80</v>
      </c>
      <c r="N314" t="b">
        <f t="shared" si="38"/>
        <v>0</v>
      </c>
    </row>
    <row r="315" spans="1:14" x14ac:dyDescent="0.15">
      <c r="A315" t="s">
        <v>9961</v>
      </c>
      <c r="B315" t="s">
        <v>10063</v>
      </c>
      <c r="C315" t="s">
        <v>10627</v>
      </c>
      <c r="D315" t="s">
        <v>23</v>
      </c>
      <c r="E315" t="s">
        <v>10628</v>
      </c>
      <c r="F315" s="5" t="str">
        <f t="shared" si="41"/>
        <v>********</v>
      </c>
      <c r="G315" s="5" t="s">
        <v>145</v>
      </c>
      <c r="H315" t="s">
        <v>145</v>
      </c>
      <c r="I315" s="2" t="e">
        <f t="shared" si="36"/>
        <v>#VALUE!</v>
      </c>
      <c r="J315" s="4">
        <v>16700000</v>
      </c>
      <c r="K315" s="2" t="e">
        <f t="shared" si="37"/>
        <v>#VALUE!</v>
      </c>
      <c r="L315" t="s">
        <v>1800</v>
      </c>
      <c r="M315" t="s">
        <v>80</v>
      </c>
      <c r="N315" t="b">
        <f t="shared" si="38"/>
        <v>0</v>
      </c>
    </row>
    <row r="316" spans="1:14" x14ac:dyDescent="0.15">
      <c r="A316" t="s">
        <v>9961</v>
      </c>
      <c r="B316" t="s">
        <v>10063</v>
      </c>
      <c r="C316" t="s">
        <v>10629</v>
      </c>
      <c r="D316" t="s">
        <v>23</v>
      </c>
      <c r="E316" t="s">
        <v>10630</v>
      </c>
      <c r="F316" s="5" t="str">
        <f t="shared" si="41"/>
        <v>********</v>
      </c>
      <c r="G316" s="5" t="s">
        <v>145</v>
      </c>
      <c r="H316" t="s">
        <v>145</v>
      </c>
      <c r="I316" s="2" t="e">
        <f t="shared" si="36"/>
        <v>#VALUE!</v>
      </c>
      <c r="J316" s="4">
        <v>8900000</v>
      </c>
      <c r="K316" s="2" t="e">
        <f t="shared" si="37"/>
        <v>#VALUE!</v>
      </c>
      <c r="L316" t="s">
        <v>903</v>
      </c>
      <c r="M316" t="s">
        <v>192</v>
      </c>
      <c r="N316" t="b">
        <f t="shared" si="38"/>
        <v>0</v>
      </c>
    </row>
    <row r="317" spans="1:14" x14ac:dyDescent="0.15">
      <c r="A317" t="s">
        <v>9961</v>
      </c>
      <c r="B317" t="s">
        <v>10051</v>
      </c>
      <c r="C317" t="s">
        <v>10631</v>
      </c>
      <c r="D317" t="s">
        <v>23</v>
      </c>
      <c r="E317" t="s">
        <v>10632</v>
      </c>
      <c r="F317" s="5" t="str">
        <f t="shared" si="41"/>
        <v>********</v>
      </c>
      <c r="G317" s="5" t="s">
        <v>145</v>
      </c>
      <c r="H317" t="s">
        <v>145</v>
      </c>
      <c r="I317" s="2" t="e">
        <f t="shared" si="36"/>
        <v>#VALUE!</v>
      </c>
      <c r="J317" s="4">
        <v>14200000</v>
      </c>
      <c r="K317" s="2" t="e">
        <f t="shared" si="37"/>
        <v>#VALUE!</v>
      </c>
      <c r="L317" t="s">
        <v>1078</v>
      </c>
      <c r="M317" t="s">
        <v>80</v>
      </c>
      <c r="N317" t="b">
        <f t="shared" si="38"/>
        <v>0</v>
      </c>
    </row>
    <row r="318" spans="1:14" x14ac:dyDescent="0.15">
      <c r="A318" t="s">
        <v>9961</v>
      </c>
      <c r="B318" t="s">
        <v>9976</v>
      </c>
      <c r="C318" t="s">
        <v>10633</v>
      </c>
      <c r="D318" t="s">
        <v>23</v>
      </c>
      <c r="E318" t="s">
        <v>10634</v>
      </c>
      <c r="F318" s="5">
        <v>5870000</v>
      </c>
      <c r="G318" s="5">
        <v>5870000</v>
      </c>
      <c r="H318" s="4">
        <v>4659000</v>
      </c>
      <c r="I318" s="2">
        <f t="shared" si="36"/>
        <v>0.79369676320272575</v>
      </c>
      <c r="J318" s="4">
        <v>4659000</v>
      </c>
      <c r="K318" s="2">
        <f t="shared" si="37"/>
        <v>0.79369676320272575</v>
      </c>
      <c r="L318" t="s">
        <v>10054</v>
      </c>
      <c r="M318" t="s">
        <v>165</v>
      </c>
      <c r="N318" t="b">
        <f t="shared" si="38"/>
        <v>0</v>
      </c>
    </row>
    <row r="319" spans="1:14" x14ac:dyDescent="0.15">
      <c r="A319" t="s">
        <v>9961</v>
      </c>
      <c r="B319" t="s">
        <v>9976</v>
      </c>
      <c r="C319" t="s">
        <v>10635</v>
      </c>
      <c r="D319" t="s">
        <v>23</v>
      </c>
      <c r="E319" t="s">
        <v>10636</v>
      </c>
      <c r="F319" s="5">
        <v>3860000</v>
      </c>
      <c r="G319" s="5">
        <v>3860000</v>
      </c>
      <c r="H319" s="4">
        <v>3099000</v>
      </c>
      <c r="I319" s="2">
        <f t="shared" si="36"/>
        <v>0.8028497409326425</v>
      </c>
      <c r="J319" s="4">
        <v>3600000</v>
      </c>
      <c r="K319" s="2">
        <f t="shared" si="37"/>
        <v>0.93264248704663211</v>
      </c>
      <c r="L319" t="s">
        <v>1783</v>
      </c>
      <c r="M319" t="s">
        <v>432</v>
      </c>
      <c r="N319" t="b">
        <f t="shared" si="38"/>
        <v>0</v>
      </c>
    </row>
    <row r="320" spans="1:14" x14ac:dyDescent="0.15">
      <c r="A320" t="s">
        <v>9961</v>
      </c>
      <c r="B320" t="s">
        <v>9976</v>
      </c>
      <c r="C320" t="s">
        <v>10637</v>
      </c>
      <c r="D320" t="s">
        <v>23</v>
      </c>
      <c r="E320" t="s">
        <v>10638</v>
      </c>
      <c r="F320" s="5">
        <v>6020000</v>
      </c>
      <c r="G320" s="5">
        <v>6020000</v>
      </c>
      <c r="H320" s="4">
        <v>4776000</v>
      </c>
      <c r="I320" s="2">
        <f t="shared" si="36"/>
        <v>0.79335548172757475</v>
      </c>
      <c r="J320" s="4">
        <v>5600000</v>
      </c>
      <c r="K320" s="2">
        <f t="shared" si="37"/>
        <v>0.93023255813953487</v>
      </c>
      <c r="L320" t="s">
        <v>10639</v>
      </c>
      <c r="M320" t="s">
        <v>165</v>
      </c>
      <c r="N320" t="b">
        <f t="shared" si="38"/>
        <v>0</v>
      </c>
    </row>
    <row r="321" spans="1:14" x14ac:dyDescent="0.15">
      <c r="A321" t="s">
        <v>9961</v>
      </c>
      <c r="B321" t="s">
        <v>9976</v>
      </c>
      <c r="C321" t="s">
        <v>10640</v>
      </c>
      <c r="D321" t="s">
        <v>23</v>
      </c>
      <c r="E321" t="s">
        <v>10641</v>
      </c>
      <c r="F321" s="5">
        <v>3410000</v>
      </c>
      <c r="G321" s="5">
        <v>3410000</v>
      </c>
      <c r="H321" s="4">
        <v>2738000</v>
      </c>
      <c r="I321" s="2">
        <f t="shared" si="36"/>
        <v>0.80293255131964814</v>
      </c>
      <c r="J321" s="4">
        <v>2738000</v>
      </c>
      <c r="K321" s="2">
        <f t="shared" si="37"/>
        <v>0.80293255131964814</v>
      </c>
      <c r="L321" t="s">
        <v>10068</v>
      </c>
      <c r="M321" t="s">
        <v>432</v>
      </c>
      <c r="N321" t="b">
        <f t="shared" si="38"/>
        <v>0</v>
      </c>
    </row>
    <row r="322" spans="1:14" x14ac:dyDescent="0.15">
      <c r="A322" t="s">
        <v>9961</v>
      </c>
      <c r="B322" t="s">
        <v>9976</v>
      </c>
      <c r="C322" t="s">
        <v>10642</v>
      </c>
      <c r="D322" t="s">
        <v>23</v>
      </c>
      <c r="E322" t="s">
        <v>10643</v>
      </c>
      <c r="F322" s="5">
        <v>8750000</v>
      </c>
      <c r="G322" s="5">
        <v>8750000</v>
      </c>
      <c r="H322" s="4">
        <v>7020000</v>
      </c>
      <c r="I322" s="2">
        <f t="shared" si="36"/>
        <v>0.80228571428571427</v>
      </c>
      <c r="J322" s="4">
        <v>8300000</v>
      </c>
      <c r="K322" s="2">
        <f t="shared" si="37"/>
        <v>0.94857142857142862</v>
      </c>
      <c r="L322" t="s">
        <v>10644</v>
      </c>
      <c r="M322" t="s">
        <v>165</v>
      </c>
      <c r="N322" t="b">
        <f t="shared" si="38"/>
        <v>0</v>
      </c>
    </row>
    <row r="323" spans="1:14" x14ac:dyDescent="0.15">
      <c r="A323" t="s">
        <v>9961</v>
      </c>
      <c r="B323" t="s">
        <v>9967</v>
      </c>
      <c r="C323" t="s">
        <v>10645</v>
      </c>
      <c r="D323" t="s">
        <v>23</v>
      </c>
      <c r="E323" t="s">
        <v>10646</v>
      </c>
      <c r="F323" s="5">
        <v>2470000</v>
      </c>
      <c r="G323" s="5">
        <v>2470000</v>
      </c>
      <c r="H323" s="4">
        <v>1983000</v>
      </c>
      <c r="I323" s="2">
        <f t="shared" si="36"/>
        <v>0.80283400809716599</v>
      </c>
      <c r="J323" s="4">
        <v>2300000</v>
      </c>
      <c r="K323" s="2">
        <f t="shared" si="37"/>
        <v>0.93117408906882593</v>
      </c>
      <c r="L323" t="s">
        <v>10100</v>
      </c>
      <c r="M323" t="s">
        <v>165</v>
      </c>
      <c r="N323" t="b">
        <f t="shared" si="38"/>
        <v>0</v>
      </c>
    </row>
    <row r="324" spans="1:14" x14ac:dyDescent="0.15">
      <c r="A324" t="s">
        <v>9961</v>
      </c>
      <c r="B324" t="s">
        <v>9967</v>
      </c>
      <c r="C324" t="s">
        <v>10647</v>
      </c>
      <c r="D324" t="s">
        <v>23</v>
      </c>
      <c r="E324" t="s">
        <v>10648</v>
      </c>
      <c r="F324" s="5">
        <v>3280000</v>
      </c>
      <c r="G324" s="5">
        <v>3280000</v>
      </c>
      <c r="H324" s="4">
        <v>2632000</v>
      </c>
      <c r="I324" s="2">
        <f t="shared" ref="I324:I387" si="42">H324/G324</f>
        <v>0.80243902439024395</v>
      </c>
      <c r="J324" s="4">
        <v>3070000</v>
      </c>
      <c r="K324" s="2">
        <f t="shared" ref="K324:K387" si="43">J324/G324</f>
        <v>0.93597560975609762</v>
      </c>
      <c r="L324" t="s">
        <v>687</v>
      </c>
      <c r="M324" t="s">
        <v>165</v>
      </c>
      <c r="N324" t="b">
        <f t="shared" ref="N324:N387" si="44">F324&lt;&gt;G324</f>
        <v>0</v>
      </c>
    </row>
    <row r="325" spans="1:14" x14ac:dyDescent="0.15">
      <c r="A325" t="s">
        <v>9961</v>
      </c>
      <c r="B325" t="s">
        <v>9967</v>
      </c>
      <c r="C325" t="s">
        <v>10649</v>
      </c>
      <c r="D325" t="s">
        <v>23</v>
      </c>
      <c r="E325" t="s">
        <v>10650</v>
      </c>
      <c r="F325" s="5">
        <v>5170000</v>
      </c>
      <c r="G325" s="5">
        <v>5170000</v>
      </c>
      <c r="H325" s="4">
        <v>4081000</v>
      </c>
      <c r="I325" s="2">
        <f t="shared" si="42"/>
        <v>0.78936170212765955</v>
      </c>
      <c r="J325" s="4">
        <v>4860000</v>
      </c>
      <c r="K325" s="2">
        <f t="shared" si="43"/>
        <v>0.94003868471953578</v>
      </c>
      <c r="L325" t="s">
        <v>9984</v>
      </c>
      <c r="M325" t="s">
        <v>165</v>
      </c>
      <c r="N325" t="b">
        <f t="shared" si="44"/>
        <v>0</v>
      </c>
    </row>
    <row r="326" spans="1:14" x14ac:dyDescent="0.15">
      <c r="A326" t="s">
        <v>9961</v>
      </c>
      <c r="B326" t="s">
        <v>9967</v>
      </c>
      <c r="C326" t="s">
        <v>10651</v>
      </c>
      <c r="D326" t="s">
        <v>23</v>
      </c>
      <c r="E326" t="s">
        <v>10652</v>
      </c>
      <c r="F326" s="5">
        <v>4080000</v>
      </c>
      <c r="G326" s="5">
        <v>4080000</v>
      </c>
      <c r="H326" s="4">
        <v>3267000</v>
      </c>
      <c r="I326" s="2">
        <f t="shared" si="42"/>
        <v>0.8007352941176471</v>
      </c>
      <c r="J326" s="4">
        <v>3870000</v>
      </c>
      <c r="K326" s="2">
        <f t="shared" si="43"/>
        <v>0.94852941176470584</v>
      </c>
      <c r="L326" t="s">
        <v>10068</v>
      </c>
      <c r="M326" t="s">
        <v>165</v>
      </c>
      <c r="N326" t="b">
        <f t="shared" si="44"/>
        <v>0</v>
      </c>
    </row>
    <row r="327" spans="1:14" x14ac:dyDescent="0.15">
      <c r="A327" t="s">
        <v>9961</v>
      </c>
      <c r="B327" t="s">
        <v>9967</v>
      </c>
      <c r="C327" t="s">
        <v>10653</v>
      </c>
      <c r="D327" t="s">
        <v>23</v>
      </c>
      <c r="E327" t="s">
        <v>10654</v>
      </c>
      <c r="F327" s="5">
        <v>5320000</v>
      </c>
      <c r="G327" s="5">
        <v>5320000</v>
      </c>
      <c r="H327" s="4">
        <v>4270000</v>
      </c>
      <c r="I327" s="2">
        <f t="shared" si="42"/>
        <v>0.80263157894736847</v>
      </c>
      <c r="J327" s="4">
        <v>5040000</v>
      </c>
      <c r="K327" s="2">
        <f t="shared" si="43"/>
        <v>0.94736842105263153</v>
      </c>
      <c r="L327" t="s">
        <v>1170</v>
      </c>
      <c r="M327" t="s">
        <v>165</v>
      </c>
      <c r="N327" t="b">
        <f t="shared" si="44"/>
        <v>0</v>
      </c>
    </row>
    <row r="328" spans="1:14" x14ac:dyDescent="0.15">
      <c r="A328" t="s">
        <v>9961</v>
      </c>
      <c r="B328" t="s">
        <v>9967</v>
      </c>
      <c r="C328" t="s">
        <v>10655</v>
      </c>
      <c r="D328" t="s">
        <v>23</v>
      </c>
      <c r="E328" t="s">
        <v>10656</v>
      </c>
      <c r="F328" s="5">
        <v>7730000</v>
      </c>
      <c r="G328" s="5">
        <v>7730000</v>
      </c>
      <c r="H328" s="4">
        <v>6205000</v>
      </c>
      <c r="I328" s="2">
        <f t="shared" si="42"/>
        <v>0.80271668822768438</v>
      </c>
      <c r="J328" s="4">
        <v>7700000</v>
      </c>
      <c r="K328" s="2">
        <f t="shared" si="43"/>
        <v>0.99611901681759374</v>
      </c>
      <c r="L328" t="s">
        <v>4042</v>
      </c>
      <c r="M328" t="s">
        <v>165</v>
      </c>
      <c r="N328" t="b">
        <f t="shared" si="44"/>
        <v>0</v>
      </c>
    </row>
    <row r="329" spans="1:14" x14ac:dyDescent="0.15">
      <c r="A329" t="s">
        <v>9961</v>
      </c>
      <c r="B329" t="s">
        <v>9964</v>
      </c>
      <c r="C329" t="s">
        <v>10657</v>
      </c>
      <c r="D329" t="s">
        <v>23</v>
      </c>
      <c r="E329" t="s">
        <v>10658</v>
      </c>
      <c r="F329" s="5" t="str">
        <f t="shared" ref="F329:F330" si="45">G329</f>
        <v>********</v>
      </c>
      <c r="G329" s="5" t="s">
        <v>145</v>
      </c>
      <c r="H329" t="s">
        <v>145</v>
      </c>
      <c r="I329" s="2" t="e">
        <f t="shared" si="42"/>
        <v>#VALUE!</v>
      </c>
      <c r="J329" s="4">
        <v>4200000</v>
      </c>
      <c r="K329" s="2" t="e">
        <f t="shared" si="43"/>
        <v>#VALUE!</v>
      </c>
      <c r="L329" t="s">
        <v>608</v>
      </c>
      <c r="M329" t="s">
        <v>432</v>
      </c>
      <c r="N329" t="b">
        <f t="shared" si="44"/>
        <v>0</v>
      </c>
    </row>
    <row r="330" spans="1:14" x14ac:dyDescent="0.15">
      <c r="A330" t="s">
        <v>9961</v>
      </c>
      <c r="B330" t="s">
        <v>10257</v>
      </c>
      <c r="C330" t="s">
        <v>10659</v>
      </c>
      <c r="D330" t="s">
        <v>23</v>
      </c>
      <c r="E330" t="s">
        <v>10660</v>
      </c>
      <c r="F330" s="5" t="str">
        <f t="shared" si="45"/>
        <v>********</v>
      </c>
      <c r="G330" s="5" t="s">
        <v>145</v>
      </c>
      <c r="H330" s="4">
        <v>3555000</v>
      </c>
      <c r="I330" s="2" t="e">
        <f t="shared" si="42"/>
        <v>#VALUE!</v>
      </c>
      <c r="J330" s="4">
        <v>4200000</v>
      </c>
      <c r="K330" s="2" t="e">
        <f t="shared" si="43"/>
        <v>#VALUE!</v>
      </c>
      <c r="L330" t="s">
        <v>215</v>
      </c>
      <c r="M330" t="s">
        <v>432</v>
      </c>
      <c r="N330" t="b">
        <f t="shared" si="44"/>
        <v>0</v>
      </c>
    </row>
    <row r="331" spans="1:14" x14ac:dyDescent="0.15">
      <c r="A331" t="s">
        <v>9961</v>
      </c>
      <c r="B331" t="s">
        <v>9976</v>
      </c>
      <c r="C331" t="s">
        <v>10661</v>
      </c>
      <c r="D331" t="s">
        <v>118</v>
      </c>
      <c r="E331" t="s">
        <v>10662</v>
      </c>
      <c r="F331" s="5">
        <v>17800000</v>
      </c>
      <c r="G331" s="5">
        <v>17800000</v>
      </c>
      <c r="H331" s="4">
        <v>14282000</v>
      </c>
      <c r="I331" s="2">
        <f t="shared" si="42"/>
        <v>0.80235955056179775</v>
      </c>
      <c r="J331" s="4">
        <v>17000000</v>
      </c>
      <c r="K331" s="2">
        <f t="shared" si="43"/>
        <v>0.9550561797752809</v>
      </c>
      <c r="L331" t="s">
        <v>4797</v>
      </c>
      <c r="M331" t="s">
        <v>174</v>
      </c>
      <c r="N331" t="b">
        <f t="shared" si="44"/>
        <v>0</v>
      </c>
    </row>
    <row r="332" spans="1:14" x14ac:dyDescent="0.15">
      <c r="A332" t="s">
        <v>9961</v>
      </c>
      <c r="B332" t="s">
        <v>10304</v>
      </c>
      <c r="C332" t="s">
        <v>10663</v>
      </c>
      <c r="D332" t="s">
        <v>23</v>
      </c>
      <c r="E332" t="s">
        <v>10664</v>
      </c>
      <c r="F332" s="5" t="str">
        <f>G332</f>
        <v>********</v>
      </c>
      <c r="G332" s="5" t="s">
        <v>145</v>
      </c>
      <c r="H332" t="s">
        <v>145</v>
      </c>
      <c r="I332" s="2" t="e">
        <f t="shared" si="42"/>
        <v>#VALUE!</v>
      </c>
      <c r="J332" s="4">
        <v>8700000</v>
      </c>
      <c r="K332" s="2" t="e">
        <f t="shared" si="43"/>
        <v>#VALUE!</v>
      </c>
      <c r="L332" t="s">
        <v>1236</v>
      </c>
      <c r="M332" t="s">
        <v>80</v>
      </c>
      <c r="N332" t="b">
        <f t="shared" si="44"/>
        <v>0</v>
      </c>
    </row>
    <row r="333" spans="1:14" x14ac:dyDescent="0.15">
      <c r="A333" t="s">
        <v>9961</v>
      </c>
      <c r="B333" t="s">
        <v>9976</v>
      </c>
      <c r="C333" t="s">
        <v>10665</v>
      </c>
      <c r="D333" t="s">
        <v>118</v>
      </c>
      <c r="E333" t="s">
        <v>10666</v>
      </c>
      <c r="F333" s="5">
        <v>26900000</v>
      </c>
      <c r="G333" s="5">
        <v>26900000</v>
      </c>
      <c r="H333" s="4">
        <v>21583000</v>
      </c>
      <c r="I333" s="2">
        <f t="shared" si="42"/>
        <v>0.80234200743494422</v>
      </c>
      <c r="J333" s="4">
        <v>22000000</v>
      </c>
      <c r="K333" s="2">
        <f t="shared" si="43"/>
        <v>0.81784386617100369</v>
      </c>
      <c r="L333" t="s">
        <v>4797</v>
      </c>
      <c r="M333" t="s">
        <v>1015</v>
      </c>
      <c r="N333" t="b">
        <f t="shared" si="44"/>
        <v>0</v>
      </c>
    </row>
    <row r="334" spans="1:14" x14ac:dyDescent="0.15">
      <c r="A334" t="s">
        <v>9961</v>
      </c>
      <c r="B334" t="s">
        <v>10027</v>
      </c>
      <c r="C334" t="s">
        <v>10667</v>
      </c>
      <c r="D334" t="s">
        <v>23</v>
      </c>
      <c r="E334" t="s">
        <v>10668</v>
      </c>
      <c r="F334" s="5" t="str">
        <f t="shared" ref="F334:F348" si="46">G334</f>
        <v>********</v>
      </c>
      <c r="G334" s="5" t="s">
        <v>145</v>
      </c>
      <c r="H334" t="s">
        <v>145</v>
      </c>
      <c r="I334" s="2" t="e">
        <f t="shared" si="42"/>
        <v>#VALUE!</v>
      </c>
      <c r="J334" s="4">
        <v>4200000</v>
      </c>
      <c r="K334" s="2" t="e">
        <f t="shared" si="43"/>
        <v>#VALUE!</v>
      </c>
      <c r="L334" t="s">
        <v>1541</v>
      </c>
      <c r="M334" t="s">
        <v>192</v>
      </c>
      <c r="N334" t="b">
        <f t="shared" si="44"/>
        <v>0</v>
      </c>
    </row>
    <row r="335" spans="1:14" x14ac:dyDescent="0.15">
      <c r="A335" t="s">
        <v>9961</v>
      </c>
      <c r="B335" t="s">
        <v>10027</v>
      </c>
      <c r="C335" t="s">
        <v>10669</v>
      </c>
      <c r="D335" t="s">
        <v>23</v>
      </c>
      <c r="E335" t="s">
        <v>10670</v>
      </c>
      <c r="F335" s="5" t="str">
        <f t="shared" si="46"/>
        <v>********</v>
      </c>
      <c r="G335" s="5" t="s">
        <v>145</v>
      </c>
      <c r="H335" t="s">
        <v>145</v>
      </c>
      <c r="I335" s="2" t="e">
        <f t="shared" si="42"/>
        <v>#VALUE!</v>
      </c>
      <c r="J335" s="4">
        <v>4300000</v>
      </c>
      <c r="K335" s="2" t="e">
        <f t="shared" si="43"/>
        <v>#VALUE!</v>
      </c>
      <c r="L335" t="s">
        <v>1458</v>
      </c>
      <c r="M335" t="s">
        <v>192</v>
      </c>
      <c r="N335" t="b">
        <f t="shared" si="44"/>
        <v>0</v>
      </c>
    </row>
    <row r="336" spans="1:14" x14ac:dyDescent="0.15">
      <c r="A336" t="s">
        <v>9961</v>
      </c>
      <c r="B336" t="s">
        <v>10027</v>
      </c>
      <c r="C336" t="s">
        <v>10671</v>
      </c>
      <c r="D336" t="s">
        <v>23</v>
      </c>
      <c r="E336" t="s">
        <v>10672</v>
      </c>
      <c r="F336" s="5" t="str">
        <f t="shared" si="46"/>
        <v>********</v>
      </c>
      <c r="G336" s="5" t="s">
        <v>145</v>
      </c>
      <c r="H336" t="s">
        <v>145</v>
      </c>
      <c r="I336" s="2" t="e">
        <f t="shared" si="42"/>
        <v>#VALUE!</v>
      </c>
      <c r="J336" s="4">
        <v>6565000</v>
      </c>
      <c r="K336" s="2" t="e">
        <f t="shared" si="43"/>
        <v>#VALUE!</v>
      </c>
      <c r="L336" t="s">
        <v>263</v>
      </c>
      <c r="M336" t="s">
        <v>80</v>
      </c>
      <c r="N336" t="b">
        <f t="shared" si="44"/>
        <v>0</v>
      </c>
    </row>
    <row r="337" spans="1:14" x14ac:dyDescent="0.15">
      <c r="A337" t="s">
        <v>9961</v>
      </c>
      <c r="B337" t="s">
        <v>10675</v>
      </c>
      <c r="C337" t="s">
        <v>10673</v>
      </c>
      <c r="D337" t="s">
        <v>23</v>
      </c>
      <c r="E337" t="s">
        <v>10674</v>
      </c>
      <c r="F337" s="5" t="str">
        <f t="shared" si="46"/>
        <v>********</v>
      </c>
      <c r="G337" s="5" t="s">
        <v>145</v>
      </c>
      <c r="H337" t="s">
        <v>145</v>
      </c>
      <c r="I337" s="2" t="e">
        <f t="shared" si="42"/>
        <v>#VALUE!</v>
      </c>
      <c r="J337" s="4">
        <v>6958000</v>
      </c>
      <c r="K337" s="2" t="e">
        <f t="shared" si="43"/>
        <v>#VALUE!</v>
      </c>
      <c r="L337" t="s">
        <v>173</v>
      </c>
      <c r="M337" t="s">
        <v>80</v>
      </c>
      <c r="N337" t="b">
        <f t="shared" si="44"/>
        <v>0</v>
      </c>
    </row>
    <row r="338" spans="1:14" x14ac:dyDescent="0.15">
      <c r="A338" t="s">
        <v>9961</v>
      </c>
      <c r="B338" t="s">
        <v>10021</v>
      </c>
      <c r="C338" t="s">
        <v>10676</v>
      </c>
      <c r="D338" t="s">
        <v>23</v>
      </c>
      <c r="E338" t="s">
        <v>10677</v>
      </c>
      <c r="F338" s="5" t="str">
        <f t="shared" si="46"/>
        <v>********</v>
      </c>
      <c r="G338" s="5" t="s">
        <v>145</v>
      </c>
      <c r="H338" t="s">
        <v>145</v>
      </c>
      <c r="I338" s="2" t="e">
        <f t="shared" si="42"/>
        <v>#VALUE!</v>
      </c>
      <c r="J338" s="4">
        <v>4250000</v>
      </c>
      <c r="K338" s="2" t="e">
        <f t="shared" si="43"/>
        <v>#VALUE!</v>
      </c>
      <c r="L338" t="s">
        <v>215</v>
      </c>
      <c r="M338" t="s">
        <v>432</v>
      </c>
      <c r="N338" t="b">
        <f t="shared" si="44"/>
        <v>0</v>
      </c>
    </row>
    <row r="339" spans="1:14" x14ac:dyDescent="0.15">
      <c r="A339" t="s">
        <v>9961</v>
      </c>
      <c r="B339" t="s">
        <v>10141</v>
      </c>
      <c r="C339" t="s">
        <v>10678</v>
      </c>
      <c r="D339" t="s">
        <v>23</v>
      </c>
      <c r="E339" t="s">
        <v>10679</v>
      </c>
      <c r="F339" s="5" t="str">
        <f t="shared" si="46"/>
        <v>********</v>
      </c>
      <c r="G339" s="5" t="s">
        <v>145</v>
      </c>
      <c r="H339" t="s">
        <v>145</v>
      </c>
      <c r="I339" s="2" t="e">
        <f t="shared" si="42"/>
        <v>#VALUE!</v>
      </c>
      <c r="J339" s="4">
        <v>15300000</v>
      </c>
      <c r="K339" s="2" t="e">
        <f t="shared" si="43"/>
        <v>#VALUE!</v>
      </c>
      <c r="L339" t="s">
        <v>903</v>
      </c>
      <c r="M339" t="s">
        <v>80</v>
      </c>
      <c r="N339" t="b">
        <f t="shared" si="44"/>
        <v>0</v>
      </c>
    </row>
    <row r="340" spans="1:14" x14ac:dyDescent="0.15">
      <c r="A340" t="s">
        <v>9961</v>
      </c>
      <c r="B340" t="s">
        <v>10150</v>
      </c>
      <c r="C340" t="s">
        <v>10680</v>
      </c>
      <c r="D340" t="s">
        <v>23</v>
      </c>
      <c r="E340" t="s">
        <v>10681</v>
      </c>
      <c r="F340" s="5" t="str">
        <f t="shared" si="46"/>
        <v>********</v>
      </c>
      <c r="G340" s="5" t="s">
        <v>145</v>
      </c>
      <c r="H340" t="s">
        <v>145</v>
      </c>
      <c r="I340" s="2" t="e">
        <f t="shared" si="42"/>
        <v>#VALUE!</v>
      </c>
      <c r="J340" s="4">
        <v>17133000</v>
      </c>
      <c r="K340" s="2" t="e">
        <f t="shared" si="43"/>
        <v>#VALUE!</v>
      </c>
      <c r="L340" t="s">
        <v>1541</v>
      </c>
      <c r="M340" t="s">
        <v>80</v>
      </c>
      <c r="N340" t="b">
        <f t="shared" si="44"/>
        <v>0</v>
      </c>
    </row>
    <row r="341" spans="1:14" x14ac:dyDescent="0.15">
      <c r="A341" t="s">
        <v>9961</v>
      </c>
      <c r="B341" t="s">
        <v>9964</v>
      </c>
      <c r="C341" t="s">
        <v>10682</v>
      </c>
      <c r="D341" t="s">
        <v>23</v>
      </c>
      <c r="E341" t="s">
        <v>10683</v>
      </c>
      <c r="F341" s="5" t="str">
        <f t="shared" si="46"/>
        <v>********</v>
      </c>
      <c r="G341" s="5" t="s">
        <v>145</v>
      </c>
      <c r="H341" t="s">
        <v>145</v>
      </c>
      <c r="I341" s="2" t="e">
        <f t="shared" si="42"/>
        <v>#VALUE!</v>
      </c>
      <c r="J341" s="4">
        <v>450000</v>
      </c>
      <c r="K341" s="2" t="e">
        <f t="shared" si="43"/>
        <v>#VALUE!</v>
      </c>
      <c r="L341" t="s">
        <v>5186</v>
      </c>
      <c r="M341" t="s">
        <v>192</v>
      </c>
      <c r="N341" t="b">
        <f t="shared" si="44"/>
        <v>0</v>
      </c>
    </row>
    <row r="342" spans="1:14" x14ac:dyDescent="0.15">
      <c r="A342" t="s">
        <v>9961</v>
      </c>
      <c r="B342" t="s">
        <v>9964</v>
      </c>
      <c r="C342" t="s">
        <v>10684</v>
      </c>
      <c r="D342" t="s">
        <v>23</v>
      </c>
      <c r="E342" t="s">
        <v>10685</v>
      </c>
      <c r="F342" s="5" t="str">
        <f t="shared" si="46"/>
        <v>********</v>
      </c>
      <c r="G342" s="5" t="s">
        <v>145</v>
      </c>
      <c r="H342" t="s">
        <v>145</v>
      </c>
      <c r="I342" s="2" t="e">
        <f t="shared" si="42"/>
        <v>#VALUE!</v>
      </c>
      <c r="J342" s="4">
        <v>6311000</v>
      </c>
      <c r="K342" s="2" t="e">
        <f t="shared" si="43"/>
        <v>#VALUE!</v>
      </c>
      <c r="L342" t="s">
        <v>239</v>
      </c>
      <c r="M342" t="s">
        <v>192</v>
      </c>
      <c r="N342" t="b">
        <f t="shared" si="44"/>
        <v>0</v>
      </c>
    </row>
    <row r="343" spans="1:14" x14ac:dyDescent="0.15">
      <c r="A343" t="s">
        <v>9961</v>
      </c>
      <c r="B343" t="s">
        <v>10150</v>
      </c>
      <c r="C343" t="s">
        <v>10686</v>
      </c>
      <c r="D343" t="s">
        <v>23</v>
      </c>
      <c r="E343" t="s">
        <v>10687</v>
      </c>
      <c r="F343" s="5" t="str">
        <f t="shared" si="46"/>
        <v>********</v>
      </c>
      <c r="G343" s="5" t="s">
        <v>145</v>
      </c>
      <c r="H343" t="s">
        <v>145</v>
      </c>
      <c r="I343" s="2" t="e">
        <f t="shared" si="42"/>
        <v>#VALUE!</v>
      </c>
      <c r="J343" s="4">
        <v>16400000</v>
      </c>
      <c r="K343" s="2" t="e">
        <f t="shared" si="43"/>
        <v>#VALUE!</v>
      </c>
      <c r="L343" t="s">
        <v>1158</v>
      </c>
      <c r="M343" t="s">
        <v>80</v>
      </c>
      <c r="N343" t="b">
        <f t="shared" si="44"/>
        <v>0</v>
      </c>
    </row>
    <row r="344" spans="1:14" x14ac:dyDescent="0.15">
      <c r="A344" t="s">
        <v>9961</v>
      </c>
      <c r="B344" t="s">
        <v>10150</v>
      </c>
      <c r="C344" t="s">
        <v>10688</v>
      </c>
      <c r="D344" t="s">
        <v>23</v>
      </c>
      <c r="E344" t="s">
        <v>10689</v>
      </c>
      <c r="F344" s="5" t="str">
        <f t="shared" si="46"/>
        <v>********</v>
      </c>
      <c r="G344" s="5" t="s">
        <v>145</v>
      </c>
      <c r="H344" t="s">
        <v>145</v>
      </c>
      <c r="I344" s="2" t="e">
        <f t="shared" si="42"/>
        <v>#VALUE!</v>
      </c>
      <c r="J344" s="4">
        <v>14536000</v>
      </c>
      <c r="K344" s="2" t="e">
        <f t="shared" si="43"/>
        <v>#VALUE!</v>
      </c>
      <c r="L344" t="s">
        <v>64</v>
      </c>
      <c r="M344" t="s">
        <v>80</v>
      </c>
      <c r="N344" t="b">
        <f t="shared" si="44"/>
        <v>0</v>
      </c>
    </row>
    <row r="345" spans="1:14" x14ac:dyDescent="0.15">
      <c r="A345" t="s">
        <v>9961</v>
      </c>
      <c r="B345" t="s">
        <v>10150</v>
      </c>
      <c r="C345" t="s">
        <v>10690</v>
      </c>
      <c r="D345" t="s">
        <v>23</v>
      </c>
      <c r="E345" t="s">
        <v>10691</v>
      </c>
      <c r="F345" s="5" t="str">
        <f t="shared" si="46"/>
        <v>********</v>
      </c>
      <c r="G345" s="5" t="s">
        <v>145</v>
      </c>
      <c r="H345" t="s">
        <v>145</v>
      </c>
      <c r="I345" s="2" t="e">
        <f t="shared" si="42"/>
        <v>#VALUE!</v>
      </c>
      <c r="J345" s="4">
        <v>16480000</v>
      </c>
      <c r="K345" s="2" t="e">
        <f t="shared" si="43"/>
        <v>#VALUE!</v>
      </c>
      <c r="L345" t="s">
        <v>263</v>
      </c>
      <c r="M345" t="s">
        <v>80</v>
      </c>
      <c r="N345" t="b">
        <f t="shared" si="44"/>
        <v>0</v>
      </c>
    </row>
    <row r="346" spans="1:14" x14ac:dyDescent="0.15">
      <c r="A346" t="s">
        <v>9961</v>
      </c>
      <c r="B346" t="s">
        <v>9964</v>
      </c>
      <c r="C346" t="s">
        <v>10692</v>
      </c>
      <c r="D346" t="s">
        <v>23</v>
      </c>
      <c r="E346" t="s">
        <v>10693</v>
      </c>
      <c r="F346" s="5" t="str">
        <f t="shared" si="46"/>
        <v>********</v>
      </c>
      <c r="G346" s="5" t="s">
        <v>145</v>
      </c>
      <c r="H346" t="s">
        <v>145</v>
      </c>
      <c r="I346" s="2" t="e">
        <f t="shared" si="42"/>
        <v>#VALUE!</v>
      </c>
      <c r="J346" s="4">
        <v>24360000</v>
      </c>
      <c r="K346" s="2" t="e">
        <f t="shared" si="43"/>
        <v>#VALUE!</v>
      </c>
      <c r="L346" t="s">
        <v>332</v>
      </c>
      <c r="M346" t="s">
        <v>126</v>
      </c>
      <c r="N346" t="b">
        <f t="shared" si="44"/>
        <v>0</v>
      </c>
    </row>
    <row r="347" spans="1:14" x14ac:dyDescent="0.15">
      <c r="A347" t="s">
        <v>9961</v>
      </c>
      <c r="B347" t="s">
        <v>9964</v>
      </c>
      <c r="C347" t="s">
        <v>10694</v>
      </c>
      <c r="D347" t="s">
        <v>23</v>
      </c>
      <c r="E347" t="s">
        <v>10695</v>
      </c>
      <c r="F347" s="5">
        <f t="shared" si="46"/>
        <v>4040000</v>
      </c>
      <c r="G347" s="5">
        <v>4040000</v>
      </c>
      <c r="H347" t="s">
        <v>145</v>
      </c>
      <c r="I347" s="2" t="e">
        <f t="shared" si="42"/>
        <v>#VALUE!</v>
      </c>
      <c r="J347" s="4">
        <v>3900000</v>
      </c>
      <c r="K347" s="2">
        <f t="shared" si="43"/>
        <v>0.96534653465346532</v>
      </c>
      <c r="L347" t="s">
        <v>5186</v>
      </c>
      <c r="M347" t="s">
        <v>432</v>
      </c>
      <c r="N347" t="b">
        <f t="shared" si="44"/>
        <v>0</v>
      </c>
    </row>
    <row r="348" spans="1:14" x14ac:dyDescent="0.15">
      <c r="A348" t="s">
        <v>9961</v>
      </c>
      <c r="B348" t="s">
        <v>10150</v>
      </c>
      <c r="C348" t="s">
        <v>10696</v>
      </c>
      <c r="D348" t="s">
        <v>23</v>
      </c>
      <c r="E348" t="s">
        <v>10697</v>
      </c>
      <c r="F348" s="5" t="str">
        <f t="shared" si="46"/>
        <v>********</v>
      </c>
      <c r="G348" s="5" t="s">
        <v>145</v>
      </c>
      <c r="H348" t="s">
        <v>145</v>
      </c>
      <c r="I348" s="2" t="e">
        <f t="shared" si="42"/>
        <v>#VALUE!</v>
      </c>
      <c r="J348" s="4">
        <v>14653000</v>
      </c>
      <c r="K348" s="2" t="e">
        <f t="shared" si="43"/>
        <v>#VALUE!</v>
      </c>
      <c r="L348" t="s">
        <v>4816</v>
      </c>
      <c r="M348" t="s">
        <v>80</v>
      </c>
      <c r="N348" t="b">
        <f t="shared" si="44"/>
        <v>0</v>
      </c>
    </row>
    <row r="349" spans="1:14" x14ac:dyDescent="0.15">
      <c r="A349" t="s">
        <v>9961</v>
      </c>
      <c r="B349" t="s">
        <v>9987</v>
      </c>
      <c r="C349" t="s">
        <v>10698</v>
      </c>
      <c r="D349" t="s">
        <v>23</v>
      </c>
      <c r="E349" t="s">
        <v>10699</v>
      </c>
      <c r="F349" s="5" t="s">
        <v>145</v>
      </c>
      <c r="G349" s="5" t="s">
        <v>145</v>
      </c>
      <c r="H349" t="s">
        <v>145</v>
      </c>
      <c r="I349" s="2" t="e">
        <f t="shared" si="42"/>
        <v>#VALUE!</v>
      </c>
      <c r="J349" s="4">
        <v>3200000</v>
      </c>
      <c r="K349" s="2" t="e">
        <f t="shared" si="43"/>
        <v>#VALUE!</v>
      </c>
      <c r="L349" t="s">
        <v>9988</v>
      </c>
      <c r="M349" t="s">
        <v>192</v>
      </c>
      <c r="N349" t="b">
        <f t="shared" si="44"/>
        <v>0</v>
      </c>
    </row>
    <row r="350" spans="1:14" x14ac:dyDescent="0.15">
      <c r="A350" t="s">
        <v>9961</v>
      </c>
      <c r="B350" t="s">
        <v>10587</v>
      </c>
      <c r="C350" t="s">
        <v>10700</v>
      </c>
      <c r="D350" t="s">
        <v>23</v>
      </c>
      <c r="E350" t="s">
        <v>10701</v>
      </c>
      <c r="F350" s="5" t="str">
        <f>G350</f>
        <v>********</v>
      </c>
      <c r="G350" s="5" t="s">
        <v>145</v>
      </c>
      <c r="H350" t="s">
        <v>145</v>
      </c>
      <c r="I350" s="2" t="e">
        <f t="shared" si="42"/>
        <v>#VALUE!</v>
      </c>
      <c r="J350" s="4">
        <v>4890000</v>
      </c>
      <c r="K350" s="2" t="e">
        <f t="shared" si="43"/>
        <v>#VALUE!</v>
      </c>
      <c r="L350" t="s">
        <v>231</v>
      </c>
      <c r="M350" t="s">
        <v>80</v>
      </c>
      <c r="N350" t="b">
        <f t="shared" si="44"/>
        <v>0</v>
      </c>
    </row>
    <row r="351" spans="1:14" x14ac:dyDescent="0.15">
      <c r="A351" t="s">
        <v>9961</v>
      </c>
      <c r="B351" t="s">
        <v>9967</v>
      </c>
      <c r="C351" t="s">
        <v>10702</v>
      </c>
      <c r="D351" t="s">
        <v>118</v>
      </c>
      <c r="E351" t="s">
        <v>10703</v>
      </c>
      <c r="F351" s="5">
        <v>12580000</v>
      </c>
      <c r="G351" s="5">
        <v>12580000</v>
      </c>
      <c r="H351" s="4">
        <v>10103000</v>
      </c>
      <c r="I351" s="2">
        <f t="shared" si="42"/>
        <v>0.80310015898251197</v>
      </c>
      <c r="J351" s="4">
        <v>11300000</v>
      </c>
      <c r="K351" s="2">
        <f t="shared" si="43"/>
        <v>0.89825119236883944</v>
      </c>
      <c r="L351" t="s">
        <v>1541</v>
      </c>
      <c r="M351" t="s">
        <v>41</v>
      </c>
      <c r="N351" t="b">
        <f t="shared" si="44"/>
        <v>0</v>
      </c>
    </row>
    <row r="352" spans="1:14" x14ac:dyDescent="0.15">
      <c r="A352" t="s">
        <v>9961</v>
      </c>
      <c r="B352" t="s">
        <v>10051</v>
      </c>
      <c r="C352" t="s">
        <v>10704</v>
      </c>
      <c r="D352" t="s">
        <v>23</v>
      </c>
      <c r="E352" t="s">
        <v>10705</v>
      </c>
      <c r="F352" s="5" t="str">
        <f t="shared" ref="F352:F359" si="47">G352</f>
        <v>********</v>
      </c>
      <c r="G352" s="5" t="s">
        <v>145</v>
      </c>
      <c r="H352" t="s">
        <v>145</v>
      </c>
      <c r="I352" s="2" t="e">
        <f t="shared" si="42"/>
        <v>#VALUE!</v>
      </c>
      <c r="J352" s="4">
        <v>11000000</v>
      </c>
      <c r="K352" s="2" t="e">
        <f t="shared" si="43"/>
        <v>#VALUE!</v>
      </c>
      <c r="L352" t="s">
        <v>4797</v>
      </c>
      <c r="M352" t="s">
        <v>80</v>
      </c>
      <c r="N352" t="b">
        <f t="shared" si="44"/>
        <v>0</v>
      </c>
    </row>
    <row r="353" spans="1:14" x14ac:dyDescent="0.15">
      <c r="A353" t="s">
        <v>9961</v>
      </c>
      <c r="B353" t="s">
        <v>10257</v>
      </c>
      <c r="C353" t="s">
        <v>10706</v>
      </c>
      <c r="D353" t="s">
        <v>23</v>
      </c>
      <c r="E353" t="s">
        <v>10707</v>
      </c>
      <c r="F353" s="5" t="str">
        <f t="shared" si="47"/>
        <v>********</v>
      </c>
      <c r="G353" s="5" t="s">
        <v>145</v>
      </c>
      <c r="H353" s="4">
        <v>15135000</v>
      </c>
      <c r="I353" s="2" t="e">
        <f t="shared" si="42"/>
        <v>#VALUE!</v>
      </c>
      <c r="J353" s="4">
        <v>17998000</v>
      </c>
      <c r="K353" s="2" t="e">
        <f t="shared" si="43"/>
        <v>#VALUE!</v>
      </c>
      <c r="L353" t="s">
        <v>298</v>
      </c>
      <c r="M353" t="s">
        <v>192</v>
      </c>
      <c r="N353" t="b">
        <f t="shared" si="44"/>
        <v>0</v>
      </c>
    </row>
    <row r="354" spans="1:14" x14ac:dyDescent="0.15">
      <c r="A354" t="s">
        <v>9961</v>
      </c>
      <c r="B354" t="s">
        <v>10257</v>
      </c>
      <c r="C354" t="s">
        <v>10708</v>
      </c>
      <c r="D354" t="s">
        <v>23</v>
      </c>
      <c r="E354" t="s">
        <v>10709</v>
      </c>
      <c r="F354" s="5" t="str">
        <f t="shared" si="47"/>
        <v>********</v>
      </c>
      <c r="G354" s="5" t="s">
        <v>145</v>
      </c>
      <c r="H354" s="4">
        <v>4425000</v>
      </c>
      <c r="I354" s="2" t="e">
        <f t="shared" si="42"/>
        <v>#VALUE!</v>
      </c>
      <c r="J354" s="4">
        <v>4425000</v>
      </c>
      <c r="K354" s="2" t="e">
        <f t="shared" si="43"/>
        <v>#VALUE!</v>
      </c>
      <c r="L354" t="s">
        <v>540</v>
      </c>
      <c r="M354" t="s">
        <v>192</v>
      </c>
      <c r="N354" t="b">
        <f t="shared" si="44"/>
        <v>0</v>
      </c>
    </row>
    <row r="355" spans="1:14" x14ac:dyDescent="0.15">
      <c r="A355" t="s">
        <v>9961</v>
      </c>
      <c r="B355" t="s">
        <v>10063</v>
      </c>
      <c r="C355" t="s">
        <v>10710</v>
      </c>
      <c r="D355" t="s">
        <v>23</v>
      </c>
      <c r="E355" t="s">
        <v>10711</v>
      </c>
      <c r="F355" s="5" t="str">
        <f t="shared" si="47"/>
        <v>********</v>
      </c>
      <c r="G355" s="5" t="s">
        <v>145</v>
      </c>
      <c r="H355" t="s">
        <v>145</v>
      </c>
      <c r="I355" s="2" t="e">
        <f t="shared" si="42"/>
        <v>#VALUE!</v>
      </c>
      <c r="J355" s="4">
        <v>4300000</v>
      </c>
      <c r="K355" s="2" t="e">
        <f t="shared" si="43"/>
        <v>#VALUE!</v>
      </c>
      <c r="L355" t="s">
        <v>10712</v>
      </c>
      <c r="M355" t="s">
        <v>192</v>
      </c>
      <c r="N355" t="b">
        <f t="shared" si="44"/>
        <v>0</v>
      </c>
    </row>
    <row r="356" spans="1:14" x14ac:dyDescent="0.15">
      <c r="A356" t="s">
        <v>9961</v>
      </c>
      <c r="B356" t="s">
        <v>10063</v>
      </c>
      <c r="C356" t="s">
        <v>10713</v>
      </c>
      <c r="D356" t="s">
        <v>23</v>
      </c>
      <c r="E356" t="s">
        <v>10714</v>
      </c>
      <c r="F356" s="5" t="str">
        <f t="shared" si="47"/>
        <v>********</v>
      </c>
      <c r="G356" s="5" t="s">
        <v>145</v>
      </c>
      <c r="H356" t="s">
        <v>145</v>
      </c>
      <c r="I356" s="2" t="e">
        <f t="shared" si="42"/>
        <v>#VALUE!</v>
      </c>
      <c r="J356" s="4">
        <v>20990000</v>
      </c>
      <c r="K356" s="2" t="e">
        <f t="shared" si="43"/>
        <v>#VALUE!</v>
      </c>
      <c r="L356" t="s">
        <v>256</v>
      </c>
      <c r="M356" t="s">
        <v>80</v>
      </c>
      <c r="N356" t="b">
        <f t="shared" si="44"/>
        <v>0</v>
      </c>
    </row>
    <row r="357" spans="1:14" x14ac:dyDescent="0.15">
      <c r="A357" t="s">
        <v>9961</v>
      </c>
      <c r="B357" t="s">
        <v>10063</v>
      </c>
      <c r="C357" t="s">
        <v>10715</v>
      </c>
      <c r="D357" t="s">
        <v>23</v>
      </c>
      <c r="E357" t="s">
        <v>10716</v>
      </c>
      <c r="F357" s="5" t="str">
        <f t="shared" si="47"/>
        <v>********</v>
      </c>
      <c r="G357" s="5" t="s">
        <v>145</v>
      </c>
      <c r="H357" t="s">
        <v>145</v>
      </c>
      <c r="I357" s="2" t="e">
        <f t="shared" si="42"/>
        <v>#VALUE!</v>
      </c>
      <c r="J357" s="4">
        <v>15500000</v>
      </c>
      <c r="K357" s="2" t="e">
        <f t="shared" si="43"/>
        <v>#VALUE!</v>
      </c>
      <c r="L357" t="s">
        <v>574</v>
      </c>
      <c r="M357" t="s">
        <v>80</v>
      </c>
      <c r="N357" t="b">
        <f t="shared" si="44"/>
        <v>0</v>
      </c>
    </row>
    <row r="358" spans="1:14" x14ac:dyDescent="0.15">
      <c r="A358" t="s">
        <v>9961</v>
      </c>
      <c r="B358" t="s">
        <v>10063</v>
      </c>
      <c r="C358" t="s">
        <v>10717</v>
      </c>
      <c r="D358" t="s">
        <v>23</v>
      </c>
      <c r="E358" t="s">
        <v>5018</v>
      </c>
      <c r="F358" s="5" t="str">
        <f t="shared" si="47"/>
        <v>********</v>
      </c>
      <c r="G358" s="5" t="s">
        <v>145</v>
      </c>
      <c r="H358" t="s">
        <v>145</v>
      </c>
      <c r="I358" s="2" t="e">
        <f t="shared" si="42"/>
        <v>#VALUE!</v>
      </c>
      <c r="J358" s="4">
        <v>22755000</v>
      </c>
      <c r="K358" s="2" t="e">
        <f t="shared" si="43"/>
        <v>#VALUE!</v>
      </c>
      <c r="L358" t="s">
        <v>4310</v>
      </c>
      <c r="M358" t="s">
        <v>80</v>
      </c>
      <c r="N358" t="b">
        <f t="shared" si="44"/>
        <v>0</v>
      </c>
    </row>
    <row r="359" spans="1:14" x14ac:dyDescent="0.15">
      <c r="A359" t="s">
        <v>9961</v>
      </c>
      <c r="B359" t="s">
        <v>10063</v>
      </c>
      <c r="C359" t="s">
        <v>10718</v>
      </c>
      <c r="D359" t="s">
        <v>23</v>
      </c>
      <c r="E359" t="s">
        <v>10719</v>
      </c>
      <c r="F359" s="5" t="str">
        <f t="shared" si="47"/>
        <v>********</v>
      </c>
      <c r="G359" s="5" t="s">
        <v>145</v>
      </c>
      <c r="H359" t="s">
        <v>145</v>
      </c>
      <c r="I359" s="2" t="e">
        <f t="shared" si="42"/>
        <v>#VALUE!</v>
      </c>
      <c r="J359" s="4">
        <v>5900000</v>
      </c>
      <c r="K359" s="2" t="e">
        <f t="shared" si="43"/>
        <v>#VALUE!</v>
      </c>
      <c r="L359" t="s">
        <v>1078</v>
      </c>
      <c r="M359" t="s">
        <v>80</v>
      </c>
      <c r="N359" t="b">
        <f t="shared" si="44"/>
        <v>0</v>
      </c>
    </row>
    <row r="360" spans="1:14" x14ac:dyDescent="0.15">
      <c r="A360" t="s">
        <v>9961</v>
      </c>
      <c r="B360" t="s">
        <v>9976</v>
      </c>
      <c r="C360" t="s">
        <v>10720</v>
      </c>
      <c r="D360" t="s">
        <v>23</v>
      </c>
      <c r="E360" t="s">
        <v>10721</v>
      </c>
      <c r="F360" s="5">
        <v>3710000</v>
      </c>
      <c r="G360" s="5">
        <v>3710000</v>
      </c>
      <c r="H360" s="4">
        <v>2976000</v>
      </c>
      <c r="I360" s="2">
        <f t="shared" si="42"/>
        <v>0.80215633423180588</v>
      </c>
      <c r="J360" s="4">
        <v>2976000</v>
      </c>
      <c r="K360" s="2">
        <f t="shared" si="43"/>
        <v>0.80215633423180588</v>
      </c>
      <c r="L360" t="s">
        <v>10028</v>
      </c>
      <c r="M360" t="s">
        <v>432</v>
      </c>
      <c r="N360" t="b">
        <f t="shared" si="44"/>
        <v>0</v>
      </c>
    </row>
    <row r="361" spans="1:14" x14ac:dyDescent="0.15">
      <c r="A361" t="s">
        <v>9961</v>
      </c>
      <c r="B361" t="s">
        <v>9976</v>
      </c>
      <c r="C361" t="s">
        <v>10722</v>
      </c>
      <c r="D361" t="s">
        <v>23</v>
      </c>
      <c r="E361" t="s">
        <v>10723</v>
      </c>
      <c r="F361" s="5">
        <v>3870000</v>
      </c>
      <c r="G361" s="5">
        <v>3870000</v>
      </c>
      <c r="H361" s="4">
        <v>3104000</v>
      </c>
      <c r="I361" s="2">
        <f t="shared" si="42"/>
        <v>0.80206718346253225</v>
      </c>
      <c r="J361" s="4">
        <v>3104000</v>
      </c>
      <c r="K361" s="2">
        <f t="shared" si="43"/>
        <v>0.80206718346253225</v>
      </c>
      <c r="L361" t="s">
        <v>10105</v>
      </c>
      <c r="M361" t="s">
        <v>432</v>
      </c>
      <c r="N361" t="b">
        <f t="shared" si="44"/>
        <v>0</v>
      </c>
    </row>
    <row r="362" spans="1:14" x14ac:dyDescent="0.15">
      <c r="A362" t="s">
        <v>9961</v>
      </c>
      <c r="B362" t="s">
        <v>9976</v>
      </c>
      <c r="C362" t="s">
        <v>9979</v>
      </c>
      <c r="D362" t="s">
        <v>23</v>
      </c>
      <c r="E362" t="s">
        <v>10724</v>
      </c>
      <c r="F362" s="5">
        <v>3880000</v>
      </c>
      <c r="G362" s="5">
        <v>3880000</v>
      </c>
      <c r="H362" s="4">
        <v>3114000</v>
      </c>
      <c r="I362" s="2">
        <f t="shared" si="42"/>
        <v>0.8025773195876289</v>
      </c>
      <c r="J362" s="4">
        <v>3650000</v>
      </c>
      <c r="K362" s="2">
        <f t="shared" si="43"/>
        <v>0.94072164948453607</v>
      </c>
      <c r="L362" t="s">
        <v>5068</v>
      </c>
      <c r="M362" t="s">
        <v>432</v>
      </c>
      <c r="N362" t="b">
        <f t="shared" si="44"/>
        <v>0</v>
      </c>
    </row>
    <row r="363" spans="1:14" x14ac:dyDescent="0.15">
      <c r="A363" t="s">
        <v>9961</v>
      </c>
      <c r="B363" t="s">
        <v>9976</v>
      </c>
      <c r="C363" t="s">
        <v>9974</v>
      </c>
      <c r="D363" t="s">
        <v>23</v>
      </c>
      <c r="E363" t="s">
        <v>10725</v>
      </c>
      <c r="F363" s="5">
        <v>3900000</v>
      </c>
      <c r="G363" s="5">
        <v>3900000</v>
      </c>
      <c r="H363" s="4">
        <v>3130000</v>
      </c>
      <c r="I363" s="2">
        <f t="shared" si="42"/>
        <v>0.8025641025641026</v>
      </c>
      <c r="J363" s="4">
        <v>3700000</v>
      </c>
      <c r="K363" s="2">
        <f t="shared" si="43"/>
        <v>0.94871794871794868</v>
      </c>
      <c r="L363" t="s">
        <v>10054</v>
      </c>
      <c r="M363" t="s">
        <v>432</v>
      </c>
      <c r="N363" t="b">
        <f t="shared" si="44"/>
        <v>0</v>
      </c>
    </row>
    <row r="364" spans="1:14" x14ac:dyDescent="0.15">
      <c r="A364" t="s">
        <v>9961</v>
      </c>
      <c r="B364" t="s">
        <v>10177</v>
      </c>
      <c r="C364" t="s">
        <v>10726</v>
      </c>
      <c r="D364" t="s">
        <v>23</v>
      </c>
      <c r="E364" t="s">
        <v>10725</v>
      </c>
      <c r="F364" s="5" t="str">
        <f>G364</f>
        <v>********</v>
      </c>
      <c r="G364" s="5" t="s">
        <v>145</v>
      </c>
      <c r="H364" t="s">
        <v>145</v>
      </c>
      <c r="I364" s="2" t="e">
        <f t="shared" si="42"/>
        <v>#VALUE!</v>
      </c>
      <c r="J364" s="4">
        <v>6000000</v>
      </c>
      <c r="K364" s="2" t="e">
        <f t="shared" si="43"/>
        <v>#VALUE!</v>
      </c>
      <c r="L364" t="s">
        <v>215</v>
      </c>
      <c r="M364" t="s">
        <v>192</v>
      </c>
      <c r="N364" t="b">
        <f t="shared" si="44"/>
        <v>0</v>
      </c>
    </row>
    <row r="365" spans="1:14" x14ac:dyDescent="0.15">
      <c r="A365" t="s">
        <v>9961</v>
      </c>
      <c r="B365" t="s">
        <v>9976</v>
      </c>
      <c r="C365" t="s">
        <v>9982</v>
      </c>
      <c r="D365" t="s">
        <v>23</v>
      </c>
      <c r="E365" t="s">
        <v>10727</v>
      </c>
      <c r="F365" s="5">
        <v>3880000</v>
      </c>
      <c r="G365" s="5">
        <v>3880000</v>
      </c>
      <c r="H365" s="4">
        <v>3114000</v>
      </c>
      <c r="I365" s="2">
        <f t="shared" si="42"/>
        <v>0.8025773195876289</v>
      </c>
      <c r="J365" s="4">
        <v>3114000</v>
      </c>
      <c r="K365" s="2">
        <f t="shared" si="43"/>
        <v>0.8025773195876289</v>
      </c>
      <c r="L365" t="s">
        <v>3251</v>
      </c>
      <c r="M365" t="s">
        <v>432</v>
      </c>
      <c r="N365" t="b">
        <f t="shared" si="44"/>
        <v>0</v>
      </c>
    </row>
    <row r="366" spans="1:14" x14ac:dyDescent="0.15">
      <c r="A366" t="s">
        <v>9961</v>
      </c>
      <c r="B366" t="s">
        <v>10051</v>
      </c>
      <c r="C366" t="s">
        <v>10728</v>
      </c>
      <c r="D366" t="s">
        <v>15</v>
      </c>
      <c r="E366" t="s">
        <v>10729</v>
      </c>
      <c r="F366" s="5" t="str">
        <f>G366</f>
        <v>********</v>
      </c>
      <c r="G366" s="5" t="s">
        <v>145</v>
      </c>
      <c r="I366" s="2" t="e">
        <f t="shared" si="42"/>
        <v>#VALUE!</v>
      </c>
      <c r="K366" s="2" t="e">
        <f t="shared" si="43"/>
        <v>#VALUE!</v>
      </c>
      <c r="M366" t="s">
        <v>139</v>
      </c>
      <c r="N366" t="b">
        <f t="shared" si="44"/>
        <v>0</v>
      </c>
    </row>
    <row r="367" spans="1:14" x14ac:dyDescent="0.15">
      <c r="A367" t="s">
        <v>9961</v>
      </c>
      <c r="B367" t="s">
        <v>9976</v>
      </c>
      <c r="C367" t="s">
        <v>10730</v>
      </c>
      <c r="D367" t="s">
        <v>23</v>
      </c>
      <c r="E367" t="s">
        <v>10731</v>
      </c>
      <c r="F367" s="5">
        <v>2110000</v>
      </c>
      <c r="G367" s="5">
        <v>2110000</v>
      </c>
      <c r="H367" s="4">
        <v>1694000</v>
      </c>
      <c r="I367" s="2">
        <f t="shared" si="42"/>
        <v>0.80284360189573456</v>
      </c>
      <c r="J367" s="4">
        <v>2050000</v>
      </c>
      <c r="K367" s="2">
        <f t="shared" si="43"/>
        <v>0.97156398104265407</v>
      </c>
      <c r="L367" t="s">
        <v>10277</v>
      </c>
      <c r="M367" t="s">
        <v>432</v>
      </c>
      <c r="N367" t="b">
        <f t="shared" si="44"/>
        <v>0</v>
      </c>
    </row>
    <row r="368" spans="1:14" x14ac:dyDescent="0.15">
      <c r="A368" t="s">
        <v>9961</v>
      </c>
      <c r="B368" t="s">
        <v>10021</v>
      </c>
      <c r="C368" t="s">
        <v>10732</v>
      </c>
      <c r="D368" t="s">
        <v>23</v>
      </c>
      <c r="E368" t="s">
        <v>10733</v>
      </c>
      <c r="F368" s="5" t="str">
        <f t="shared" ref="F368:F372" si="48">G368</f>
        <v>********</v>
      </c>
      <c r="G368" s="5" t="s">
        <v>145</v>
      </c>
      <c r="H368" t="s">
        <v>145</v>
      </c>
      <c r="I368" s="2" t="e">
        <f t="shared" si="42"/>
        <v>#VALUE!</v>
      </c>
      <c r="J368" s="4">
        <v>4350000</v>
      </c>
      <c r="K368" s="2" t="e">
        <f t="shared" si="43"/>
        <v>#VALUE!</v>
      </c>
      <c r="L368" t="s">
        <v>215</v>
      </c>
      <c r="M368" t="s">
        <v>432</v>
      </c>
      <c r="N368" t="b">
        <f t="shared" si="44"/>
        <v>0</v>
      </c>
    </row>
    <row r="369" spans="1:14" x14ac:dyDescent="0.15">
      <c r="A369" t="s">
        <v>9961</v>
      </c>
      <c r="B369" t="s">
        <v>10021</v>
      </c>
      <c r="C369" t="s">
        <v>10734</v>
      </c>
      <c r="D369" t="s">
        <v>15</v>
      </c>
      <c r="E369" t="s">
        <v>10735</v>
      </c>
      <c r="F369" s="5" t="str">
        <f t="shared" si="48"/>
        <v>********</v>
      </c>
      <c r="G369" s="5" t="s">
        <v>145</v>
      </c>
      <c r="I369" s="2" t="e">
        <f t="shared" si="42"/>
        <v>#VALUE!</v>
      </c>
      <c r="K369" s="2" t="e">
        <f t="shared" si="43"/>
        <v>#VALUE!</v>
      </c>
      <c r="M369" t="s">
        <v>21</v>
      </c>
      <c r="N369" t="b">
        <f t="shared" si="44"/>
        <v>0</v>
      </c>
    </row>
    <row r="370" spans="1:14" x14ac:dyDescent="0.15">
      <c r="A370" t="s">
        <v>9961</v>
      </c>
      <c r="B370" t="s">
        <v>10021</v>
      </c>
      <c r="C370" t="s">
        <v>10736</v>
      </c>
      <c r="D370" t="s">
        <v>23</v>
      </c>
      <c r="E370" t="s">
        <v>10737</v>
      </c>
      <c r="F370" s="5" t="str">
        <f t="shared" si="48"/>
        <v>********</v>
      </c>
      <c r="G370" s="5" t="s">
        <v>145</v>
      </c>
      <c r="H370" t="s">
        <v>145</v>
      </c>
      <c r="I370" s="2" t="e">
        <f t="shared" si="42"/>
        <v>#VALUE!</v>
      </c>
      <c r="J370" s="4">
        <v>11500000</v>
      </c>
      <c r="K370" s="2" t="e">
        <f t="shared" si="43"/>
        <v>#VALUE!</v>
      </c>
      <c r="L370" t="s">
        <v>10022</v>
      </c>
      <c r="M370" t="s">
        <v>192</v>
      </c>
      <c r="N370" t="b">
        <f t="shared" si="44"/>
        <v>0</v>
      </c>
    </row>
    <row r="371" spans="1:14" x14ac:dyDescent="0.15">
      <c r="A371" t="s">
        <v>9961</v>
      </c>
      <c r="B371" t="s">
        <v>9964</v>
      </c>
      <c r="C371" t="s">
        <v>10738</v>
      </c>
      <c r="D371" t="s">
        <v>23</v>
      </c>
      <c r="E371" t="s">
        <v>10739</v>
      </c>
      <c r="F371" s="5" t="str">
        <f t="shared" si="48"/>
        <v>********</v>
      </c>
      <c r="G371" s="5" t="s">
        <v>145</v>
      </c>
      <c r="H371" t="s">
        <v>145</v>
      </c>
      <c r="I371" s="2" t="e">
        <f t="shared" si="42"/>
        <v>#VALUE!</v>
      </c>
      <c r="J371" s="4">
        <v>3600000</v>
      </c>
      <c r="K371" s="2" t="e">
        <f t="shared" si="43"/>
        <v>#VALUE!</v>
      </c>
      <c r="L371" t="s">
        <v>1139</v>
      </c>
      <c r="M371" t="s">
        <v>432</v>
      </c>
      <c r="N371" t="b">
        <f t="shared" si="44"/>
        <v>0</v>
      </c>
    </row>
    <row r="372" spans="1:14" x14ac:dyDescent="0.15">
      <c r="A372" t="s">
        <v>9961</v>
      </c>
      <c r="B372" t="s">
        <v>10587</v>
      </c>
      <c r="C372" t="s">
        <v>10740</v>
      </c>
      <c r="D372" t="s">
        <v>23</v>
      </c>
      <c r="E372" t="s">
        <v>10741</v>
      </c>
      <c r="F372" s="5" t="str">
        <f t="shared" si="48"/>
        <v>********</v>
      </c>
      <c r="G372" s="5" t="s">
        <v>145</v>
      </c>
      <c r="H372" t="s">
        <v>145</v>
      </c>
      <c r="I372" s="2" t="e">
        <f t="shared" si="42"/>
        <v>#VALUE!</v>
      </c>
      <c r="J372" s="4">
        <v>3700000</v>
      </c>
      <c r="K372" s="2" t="e">
        <f t="shared" si="43"/>
        <v>#VALUE!</v>
      </c>
      <c r="L372" t="s">
        <v>2375</v>
      </c>
      <c r="M372" t="s">
        <v>192</v>
      </c>
      <c r="N372" t="b">
        <f t="shared" si="44"/>
        <v>0</v>
      </c>
    </row>
    <row r="373" spans="1:14" x14ac:dyDescent="0.15">
      <c r="A373" t="s">
        <v>9961</v>
      </c>
      <c r="B373" t="s">
        <v>9967</v>
      </c>
      <c r="C373" t="s">
        <v>10742</v>
      </c>
      <c r="D373" t="s">
        <v>118</v>
      </c>
      <c r="E373" t="s">
        <v>10743</v>
      </c>
      <c r="F373" s="5">
        <v>10270000</v>
      </c>
      <c r="G373" s="5">
        <v>10270000</v>
      </c>
      <c r="H373" s="4">
        <v>8232000</v>
      </c>
      <c r="I373" s="2">
        <f t="shared" si="42"/>
        <v>0.80155793573515088</v>
      </c>
      <c r="J373" s="4">
        <v>8232000</v>
      </c>
      <c r="K373" s="2">
        <f t="shared" si="43"/>
        <v>0.80155793573515088</v>
      </c>
      <c r="L373" t="s">
        <v>332</v>
      </c>
      <c r="M373" t="s">
        <v>126</v>
      </c>
      <c r="N373" t="b">
        <f t="shared" si="44"/>
        <v>0</v>
      </c>
    </row>
    <row r="374" spans="1:14" x14ac:dyDescent="0.15">
      <c r="A374" t="s">
        <v>9961</v>
      </c>
      <c r="B374" t="s">
        <v>9967</v>
      </c>
      <c r="C374" t="s">
        <v>10744</v>
      </c>
      <c r="D374" t="s">
        <v>23</v>
      </c>
      <c r="E374" t="s">
        <v>10745</v>
      </c>
      <c r="F374" s="5">
        <v>2830000</v>
      </c>
      <c r="G374" s="5">
        <v>2830000</v>
      </c>
      <c r="H374" s="4">
        <v>2272000</v>
      </c>
      <c r="I374" s="2">
        <f t="shared" si="42"/>
        <v>0.80282685512367491</v>
      </c>
      <c r="J374" s="4">
        <v>2680000</v>
      </c>
      <c r="K374" s="2">
        <f t="shared" si="43"/>
        <v>0.94699646643109536</v>
      </c>
      <c r="L374" t="s">
        <v>10100</v>
      </c>
      <c r="M374" t="s">
        <v>174</v>
      </c>
      <c r="N374" t="b">
        <f t="shared" si="44"/>
        <v>0</v>
      </c>
    </row>
    <row r="375" spans="1:14" x14ac:dyDescent="0.15">
      <c r="A375" t="s">
        <v>9961</v>
      </c>
      <c r="B375" t="s">
        <v>9967</v>
      </c>
      <c r="C375" t="s">
        <v>10746</v>
      </c>
      <c r="D375" t="s">
        <v>23</v>
      </c>
      <c r="E375" t="s">
        <v>10747</v>
      </c>
      <c r="F375" s="5">
        <v>3450000</v>
      </c>
      <c r="G375" s="5">
        <v>3450000</v>
      </c>
      <c r="H375" s="4">
        <v>2724000</v>
      </c>
      <c r="I375" s="2">
        <f t="shared" si="42"/>
        <v>0.78956521739130436</v>
      </c>
      <c r="J375" s="4">
        <v>3280000</v>
      </c>
      <c r="K375" s="2">
        <f t="shared" si="43"/>
        <v>0.95072463768115945</v>
      </c>
      <c r="L375" t="s">
        <v>10068</v>
      </c>
      <c r="M375" t="s">
        <v>174</v>
      </c>
      <c r="N375" t="b">
        <f t="shared" si="44"/>
        <v>0</v>
      </c>
    </row>
    <row r="376" spans="1:14" x14ac:dyDescent="0.15">
      <c r="A376" t="s">
        <v>9961</v>
      </c>
      <c r="B376" t="s">
        <v>9967</v>
      </c>
      <c r="C376" t="s">
        <v>10748</v>
      </c>
      <c r="D376" t="s">
        <v>23</v>
      </c>
      <c r="E376" t="s">
        <v>10749</v>
      </c>
      <c r="F376" s="5">
        <v>3520000</v>
      </c>
      <c r="G376" s="5">
        <v>3520000</v>
      </c>
      <c r="H376" s="4">
        <v>2775000</v>
      </c>
      <c r="I376" s="2">
        <f t="shared" si="42"/>
        <v>0.78835227272727271</v>
      </c>
      <c r="J376" s="4">
        <v>3340000</v>
      </c>
      <c r="K376" s="2">
        <f t="shared" si="43"/>
        <v>0.94886363636363635</v>
      </c>
      <c r="L376" t="s">
        <v>687</v>
      </c>
      <c r="M376" t="s">
        <v>174</v>
      </c>
      <c r="N376" t="b">
        <f t="shared" si="44"/>
        <v>0</v>
      </c>
    </row>
    <row r="377" spans="1:14" x14ac:dyDescent="0.15">
      <c r="A377" t="s">
        <v>9961</v>
      </c>
      <c r="B377" t="s">
        <v>9967</v>
      </c>
      <c r="C377" t="s">
        <v>10750</v>
      </c>
      <c r="D377" t="s">
        <v>23</v>
      </c>
      <c r="E377" t="s">
        <v>10751</v>
      </c>
      <c r="F377" s="5">
        <v>6110000</v>
      </c>
      <c r="G377" s="5">
        <v>6110000</v>
      </c>
      <c r="H377" s="4">
        <v>4905000</v>
      </c>
      <c r="I377" s="2">
        <f t="shared" si="42"/>
        <v>0.80278232405891981</v>
      </c>
      <c r="J377" s="4">
        <v>5750000</v>
      </c>
      <c r="K377" s="2">
        <f t="shared" si="43"/>
        <v>0.94108019639934537</v>
      </c>
      <c r="L377" t="s">
        <v>1541</v>
      </c>
      <c r="M377" t="s">
        <v>165</v>
      </c>
      <c r="N377" t="b">
        <f t="shared" si="44"/>
        <v>0</v>
      </c>
    </row>
    <row r="378" spans="1:14" x14ac:dyDescent="0.15">
      <c r="A378" t="s">
        <v>9961</v>
      </c>
      <c r="B378" t="s">
        <v>9967</v>
      </c>
      <c r="C378" t="s">
        <v>10752</v>
      </c>
      <c r="D378" t="s">
        <v>15</v>
      </c>
      <c r="E378" t="s">
        <v>10753</v>
      </c>
      <c r="F378" s="5">
        <v>2130000</v>
      </c>
      <c r="G378" s="5">
        <v>2130000</v>
      </c>
      <c r="I378" s="2">
        <f t="shared" si="42"/>
        <v>0</v>
      </c>
      <c r="K378" s="2">
        <f t="shared" si="43"/>
        <v>0</v>
      </c>
      <c r="M378" t="s">
        <v>139</v>
      </c>
      <c r="N378" t="b">
        <f t="shared" si="44"/>
        <v>0</v>
      </c>
    </row>
    <row r="379" spans="1:14" x14ac:dyDescent="0.15">
      <c r="A379" t="s">
        <v>9961</v>
      </c>
      <c r="B379" t="s">
        <v>9967</v>
      </c>
      <c r="C379" t="s">
        <v>10754</v>
      </c>
      <c r="D379" t="s">
        <v>15</v>
      </c>
      <c r="E379" t="s">
        <v>10755</v>
      </c>
      <c r="F379" s="5">
        <v>2990000</v>
      </c>
      <c r="G379" s="5">
        <v>2990000</v>
      </c>
      <c r="I379" s="2">
        <f t="shared" si="42"/>
        <v>0</v>
      </c>
      <c r="K379" s="2">
        <f t="shared" si="43"/>
        <v>0</v>
      </c>
      <c r="M379" t="s">
        <v>139</v>
      </c>
      <c r="N379" t="b">
        <f t="shared" si="44"/>
        <v>0</v>
      </c>
    </row>
    <row r="380" spans="1:14" x14ac:dyDescent="0.15">
      <c r="A380" t="s">
        <v>9961</v>
      </c>
      <c r="B380" t="s">
        <v>9967</v>
      </c>
      <c r="C380" t="s">
        <v>10756</v>
      </c>
      <c r="D380" t="s">
        <v>15</v>
      </c>
      <c r="E380" t="s">
        <v>10757</v>
      </c>
      <c r="F380" s="5">
        <v>4410000</v>
      </c>
      <c r="G380" s="5">
        <v>4410000</v>
      </c>
      <c r="I380" s="2">
        <f t="shared" si="42"/>
        <v>0</v>
      </c>
      <c r="K380" s="2">
        <f t="shared" si="43"/>
        <v>0</v>
      </c>
      <c r="M380" t="s">
        <v>139</v>
      </c>
      <c r="N380" t="b">
        <f t="shared" si="44"/>
        <v>0</v>
      </c>
    </row>
    <row r="381" spans="1:14" x14ac:dyDescent="0.15">
      <c r="A381" t="s">
        <v>9961</v>
      </c>
      <c r="B381" t="s">
        <v>10177</v>
      </c>
      <c r="C381" t="s">
        <v>10758</v>
      </c>
      <c r="D381" t="s">
        <v>23</v>
      </c>
      <c r="E381" t="s">
        <v>10759</v>
      </c>
      <c r="F381" s="5" t="str">
        <f>G381</f>
        <v>********</v>
      </c>
      <c r="G381" s="5" t="s">
        <v>145</v>
      </c>
      <c r="H381" t="s">
        <v>145</v>
      </c>
      <c r="I381" s="2" t="e">
        <f t="shared" si="42"/>
        <v>#VALUE!</v>
      </c>
      <c r="J381" s="4">
        <v>3650000</v>
      </c>
      <c r="K381" s="2" t="e">
        <f t="shared" si="43"/>
        <v>#VALUE!</v>
      </c>
      <c r="L381" t="s">
        <v>215</v>
      </c>
      <c r="M381" t="s">
        <v>432</v>
      </c>
      <c r="N381" t="b">
        <f t="shared" si="44"/>
        <v>0</v>
      </c>
    </row>
    <row r="382" spans="1:14" x14ac:dyDescent="0.15">
      <c r="A382" t="s">
        <v>9961</v>
      </c>
      <c r="B382" t="s">
        <v>9976</v>
      </c>
      <c r="C382" t="s">
        <v>10760</v>
      </c>
      <c r="D382" t="s">
        <v>118</v>
      </c>
      <c r="E382" t="s">
        <v>10761</v>
      </c>
      <c r="F382" s="5">
        <v>14850000</v>
      </c>
      <c r="G382" s="5">
        <v>14850000</v>
      </c>
      <c r="H382" s="4">
        <v>11913000</v>
      </c>
      <c r="I382" s="2">
        <f t="shared" si="42"/>
        <v>0.80222222222222217</v>
      </c>
      <c r="J382" s="4">
        <v>12000000</v>
      </c>
      <c r="K382" s="2">
        <f t="shared" si="43"/>
        <v>0.80808080808080807</v>
      </c>
      <c r="L382" t="s">
        <v>5415</v>
      </c>
      <c r="M382" t="s">
        <v>165</v>
      </c>
      <c r="N382" t="b">
        <f t="shared" si="44"/>
        <v>0</v>
      </c>
    </row>
    <row r="383" spans="1:14" x14ac:dyDescent="0.15">
      <c r="A383" t="s">
        <v>9961</v>
      </c>
      <c r="B383" t="s">
        <v>10764</v>
      </c>
      <c r="C383" t="s">
        <v>10762</v>
      </c>
      <c r="D383" t="s">
        <v>23</v>
      </c>
      <c r="E383" t="s">
        <v>10763</v>
      </c>
      <c r="F383" s="5" t="str">
        <f>G383</f>
        <v>********</v>
      </c>
      <c r="G383" s="5" t="s">
        <v>145</v>
      </c>
      <c r="H383" t="s">
        <v>145</v>
      </c>
      <c r="I383" s="2" t="e">
        <f t="shared" si="42"/>
        <v>#VALUE!</v>
      </c>
      <c r="J383" s="4">
        <v>21300000</v>
      </c>
      <c r="K383" s="2" t="e">
        <f t="shared" si="43"/>
        <v>#VALUE!</v>
      </c>
      <c r="L383" t="s">
        <v>1800</v>
      </c>
      <c r="M383" t="s">
        <v>80</v>
      </c>
      <c r="N383" t="b">
        <f t="shared" si="44"/>
        <v>0</v>
      </c>
    </row>
    <row r="384" spans="1:14" x14ac:dyDescent="0.15">
      <c r="A384" t="s">
        <v>9961</v>
      </c>
      <c r="B384" t="s">
        <v>9967</v>
      </c>
      <c r="C384" t="s">
        <v>10765</v>
      </c>
      <c r="D384" t="s">
        <v>118</v>
      </c>
      <c r="E384" t="s">
        <v>10766</v>
      </c>
      <c r="F384" s="5">
        <v>12380000</v>
      </c>
      <c r="G384" s="5">
        <v>12380000</v>
      </c>
      <c r="H384" s="4">
        <v>9850000</v>
      </c>
      <c r="I384" s="2">
        <f t="shared" si="42"/>
        <v>0.79563812600969308</v>
      </c>
      <c r="J384" s="4">
        <v>9850000</v>
      </c>
      <c r="K384" s="2">
        <f t="shared" si="43"/>
        <v>0.79563812600969308</v>
      </c>
      <c r="L384" t="s">
        <v>1333</v>
      </c>
      <c r="M384" t="s">
        <v>165</v>
      </c>
      <c r="N384" t="b">
        <f t="shared" si="44"/>
        <v>0</v>
      </c>
    </row>
    <row r="385" spans="1:14" x14ac:dyDescent="0.15">
      <c r="A385" t="s">
        <v>9961</v>
      </c>
      <c r="B385" t="s">
        <v>9964</v>
      </c>
      <c r="C385" t="s">
        <v>10767</v>
      </c>
      <c r="D385" t="s">
        <v>23</v>
      </c>
      <c r="E385" t="s">
        <v>10768</v>
      </c>
      <c r="F385" s="5" t="str">
        <f>G385</f>
        <v>********</v>
      </c>
      <c r="G385" s="5" t="s">
        <v>145</v>
      </c>
      <c r="H385" t="s">
        <v>145</v>
      </c>
      <c r="I385" s="2" t="e">
        <f t="shared" si="42"/>
        <v>#VALUE!</v>
      </c>
      <c r="J385" s="4">
        <v>3300000</v>
      </c>
      <c r="K385" s="2" t="e">
        <f t="shared" si="43"/>
        <v>#VALUE!</v>
      </c>
      <c r="L385" t="s">
        <v>263</v>
      </c>
      <c r="M385" t="s">
        <v>432</v>
      </c>
      <c r="N385" t="b">
        <f t="shared" si="44"/>
        <v>0</v>
      </c>
    </row>
    <row r="386" spans="1:14" x14ac:dyDescent="0.15">
      <c r="A386" t="s">
        <v>9961</v>
      </c>
      <c r="B386" t="s">
        <v>9964</v>
      </c>
      <c r="C386" t="s">
        <v>10769</v>
      </c>
      <c r="D386" t="s">
        <v>23</v>
      </c>
      <c r="E386" t="s">
        <v>10770</v>
      </c>
      <c r="F386" s="5" t="s">
        <v>145</v>
      </c>
      <c r="G386" s="5">
        <v>7600000</v>
      </c>
      <c r="H386" t="s">
        <v>145</v>
      </c>
      <c r="I386" s="2" t="e">
        <f t="shared" si="42"/>
        <v>#VALUE!</v>
      </c>
      <c r="J386" s="4">
        <v>6900000</v>
      </c>
      <c r="K386" s="2">
        <f t="shared" si="43"/>
        <v>0.90789473684210531</v>
      </c>
      <c r="L386" t="s">
        <v>215</v>
      </c>
      <c r="M386" t="s">
        <v>192</v>
      </c>
      <c r="N386" t="b">
        <f t="shared" si="44"/>
        <v>1</v>
      </c>
    </row>
    <row r="387" spans="1:14" x14ac:dyDescent="0.15">
      <c r="A387" t="s">
        <v>9961</v>
      </c>
      <c r="B387" t="s">
        <v>9964</v>
      </c>
      <c r="C387" t="s">
        <v>10771</v>
      </c>
      <c r="D387" t="s">
        <v>23</v>
      </c>
      <c r="E387" t="s">
        <v>10772</v>
      </c>
      <c r="F387" s="5" t="str">
        <f t="shared" ref="F387:F388" si="49">G387</f>
        <v>********</v>
      </c>
      <c r="G387" s="5" t="s">
        <v>145</v>
      </c>
      <c r="H387" t="s">
        <v>145</v>
      </c>
      <c r="I387" s="2" t="e">
        <f t="shared" si="42"/>
        <v>#VALUE!</v>
      </c>
      <c r="J387" s="4">
        <v>11000000</v>
      </c>
      <c r="K387" s="2" t="e">
        <f t="shared" si="43"/>
        <v>#VALUE!</v>
      </c>
      <c r="L387" t="s">
        <v>819</v>
      </c>
      <c r="M387" t="s">
        <v>192</v>
      </c>
      <c r="N387" t="b">
        <f t="shared" si="44"/>
        <v>0</v>
      </c>
    </row>
    <row r="388" spans="1:14" x14ac:dyDescent="0.15">
      <c r="A388" t="s">
        <v>9961</v>
      </c>
      <c r="B388" t="s">
        <v>9964</v>
      </c>
      <c r="C388" t="s">
        <v>10773</v>
      </c>
      <c r="D388" t="s">
        <v>23</v>
      </c>
      <c r="E388" t="s">
        <v>10774</v>
      </c>
      <c r="F388" s="5" t="str">
        <f t="shared" si="49"/>
        <v>********</v>
      </c>
      <c r="G388" s="5" t="s">
        <v>145</v>
      </c>
      <c r="H388" t="s">
        <v>145</v>
      </c>
      <c r="I388" s="2" t="e">
        <f t="shared" ref="I388:I451" si="50">H388/G388</f>
        <v>#VALUE!</v>
      </c>
      <c r="J388" s="4">
        <v>6398000</v>
      </c>
      <c r="K388" s="2" t="e">
        <f t="shared" ref="K388:K451" si="51">J388/G388</f>
        <v>#VALUE!</v>
      </c>
      <c r="L388" t="s">
        <v>215</v>
      </c>
      <c r="M388" t="s">
        <v>192</v>
      </c>
      <c r="N388" t="b">
        <f t="shared" ref="N388:N451" si="52">F388&lt;&gt;G388</f>
        <v>0</v>
      </c>
    </row>
    <row r="389" spans="1:14" x14ac:dyDescent="0.15">
      <c r="A389" t="s">
        <v>9961</v>
      </c>
      <c r="B389" t="s">
        <v>10048</v>
      </c>
      <c r="C389" t="s">
        <v>10775</v>
      </c>
      <c r="D389" t="s">
        <v>23</v>
      </c>
      <c r="E389" t="s">
        <v>10776</v>
      </c>
      <c r="F389" s="5" t="s">
        <v>145</v>
      </c>
      <c r="G389" s="5" t="s">
        <v>145</v>
      </c>
      <c r="H389" t="s">
        <v>145</v>
      </c>
      <c r="I389" s="2" t="e">
        <f t="shared" si="50"/>
        <v>#VALUE!</v>
      </c>
      <c r="J389" s="4">
        <v>4000000</v>
      </c>
      <c r="K389" s="2" t="e">
        <f t="shared" si="51"/>
        <v>#VALUE!</v>
      </c>
      <c r="L389" t="s">
        <v>360</v>
      </c>
      <c r="M389" t="s">
        <v>192</v>
      </c>
      <c r="N389" t="b">
        <f t="shared" si="52"/>
        <v>0</v>
      </c>
    </row>
    <row r="390" spans="1:14" x14ac:dyDescent="0.15">
      <c r="A390" t="s">
        <v>9961</v>
      </c>
      <c r="B390" t="s">
        <v>10048</v>
      </c>
      <c r="C390" t="s">
        <v>10777</v>
      </c>
      <c r="D390" t="s">
        <v>23</v>
      </c>
      <c r="E390" t="s">
        <v>10778</v>
      </c>
      <c r="F390" s="5" t="s">
        <v>145</v>
      </c>
      <c r="G390" s="5" t="s">
        <v>145</v>
      </c>
      <c r="H390" t="s">
        <v>145</v>
      </c>
      <c r="I390" s="2" t="e">
        <f t="shared" si="50"/>
        <v>#VALUE!</v>
      </c>
      <c r="J390" s="4">
        <v>11900000</v>
      </c>
      <c r="K390" s="2" t="e">
        <f t="shared" si="51"/>
        <v>#VALUE!</v>
      </c>
      <c r="L390" t="s">
        <v>608</v>
      </c>
      <c r="M390" t="s">
        <v>80</v>
      </c>
      <c r="N390" t="b">
        <f t="shared" si="52"/>
        <v>0</v>
      </c>
    </row>
    <row r="391" spans="1:14" x14ac:dyDescent="0.15">
      <c r="A391" t="s">
        <v>9961</v>
      </c>
      <c r="B391" t="s">
        <v>10048</v>
      </c>
      <c r="C391" t="s">
        <v>10779</v>
      </c>
      <c r="D391" t="s">
        <v>23</v>
      </c>
      <c r="E391" t="s">
        <v>10780</v>
      </c>
      <c r="F391" s="5" t="s">
        <v>145</v>
      </c>
      <c r="G391" s="5" t="s">
        <v>145</v>
      </c>
      <c r="H391" t="s">
        <v>145</v>
      </c>
      <c r="I391" s="2" t="e">
        <f t="shared" si="50"/>
        <v>#VALUE!</v>
      </c>
      <c r="J391" s="4">
        <v>4350000</v>
      </c>
      <c r="K391" s="2" t="e">
        <f t="shared" si="51"/>
        <v>#VALUE!</v>
      </c>
      <c r="L391" t="s">
        <v>256</v>
      </c>
      <c r="M391" t="s">
        <v>192</v>
      </c>
      <c r="N391" t="b">
        <f t="shared" si="52"/>
        <v>0</v>
      </c>
    </row>
    <row r="392" spans="1:14" x14ac:dyDescent="0.15">
      <c r="A392" t="s">
        <v>9961</v>
      </c>
      <c r="B392" t="s">
        <v>9967</v>
      </c>
      <c r="C392" t="s">
        <v>10781</v>
      </c>
      <c r="D392" t="s">
        <v>23</v>
      </c>
      <c r="E392" t="s">
        <v>10782</v>
      </c>
      <c r="F392" s="5">
        <v>7250000</v>
      </c>
      <c r="G392" s="5">
        <v>7250000</v>
      </c>
      <c r="H392" s="4">
        <v>5763000</v>
      </c>
      <c r="I392" s="2">
        <f t="shared" si="50"/>
        <v>0.79489655172413798</v>
      </c>
      <c r="J392" s="4">
        <v>6850000</v>
      </c>
      <c r="K392" s="2">
        <f t="shared" si="51"/>
        <v>0.94482758620689655</v>
      </c>
      <c r="L392" t="s">
        <v>694</v>
      </c>
      <c r="M392" t="s">
        <v>165</v>
      </c>
      <c r="N392" t="b">
        <f t="shared" si="52"/>
        <v>0</v>
      </c>
    </row>
    <row r="393" spans="1:14" x14ac:dyDescent="0.15">
      <c r="A393" t="s">
        <v>9961</v>
      </c>
      <c r="B393" t="s">
        <v>9967</v>
      </c>
      <c r="C393" t="s">
        <v>10783</v>
      </c>
      <c r="D393" t="s">
        <v>23</v>
      </c>
      <c r="E393" t="s">
        <v>10784</v>
      </c>
      <c r="F393" s="5">
        <v>7820000</v>
      </c>
      <c r="G393" s="5">
        <v>7820000</v>
      </c>
      <c r="H393" s="4">
        <v>6229000</v>
      </c>
      <c r="I393" s="2">
        <f t="shared" si="50"/>
        <v>0.79654731457800509</v>
      </c>
      <c r="J393" s="4">
        <v>7400000</v>
      </c>
      <c r="K393" s="2">
        <f t="shared" si="51"/>
        <v>0.94629156010230175</v>
      </c>
      <c r="L393" t="s">
        <v>10054</v>
      </c>
      <c r="M393" t="s">
        <v>165</v>
      </c>
      <c r="N393" t="b">
        <f t="shared" si="52"/>
        <v>0</v>
      </c>
    </row>
    <row r="394" spans="1:14" x14ac:dyDescent="0.15">
      <c r="A394" t="s">
        <v>9961</v>
      </c>
      <c r="B394" t="s">
        <v>9967</v>
      </c>
      <c r="C394" t="s">
        <v>10785</v>
      </c>
      <c r="D394" t="s">
        <v>15</v>
      </c>
      <c r="E394" t="s">
        <v>10786</v>
      </c>
      <c r="F394" s="5">
        <v>2780000</v>
      </c>
      <c r="G394" s="5">
        <v>2780000</v>
      </c>
      <c r="I394" s="2">
        <f t="shared" si="50"/>
        <v>0</v>
      </c>
      <c r="K394" s="2">
        <f t="shared" si="51"/>
        <v>0</v>
      </c>
      <c r="M394" t="s">
        <v>139</v>
      </c>
      <c r="N394" t="b">
        <f t="shared" si="52"/>
        <v>0</v>
      </c>
    </row>
    <row r="395" spans="1:14" x14ac:dyDescent="0.15">
      <c r="A395" t="s">
        <v>9961</v>
      </c>
      <c r="B395" t="s">
        <v>9967</v>
      </c>
      <c r="C395" t="s">
        <v>10787</v>
      </c>
      <c r="D395" t="s">
        <v>15</v>
      </c>
      <c r="E395" t="s">
        <v>10788</v>
      </c>
      <c r="F395" s="5">
        <v>4500000</v>
      </c>
      <c r="G395" s="5">
        <v>4500000</v>
      </c>
      <c r="I395" s="2">
        <f t="shared" si="50"/>
        <v>0</v>
      </c>
      <c r="K395" s="2">
        <f t="shared" si="51"/>
        <v>0</v>
      </c>
      <c r="M395" t="s">
        <v>139</v>
      </c>
      <c r="N395" t="b">
        <f t="shared" si="52"/>
        <v>0</v>
      </c>
    </row>
    <row r="396" spans="1:14" x14ac:dyDescent="0.15">
      <c r="A396" t="s">
        <v>9961</v>
      </c>
      <c r="B396" t="s">
        <v>9967</v>
      </c>
      <c r="C396" t="s">
        <v>10789</v>
      </c>
      <c r="D396" t="s">
        <v>118</v>
      </c>
      <c r="E396" t="s">
        <v>10790</v>
      </c>
      <c r="F396" s="5">
        <v>10060000</v>
      </c>
      <c r="G396" s="5">
        <v>10060000</v>
      </c>
      <c r="H396" s="4">
        <v>8075000</v>
      </c>
      <c r="I396" s="2">
        <f t="shared" si="50"/>
        <v>0.80268389662027828</v>
      </c>
      <c r="J396" s="4">
        <v>8075000</v>
      </c>
      <c r="K396" s="2">
        <f t="shared" si="51"/>
        <v>0.80268389662027828</v>
      </c>
      <c r="L396" t="s">
        <v>846</v>
      </c>
      <c r="M396" t="s">
        <v>3238</v>
      </c>
      <c r="N396" t="b">
        <f t="shared" si="52"/>
        <v>0</v>
      </c>
    </row>
    <row r="397" spans="1:14" x14ac:dyDescent="0.15">
      <c r="A397" t="s">
        <v>9961</v>
      </c>
      <c r="B397" t="s">
        <v>9967</v>
      </c>
      <c r="C397" t="s">
        <v>10791</v>
      </c>
      <c r="D397" t="s">
        <v>118</v>
      </c>
      <c r="E397" t="s">
        <v>10792</v>
      </c>
      <c r="F397" s="5">
        <v>15660000</v>
      </c>
      <c r="G397" s="5">
        <v>15660000</v>
      </c>
      <c r="H397" s="4">
        <v>12581000</v>
      </c>
      <c r="I397" s="2">
        <f t="shared" si="50"/>
        <v>0.80338441890166024</v>
      </c>
      <c r="J397" s="4">
        <v>12581000</v>
      </c>
      <c r="K397" s="2">
        <f t="shared" si="51"/>
        <v>0.80338441890166024</v>
      </c>
      <c r="L397" t="s">
        <v>819</v>
      </c>
      <c r="M397" t="s">
        <v>594</v>
      </c>
      <c r="N397" t="b">
        <f t="shared" si="52"/>
        <v>0</v>
      </c>
    </row>
    <row r="398" spans="1:14" x14ac:dyDescent="0.15">
      <c r="A398" t="s">
        <v>9961</v>
      </c>
      <c r="B398" t="s">
        <v>9964</v>
      </c>
      <c r="C398" t="s">
        <v>10793</v>
      </c>
      <c r="D398" t="s">
        <v>23</v>
      </c>
      <c r="E398" t="s">
        <v>10794</v>
      </c>
      <c r="F398" s="5" t="str">
        <f t="shared" ref="F398:F411" si="53">G398</f>
        <v>********</v>
      </c>
      <c r="G398" s="5" t="s">
        <v>145</v>
      </c>
      <c r="H398" t="s">
        <v>145</v>
      </c>
      <c r="I398" s="2" t="e">
        <f t="shared" si="50"/>
        <v>#VALUE!</v>
      </c>
      <c r="J398" s="4">
        <v>483000</v>
      </c>
      <c r="K398" s="2" t="e">
        <f t="shared" si="51"/>
        <v>#VALUE!</v>
      </c>
      <c r="L398" t="s">
        <v>9991</v>
      </c>
      <c r="M398" t="s">
        <v>126</v>
      </c>
      <c r="N398" t="b">
        <f t="shared" si="52"/>
        <v>0</v>
      </c>
    </row>
    <row r="399" spans="1:14" x14ac:dyDescent="0.15">
      <c r="A399" t="s">
        <v>9961</v>
      </c>
      <c r="B399" t="s">
        <v>10027</v>
      </c>
      <c r="C399" t="s">
        <v>10795</v>
      </c>
      <c r="D399" t="s">
        <v>15</v>
      </c>
      <c r="E399" t="s">
        <v>10796</v>
      </c>
      <c r="F399" s="5" t="str">
        <f t="shared" si="53"/>
        <v>********</v>
      </c>
      <c r="G399" s="5" t="s">
        <v>145</v>
      </c>
      <c r="I399" s="2" t="e">
        <f t="shared" si="50"/>
        <v>#VALUE!</v>
      </c>
      <c r="K399" s="2" t="e">
        <f t="shared" si="51"/>
        <v>#VALUE!</v>
      </c>
      <c r="M399" t="s">
        <v>139</v>
      </c>
      <c r="N399" t="b">
        <f t="shared" si="52"/>
        <v>0</v>
      </c>
    </row>
    <row r="400" spans="1:14" x14ac:dyDescent="0.15">
      <c r="A400" t="s">
        <v>9961</v>
      </c>
      <c r="B400" t="s">
        <v>10045</v>
      </c>
      <c r="C400" t="s">
        <v>10797</v>
      </c>
      <c r="D400" t="s">
        <v>23</v>
      </c>
      <c r="E400" t="s">
        <v>10798</v>
      </c>
      <c r="F400" s="5" t="str">
        <f t="shared" si="53"/>
        <v>********</v>
      </c>
      <c r="G400" s="5" t="s">
        <v>145</v>
      </c>
      <c r="H400" t="s">
        <v>145</v>
      </c>
      <c r="I400" s="2" t="e">
        <f t="shared" si="50"/>
        <v>#VALUE!</v>
      </c>
      <c r="J400" s="4">
        <v>8000000</v>
      </c>
      <c r="K400" s="2" t="e">
        <f t="shared" si="51"/>
        <v>#VALUE!</v>
      </c>
      <c r="L400" t="s">
        <v>10028</v>
      </c>
      <c r="M400" t="s">
        <v>80</v>
      </c>
      <c r="N400" t="b">
        <f t="shared" si="52"/>
        <v>0</v>
      </c>
    </row>
    <row r="401" spans="1:14" x14ac:dyDescent="0.15">
      <c r="A401" t="s">
        <v>9961</v>
      </c>
      <c r="B401" t="s">
        <v>10045</v>
      </c>
      <c r="C401" t="s">
        <v>10799</v>
      </c>
      <c r="D401" t="s">
        <v>23</v>
      </c>
      <c r="E401" t="s">
        <v>10800</v>
      </c>
      <c r="F401" s="5" t="str">
        <f t="shared" si="53"/>
        <v>********</v>
      </c>
      <c r="G401" s="5" t="s">
        <v>145</v>
      </c>
      <c r="H401" t="s">
        <v>145</v>
      </c>
      <c r="I401" s="2" t="e">
        <f t="shared" si="50"/>
        <v>#VALUE!</v>
      </c>
      <c r="J401" s="4">
        <v>4200000</v>
      </c>
      <c r="K401" s="2" t="e">
        <f t="shared" si="51"/>
        <v>#VALUE!</v>
      </c>
      <c r="L401" t="s">
        <v>360</v>
      </c>
      <c r="M401" t="s">
        <v>192</v>
      </c>
      <c r="N401" t="b">
        <f t="shared" si="52"/>
        <v>0</v>
      </c>
    </row>
    <row r="402" spans="1:14" x14ac:dyDescent="0.15">
      <c r="A402" t="s">
        <v>9961</v>
      </c>
      <c r="B402" t="s">
        <v>10063</v>
      </c>
      <c r="C402" t="s">
        <v>10801</v>
      </c>
      <c r="D402" t="s">
        <v>15</v>
      </c>
      <c r="E402" t="s">
        <v>10802</v>
      </c>
      <c r="F402" s="5" t="str">
        <f t="shared" si="53"/>
        <v>********</v>
      </c>
      <c r="G402" s="5" t="s">
        <v>145</v>
      </c>
      <c r="H402" t="s">
        <v>145</v>
      </c>
      <c r="I402" s="2" t="e">
        <f t="shared" si="50"/>
        <v>#VALUE!</v>
      </c>
      <c r="K402" s="2" t="e">
        <f t="shared" si="51"/>
        <v>#VALUE!</v>
      </c>
      <c r="M402" t="s">
        <v>139</v>
      </c>
      <c r="N402" t="b">
        <f t="shared" si="52"/>
        <v>0</v>
      </c>
    </row>
    <row r="403" spans="1:14" x14ac:dyDescent="0.15">
      <c r="A403" t="s">
        <v>9961</v>
      </c>
      <c r="B403" t="s">
        <v>10063</v>
      </c>
      <c r="C403" t="s">
        <v>10803</v>
      </c>
      <c r="D403" t="s">
        <v>23</v>
      </c>
      <c r="E403" t="s">
        <v>10804</v>
      </c>
      <c r="F403" s="5" t="str">
        <f t="shared" si="53"/>
        <v>********</v>
      </c>
      <c r="G403" s="5" t="s">
        <v>145</v>
      </c>
      <c r="H403" t="s">
        <v>145</v>
      </c>
      <c r="I403" s="2" t="e">
        <f t="shared" si="50"/>
        <v>#VALUE!</v>
      </c>
      <c r="J403" s="4">
        <v>10700000</v>
      </c>
      <c r="K403" s="2" t="e">
        <f t="shared" si="51"/>
        <v>#VALUE!</v>
      </c>
      <c r="L403" t="s">
        <v>1030</v>
      </c>
      <c r="M403" t="s">
        <v>192</v>
      </c>
      <c r="N403" t="b">
        <f t="shared" si="52"/>
        <v>0</v>
      </c>
    </row>
    <row r="404" spans="1:14" x14ac:dyDescent="0.15">
      <c r="A404" t="s">
        <v>9961</v>
      </c>
      <c r="B404" t="s">
        <v>10063</v>
      </c>
      <c r="C404" t="s">
        <v>10805</v>
      </c>
      <c r="D404" t="s">
        <v>23</v>
      </c>
      <c r="E404" t="s">
        <v>10806</v>
      </c>
      <c r="F404" s="5" t="str">
        <f t="shared" si="53"/>
        <v>********</v>
      </c>
      <c r="G404" s="5" t="s">
        <v>145</v>
      </c>
      <c r="H404" t="s">
        <v>145</v>
      </c>
      <c r="I404" s="2" t="e">
        <f t="shared" si="50"/>
        <v>#VALUE!</v>
      </c>
      <c r="J404" s="4">
        <v>5800000</v>
      </c>
      <c r="K404" s="2" t="e">
        <f t="shared" si="51"/>
        <v>#VALUE!</v>
      </c>
      <c r="L404" t="s">
        <v>2499</v>
      </c>
      <c r="M404" t="s">
        <v>80</v>
      </c>
      <c r="N404" t="b">
        <f t="shared" si="52"/>
        <v>0</v>
      </c>
    </row>
    <row r="405" spans="1:14" x14ac:dyDescent="0.15">
      <c r="A405" t="s">
        <v>9961</v>
      </c>
      <c r="B405" t="s">
        <v>10051</v>
      </c>
      <c r="C405" t="s">
        <v>10807</v>
      </c>
      <c r="D405" t="s">
        <v>23</v>
      </c>
      <c r="E405" t="s">
        <v>10808</v>
      </c>
      <c r="F405" s="5" t="str">
        <f t="shared" si="53"/>
        <v>********</v>
      </c>
      <c r="G405" s="5" t="s">
        <v>145</v>
      </c>
      <c r="H405" t="s">
        <v>145</v>
      </c>
      <c r="I405" s="2" t="e">
        <f t="shared" si="50"/>
        <v>#VALUE!</v>
      </c>
      <c r="J405" s="4">
        <v>13960000</v>
      </c>
      <c r="K405" s="2" t="e">
        <f t="shared" si="51"/>
        <v>#VALUE!</v>
      </c>
      <c r="L405" t="s">
        <v>1078</v>
      </c>
      <c r="M405" t="s">
        <v>80</v>
      </c>
      <c r="N405" t="b">
        <f t="shared" si="52"/>
        <v>0</v>
      </c>
    </row>
    <row r="406" spans="1:14" x14ac:dyDescent="0.15">
      <c r="A406" t="s">
        <v>9961</v>
      </c>
      <c r="B406" t="s">
        <v>10063</v>
      </c>
      <c r="C406" t="s">
        <v>10809</v>
      </c>
      <c r="D406" t="s">
        <v>23</v>
      </c>
      <c r="E406" t="s">
        <v>10810</v>
      </c>
      <c r="F406" s="5" t="str">
        <f t="shared" si="53"/>
        <v>********</v>
      </c>
      <c r="G406" s="5" t="s">
        <v>145</v>
      </c>
      <c r="H406" t="s">
        <v>145</v>
      </c>
      <c r="I406" s="2" t="e">
        <f t="shared" si="50"/>
        <v>#VALUE!</v>
      </c>
      <c r="J406" s="4">
        <v>10555000</v>
      </c>
      <c r="K406" s="2" t="e">
        <f t="shared" si="51"/>
        <v>#VALUE!</v>
      </c>
      <c r="L406" t="s">
        <v>540</v>
      </c>
      <c r="M406" t="s">
        <v>80</v>
      </c>
      <c r="N406" t="b">
        <f t="shared" si="52"/>
        <v>0</v>
      </c>
    </row>
    <row r="407" spans="1:14" x14ac:dyDescent="0.15">
      <c r="A407" t="s">
        <v>9961</v>
      </c>
      <c r="B407" t="s">
        <v>10063</v>
      </c>
      <c r="C407" t="s">
        <v>10811</v>
      </c>
      <c r="D407" t="s">
        <v>23</v>
      </c>
      <c r="E407" t="s">
        <v>10812</v>
      </c>
      <c r="F407" s="5" t="str">
        <f t="shared" si="53"/>
        <v>********</v>
      </c>
      <c r="G407" s="5" t="s">
        <v>145</v>
      </c>
      <c r="H407" t="s">
        <v>145</v>
      </c>
      <c r="I407" s="2" t="e">
        <f t="shared" si="50"/>
        <v>#VALUE!</v>
      </c>
      <c r="J407" s="4">
        <v>8340000</v>
      </c>
      <c r="K407" s="2" t="e">
        <f t="shared" si="51"/>
        <v>#VALUE!</v>
      </c>
      <c r="L407" t="s">
        <v>540</v>
      </c>
      <c r="M407" t="s">
        <v>80</v>
      </c>
      <c r="N407" t="b">
        <f t="shared" si="52"/>
        <v>0</v>
      </c>
    </row>
    <row r="408" spans="1:14" x14ac:dyDescent="0.15">
      <c r="A408" t="s">
        <v>9961</v>
      </c>
      <c r="B408" t="s">
        <v>10051</v>
      </c>
      <c r="C408" t="s">
        <v>10813</v>
      </c>
      <c r="D408" t="s">
        <v>23</v>
      </c>
      <c r="E408" t="s">
        <v>10814</v>
      </c>
      <c r="F408" s="5" t="str">
        <f t="shared" si="53"/>
        <v>********</v>
      </c>
      <c r="G408" s="5" t="s">
        <v>145</v>
      </c>
      <c r="H408" t="s">
        <v>145</v>
      </c>
      <c r="I408" s="2" t="e">
        <f t="shared" si="50"/>
        <v>#VALUE!</v>
      </c>
      <c r="J408" s="4">
        <v>17500000</v>
      </c>
      <c r="K408" s="2" t="e">
        <f t="shared" si="51"/>
        <v>#VALUE!</v>
      </c>
      <c r="L408" t="s">
        <v>1458</v>
      </c>
      <c r="M408" t="s">
        <v>80</v>
      </c>
      <c r="N408" t="b">
        <f t="shared" si="52"/>
        <v>0</v>
      </c>
    </row>
    <row r="409" spans="1:14" x14ac:dyDescent="0.15">
      <c r="A409" t="s">
        <v>9961</v>
      </c>
      <c r="B409" t="s">
        <v>10021</v>
      </c>
      <c r="C409" t="s">
        <v>10815</v>
      </c>
      <c r="D409" t="s">
        <v>23</v>
      </c>
      <c r="E409" t="s">
        <v>10816</v>
      </c>
      <c r="F409" s="5" t="str">
        <f t="shared" si="53"/>
        <v>********</v>
      </c>
      <c r="G409" s="5" t="s">
        <v>145</v>
      </c>
      <c r="H409" t="s">
        <v>145</v>
      </c>
      <c r="I409" s="2" t="e">
        <f t="shared" si="50"/>
        <v>#VALUE!</v>
      </c>
      <c r="J409" s="4">
        <v>6470000</v>
      </c>
      <c r="K409" s="2" t="e">
        <f t="shared" si="51"/>
        <v>#VALUE!</v>
      </c>
      <c r="L409" t="s">
        <v>4310</v>
      </c>
      <c r="M409" t="s">
        <v>192</v>
      </c>
      <c r="N409" t="b">
        <f t="shared" si="52"/>
        <v>0</v>
      </c>
    </row>
    <row r="410" spans="1:14" x14ac:dyDescent="0.15">
      <c r="A410" t="s">
        <v>9961</v>
      </c>
      <c r="B410" t="s">
        <v>10021</v>
      </c>
      <c r="C410" t="s">
        <v>10817</v>
      </c>
      <c r="D410" t="s">
        <v>23</v>
      </c>
      <c r="E410" t="s">
        <v>10818</v>
      </c>
      <c r="F410" s="5" t="str">
        <f t="shared" si="53"/>
        <v>********</v>
      </c>
      <c r="G410" s="5" t="s">
        <v>145</v>
      </c>
      <c r="H410" t="s">
        <v>145</v>
      </c>
      <c r="I410" s="2" t="e">
        <f t="shared" si="50"/>
        <v>#VALUE!</v>
      </c>
      <c r="J410" s="4">
        <v>7470000</v>
      </c>
      <c r="K410" s="2" t="e">
        <f t="shared" si="51"/>
        <v>#VALUE!</v>
      </c>
      <c r="L410" t="s">
        <v>10022</v>
      </c>
      <c r="M410" t="s">
        <v>192</v>
      </c>
      <c r="N410" t="b">
        <f t="shared" si="52"/>
        <v>0</v>
      </c>
    </row>
    <row r="411" spans="1:14" x14ac:dyDescent="0.15">
      <c r="A411" t="s">
        <v>9961</v>
      </c>
      <c r="B411" t="s">
        <v>10021</v>
      </c>
      <c r="C411" t="s">
        <v>10819</v>
      </c>
      <c r="D411" t="s">
        <v>23</v>
      </c>
      <c r="E411" t="s">
        <v>10820</v>
      </c>
      <c r="F411" s="5" t="str">
        <f t="shared" si="53"/>
        <v>********</v>
      </c>
      <c r="G411" s="5" t="s">
        <v>145</v>
      </c>
      <c r="H411" t="s">
        <v>145</v>
      </c>
      <c r="I411" s="2" t="e">
        <f t="shared" si="50"/>
        <v>#VALUE!</v>
      </c>
      <c r="J411" s="4">
        <v>4300000</v>
      </c>
      <c r="K411" s="2" t="e">
        <f t="shared" si="51"/>
        <v>#VALUE!</v>
      </c>
      <c r="L411" t="s">
        <v>215</v>
      </c>
      <c r="M411" t="s">
        <v>192</v>
      </c>
      <c r="N411" t="b">
        <f t="shared" si="52"/>
        <v>0</v>
      </c>
    </row>
    <row r="412" spans="1:14" x14ac:dyDescent="0.15">
      <c r="A412" t="s">
        <v>9961</v>
      </c>
      <c r="B412" t="s">
        <v>9967</v>
      </c>
      <c r="C412" t="s">
        <v>10821</v>
      </c>
      <c r="D412" t="s">
        <v>23</v>
      </c>
      <c r="E412" t="s">
        <v>10822</v>
      </c>
      <c r="F412" s="5">
        <v>6290000</v>
      </c>
      <c r="G412" s="5">
        <v>6290000</v>
      </c>
      <c r="H412" s="4">
        <v>4953000</v>
      </c>
      <c r="I412" s="2">
        <f t="shared" si="50"/>
        <v>0.78744038155802865</v>
      </c>
      <c r="J412" s="4">
        <v>4953000</v>
      </c>
      <c r="K412" s="2">
        <f t="shared" si="51"/>
        <v>0.78744038155802865</v>
      </c>
      <c r="L412" t="s">
        <v>10100</v>
      </c>
      <c r="M412" t="s">
        <v>174</v>
      </c>
      <c r="N412" t="b">
        <f t="shared" si="52"/>
        <v>0</v>
      </c>
    </row>
    <row r="413" spans="1:14" x14ac:dyDescent="0.15">
      <c r="A413" t="s">
        <v>9961</v>
      </c>
      <c r="B413" t="s">
        <v>9967</v>
      </c>
      <c r="C413" t="s">
        <v>10823</v>
      </c>
      <c r="D413" t="s">
        <v>23</v>
      </c>
      <c r="E413" t="s">
        <v>10824</v>
      </c>
      <c r="F413" s="5">
        <v>7920000</v>
      </c>
      <c r="G413" s="5">
        <v>7920000</v>
      </c>
      <c r="H413" s="4">
        <v>6303000</v>
      </c>
      <c r="I413" s="2">
        <f t="shared" si="50"/>
        <v>0.79583333333333328</v>
      </c>
      <c r="J413" s="4">
        <v>6303000</v>
      </c>
      <c r="K413" s="2">
        <f t="shared" si="51"/>
        <v>0.79583333333333328</v>
      </c>
      <c r="L413" t="s">
        <v>10068</v>
      </c>
      <c r="M413" t="s">
        <v>174</v>
      </c>
      <c r="N413" t="b">
        <f t="shared" si="52"/>
        <v>0</v>
      </c>
    </row>
    <row r="414" spans="1:14" x14ac:dyDescent="0.15">
      <c r="A414" t="s">
        <v>9961</v>
      </c>
      <c r="B414" t="s">
        <v>10021</v>
      </c>
      <c r="C414" t="s">
        <v>10825</v>
      </c>
      <c r="D414" t="s">
        <v>23</v>
      </c>
      <c r="E414" t="s">
        <v>10826</v>
      </c>
      <c r="F414" s="5" t="str">
        <f t="shared" ref="F414:F420" si="54">G414</f>
        <v>********</v>
      </c>
      <c r="G414" s="5" t="s">
        <v>145</v>
      </c>
      <c r="H414" t="s">
        <v>145</v>
      </c>
      <c r="I414" s="2" t="e">
        <f t="shared" si="50"/>
        <v>#VALUE!</v>
      </c>
      <c r="J414" s="4">
        <v>12100000</v>
      </c>
      <c r="K414" s="2" t="e">
        <f t="shared" si="51"/>
        <v>#VALUE!</v>
      </c>
      <c r="L414" t="s">
        <v>1800</v>
      </c>
      <c r="M414" t="s">
        <v>192</v>
      </c>
      <c r="N414" t="b">
        <f t="shared" si="52"/>
        <v>0</v>
      </c>
    </row>
    <row r="415" spans="1:14" x14ac:dyDescent="0.15">
      <c r="A415" t="s">
        <v>9961</v>
      </c>
      <c r="B415" t="s">
        <v>10021</v>
      </c>
      <c r="C415" t="s">
        <v>10827</v>
      </c>
      <c r="D415" t="s">
        <v>23</v>
      </c>
      <c r="E415" t="s">
        <v>10828</v>
      </c>
      <c r="F415" s="5" t="str">
        <f t="shared" si="54"/>
        <v>********</v>
      </c>
      <c r="G415" s="5" t="s">
        <v>145</v>
      </c>
      <c r="H415" t="s">
        <v>145</v>
      </c>
      <c r="I415" s="2" t="e">
        <f t="shared" si="50"/>
        <v>#VALUE!</v>
      </c>
      <c r="J415" s="4">
        <v>2500000</v>
      </c>
      <c r="K415" s="2" t="e">
        <f t="shared" si="51"/>
        <v>#VALUE!</v>
      </c>
      <c r="L415" t="s">
        <v>10829</v>
      </c>
      <c r="M415" t="s">
        <v>432</v>
      </c>
      <c r="N415" t="b">
        <f t="shared" si="52"/>
        <v>0</v>
      </c>
    </row>
    <row r="416" spans="1:14" x14ac:dyDescent="0.15">
      <c r="A416" t="s">
        <v>9961</v>
      </c>
      <c r="B416" t="s">
        <v>10037</v>
      </c>
      <c r="C416" t="s">
        <v>10830</v>
      </c>
      <c r="D416" t="s">
        <v>23</v>
      </c>
      <c r="E416" t="s">
        <v>10831</v>
      </c>
      <c r="F416" s="5" t="str">
        <f t="shared" si="54"/>
        <v>********</v>
      </c>
      <c r="G416" s="5" t="s">
        <v>145</v>
      </c>
      <c r="H416" t="s">
        <v>145</v>
      </c>
      <c r="I416" s="2" t="e">
        <f t="shared" si="50"/>
        <v>#VALUE!</v>
      </c>
      <c r="J416" s="4">
        <v>15000000</v>
      </c>
      <c r="K416" s="2" t="e">
        <f t="shared" si="51"/>
        <v>#VALUE!</v>
      </c>
      <c r="L416" t="s">
        <v>4816</v>
      </c>
      <c r="M416" t="s">
        <v>80</v>
      </c>
      <c r="N416" t="b">
        <f t="shared" si="52"/>
        <v>0</v>
      </c>
    </row>
    <row r="417" spans="1:14" x14ac:dyDescent="0.15">
      <c r="A417" t="s">
        <v>9961</v>
      </c>
      <c r="B417" t="s">
        <v>10257</v>
      </c>
      <c r="C417" t="s">
        <v>10832</v>
      </c>
      <c r="D417" t="s">
        <v>23</v>
      </c>
      <c r="E417" t="s">
        <v>10833</v>
      </c>
      <c r="F417" s="5" t="str">
        <f t="shared" si="54"/>
        <v>********</v>
      </c>
      <c r="G417" s="5" t="s">
        <v>145</v>
      </c>
      <c r="H417" s="4">
        <v>3026000</v>
      </c>
      <c r="I417" s="2" t="e">
        <f t="shared" si="50"/>
        <v>#VALUE!</v>
      </c>
      <c r="J417" s="4">
        <v>3680000</v>
      </c>
      <c r="K417" s="2" t="e">
        <f t="shared" si="51"/>
        <v>#VALUE!</v>
      </c>
      <c r="L417" t="s">
        <v>10100</v>
      </c>
      <c r="M417" t="s">
        <v>432</v>
      </c>
      <c r="N417" t="b">
        <f t="shared" si="52"/>
        <v>0</v>
      </c>
    </row>
    <row r="418" spans="1:14" x14ac:dyDescent="0.15">
      <c r="A418" t="s">
        <v>9961</v>
      </c>
      <c r="B418" t="s">
        <v>10257</v>
      </c>
      <c r="C418" t="s">
        <v>10834</v>
      </c>
      <c r="D418" t="s">
        <v>23</v>
      </c>
      <c r="E418" t="s">
        <v>10835</v>
      </c>
      <c r="F418" s="5" t="str">
        <f t="shared" si="54"/>
        <v>********</v>
      </c>
      <c r="G418" s="5" t="s">
        <v>145</v>
      </c>
      <c r="H418" s="4">
        <v>2638000</v>
      </c>
      <c r="I418" s="2" t="e">
        <f t="shared" si="50"/>
        <v>#VALUE!</v>
      </c>
      <c r="J418" s="4">
        <v>3230000</v>
      </c>
      <c r="K418" s="2" t="e">
        <f t="shared" si="51"/>
        <v>#VALUE!</v>
      </c>
      <c r="L418" t="s">
        <v>10068</v>
      </c>
      <c r="M418" t="s">
        <v>432</v>
      </c>
      <c r="N418" t="b">
        <f t="shared" si="52"/>
        <v>0</v>
      </c>
    </row>
    <row r="419" spans="1:14" x14ac:dyDescent="0.15">
      <c r="A419" t="s">
        <v>9961</v>
      </c>
      <c r="B419" t="s">
        <v>10045</v>
      </c>
      <c r="C419" t="s">
        <v>10836</v>
      </c>
      <c r="D419" t="s">
        <v>23</v>
      </c>
      <c r="E419" t="s">
        <v>10837</v>
      </c>
      <c r="F419" s="5" t="str">
        <f t="shared" si="54"/>
        <v>********</v>
      </c>
      <c r="G419" s="5" t="s">
        <v>145</v>
      </c>
      <c r="H419" t="s">
        <v>145</v>
      </c>
      <c r="I419" s="2" t="e">
        <f t="shared" si="50"/>
        <v>#VALUE!</v>
      </c>
      <c r="J419" s="4">
        <v>18400000</v>
      </c>
      <c r="K419" s="2" t="e">
        <f t="shared" si="51"/>
        <v>#VALUE!</v>
      </c>
      <c r="L419" t="s">
        <v>608</v>
      </c>
      <c r="M419" t="s">
        <v>80</v>
      </c>
      <c r="N419" t="b">
        <f t="shared" si="52"/>
        <v>0</v>
      </c>
    </row>
    <row r="420" spans="1:14" x14ac:dyDescent="0.15">
      <c r="A420" t="s">
        <v>9961</v>
      </c>
      <c r="B420" t="s">
        <v>10021</v>
      </c>
      <c r="C420" t="s">
        <v>10838</v>
      </c>
      <c r="D420" t="s">
        <v>23</v>
      </c>
      <c r="E420" t="s">
        <v>10839</v>
      </c>
      <c r="F420" s="5" t="str">
        <f t="shared" si="54"/>
        <v>********</v>
      </c>
      <c r="G420" s="5" t="s">
        <v>145</v>
      </c>
      <c r="H420" t="s">
        <v>145</v>
      </c>
      <c r="I420" s="2" t="e">
        <f t="shared" si="50"/>
        <v>#VALUE!</v>
      </c>
      <c r="J420" s="4">
        <v>49850000</v>
      </c>
      <c r="K420" s="2" t="e">
        <f t="shared" si="51"/>
        <v>#VALUE!</v>
      </c>
      <c r="L420" t="s">
        <v>1321</v>
      </c>
      <c r="M420" t="s">
        <v>80</v>
      </c>
      <c r="N420" t="b">
        <f t="shared" si="52"/>
        <v>0</v>
      </c>
    </row>
    <row r="421" spans="1:14" x14ac:dyDescent="0.15">
      <c r="A421" t="s">
        <v>9961</v>
      </c>
      <c r="B421" t="s">
        <v>10048</v>
      </c>
      <c r="C421" t="s">
        <v>10840</v>
      </c>
      <c r="D421" t="s">
        <v>23</v>
      </c>
      <c r="E421" t="s">
        <v>10841</v>
      </c>
      <c r="F421" s="5" t="s">
        <v>145</v>
      </c>
      <c r="G421" s="5" t="s">
        <v>145</v>
      </c>
      <c r="H421" t="s">
        <v>145</v>
      </c>
      <c r="I421" s="2" t="e">
        <f t="shared" si="50"/>
        <v>#VALUE!</v>
      </c>
      <c r="J421" s="4">
        <v>18500000</v>
      </c>
      <c r="K421" s="2" t="e">
        <f t="shared" si="51"/>
        <v>#VALUE!</v>
      </c>
      <c r="L421" t="s">
        <v>608</v>
      </c>
      <c r="M421" t="s">
        <v>80</v>
      </c>
      <c r="N421" t="b">
        <f t="shared" si="52"/>
        <v>0</v>
      </c>
    </row>
    <row r="422" spans="1:14" x14ac:dyDescent="0.15">
      <c r="A422" t="s">
        <v>9961</v>
      </c>
      <c r="B422" t="s">
        <v>9964</v>
      </c>
      <c r="C422" t="s">
        <v>10842</v>
      </c>
      <c r="D422" t="s">
        <v>23</v>
      </c>
      <c r="E422" t="s">
        <v>10843</v>
      </c>
      <c r="F422" s="5" t="str">
        <f t="shared" ref="F422:F424" si="55">G422</f>
        <v>********</v>
      </c>
      <c r="G422" s="5" t="s">
        <v>145</v>
      </c>
      <c r="H422" t="s">
        <v>145</v>
      </c>
      <c r="I422" s="2" t="e">
        <f t="shared" si="50"/>
        <v>#VALUE!</v>
      </c>
      <c r="J422" s="4">
        <v>426000</v>
      </c>
      <c r="K422" s="2" t="e">
        <f t="shared" si="51"/>
        <v>#VALUE!</v>
      </c>
      <c r="L422" t="s">
        <v>332</v>
      </c>
      <c r="M422" t="s">
        <v>432</v>
      </c>
      <c r="N422" t="b">
        <f t="shared" si="52"/>
        <v>0</v>
      </c>
    </row>
    <row r="423" spans="1:14" x14ac:dyDescent="0.15">
      <c r="A423" t="s">
        <v>9961</v>
      </c>
      <c r="B423" t="s">
        <v>10764</v>
      </c>
      <c r="C423" t="s">
        <v>10844</v>
      </c>
      <c r="D423" t="s">
        <v>23</v>
      </c>
      <c r="E423" t="s">
        <v>10845</v>
      </c>
      <c r="F423" s="5" t="str">
        <f t="shared" si="55"/>
        <v>********</v>
      </c>
      <c r="G423" s="5" t="s">
        <v>145</v>
      </c>
      <c r="H423" t="s">
        <v>145</v>
      </c>
      <c r="I423" s="2" t="e">
        <f t="shared" si="50"/>
        <v>#VALUE!</v>
      </c>
      <c r="J423" s="4">
        <v>34800000</v>
      </c>
      <c r="K423" s="2" t="e">
        <f t="shared" si="51"/>
        <v>#VALUE!</v>
      </c>
      <c r="L423" t="s">
        <v>1800</v>
      </c>
      <c r="M423" t="s">
        <v>80</v>
      </c>
      <c r="N423" t="b">
        <f t="shared" si="52"/>
        <v>0</v>
      </c>
    </row>
    <row r="424" spans="1:14" x14ac:dyDescent="0.15">
      <c r="A424" t="s">
        <v>9961</v>
      </c>
      <c r="B424" t="s">
        <v>10063</v>
      </c>
      <c r="C424" t="s">
        <v>10846</v>
      </c>
      <c r="D424" t="s">
        <v>15</v>
      </c>
      <c r="E424" t="s">
        <v>10847</v>
      </c>
      <c r="F424" s="5" t="str">
        <f t="shared" si="55"/>
        <v>********</v>
      </c>
      <c r="G424" s="5" t="s">
        <v>145</v>
      </c>
      <c r="I424" s="2" t="e">
        <f t="shared" si="50"/>
        <v>#VALUE!</v>
      </c>
      <c r="K424" s="2" t="e">
        <f t="shared" si="51"/>
        <v>#VALUE!</v>
      </c>
      <c r="M424" t="s">
        <v>139</v>
      </c>
      <c r="N424" t="b">
        <f t="shared" si="52"/>
        <v>0</v>
      </c>
    </row>
    <row r="425" spans="1:14" x14ac:dyDescent="0.15">
      <c r="A425" t="s">
        <v>9961</v>
      </c>
      <c r="B425" t="s">
        <v>9967</v>
      </c>
      <c r="C425" t="s">
        <v>10848</v>
      </c>
      <c r="D425" t="s">
        <v>15</v>
      </c>
      <c r="E425" t="s">
        <v>10849</v>
      </c>
      <c r="F425" s="5">
        <v>1370000</v>
      </c>
      <c r="G425" s="5">
        <v>1370000</v>
      </c>
      <c r="I425" s="2">
        <f t="shared" si="50"/>
        <v>0</v>
      </c>
      <c r="K425" s="2">
        <f t="shared" si="51"/>
        <v>0</v>
      </c>
      <c r="M425" t="s">
        <v>139</v>
      </c>
      <c r="N425" t="b">
        <f t="shared" si="52"/>
        <v>0</v>
      </c>
    </row>
    <row r="426" spans="1:14" x14ac:dyDescent="0.15">
      <c r="A426" t="s">
        <v>9961</v>
      </c>
      <c r="B426" t="s">
        <v>9967</v>
      </c>
      <c r="C426" t="s">
        <v>10850</v>
      </c>
      <c r="D426" t="s">
        <v>118</v>
      </c>
      <c r="E426" t="s">
        <v>10851</v>
      </c>
      <c r="F426" s="5">
        <v>10980000</v>
      </c>
      <c r="G426" s="5">
        <v>10980000</v>
      </c>
      <c r="H426" s="4">
        <v>8828000</v>
      </c>
      <c r="I426" s="2">
        <f t="shared" si="50"/>
        <v>0.80400728597449911</v>
      </c>
      <c r="J426" s="4">
        <v>8828000</v>
      </c>
      <c r="K426" s="2">
        <f t="shared" si="51"/>
        <v>0.80400728597449911</v>
      </c>
      <c r="L426" t="s">
        <v>731</v>
      </c>
      <c r="M426" t="s">
        <v>31</v>
      </c>
      <c r="N426" t="b">
        <f t="shared" si="52"/>
        <v>0</v>
      </c>
    </row>
    <row r="427" spans="1:14" x14ac:dyDescent="0.15">
      <c r="A427" t="s">
        <v>9961</v>
      </c>
      <c r="B427" t="s">
        <v>9967</v>
      </c>
      <c r="C427" t="s">
        <v>10852</v>
      </c>
      <c r="D427" t="s">
        <v>118</v>
      </c>
      <c r="E427" t="s">
        <v>10853</v>
      </c>
      <c r="F427" s="5">
        <v>17240000</v>
      </c>
      <c r="G427" s="5">
        <v>17240000</v>
      </c>
      <c r="H427" s="4">
        <v>13844000</v>
      </c>
      <c r="I427" s="2">
        <f t="shared" si="50"/>
        <v>0.80301624129930393</v>
      </c>
      <c r="J427" s="4">
        <v>13844000</v>
      </c>
      <c r="K427" s="2">
        <f t="shared" si="51"/>
        <v>0.80301624129930393</v>
      </c>
      <c r="L427" t="s">
        <v>9988</v>
      </c>
      <c r="M427" t="s">
        <v>432</v>
      </c>
      <c r="N427" t="b">
        <f t="shared" si="52"/>
        <v>0</v>
      </c>
    </row>
    <row r="428" spans="1:14" x14ac:dyDescent="0.15">
      <c r="A428" t="s">
        <v>9961</v>
      </c>
      <c r="B428" t="s">
        <v>9967</v>
      </c>
      <c r="C428" t="s">
        <v>10854</v>
      </c>
      <c r="D428" t="s">
        <v>118</v>
      </c>
      <c r="E428" t="s">
        <v>10855</v>
      </c>
      <c r="F428" s="5">
        <v>24540000</v>
      </c>
      <c r="G428" s="5">
        <v>24540000</v>
      </c>
      <c r="H428" s="4">
        <v>19641000</v>
      </c>
      <c r="I428" s="2">
        <f t="shared" si="50"/>
        <v>0.80036674816625919</v>
      </c>
      <c r="J428" s="4">
        <v>19641000</v>
      </c>
      <c r="K428" s="2">
        <f t="shared" si="51"/>
        <v>0.80036674816625919</v>
      </c>
      <c r="L428" t="s">
        <v>1158</v>
      </c>
      <c r="M428" t="s">
        <v>1385</v>
      </c>
      <c r="N428" t="b">
        <f t="shared" si="52"/>
        <v>0</v>
      </c>
    </row>
    <row r="429" spans="1:14" x14ac:dyDescent="0.15">
      <c r="A429" t="s">
        <v>9961</v>
      </c>
      <c r="B429" t="s">
        <v>10027</v>
      </c>
      <c r="C429" t="s">
        <v>10856</v>
      </c>
      <c r="D429" t="s">
        <v>23</v>
      </c>
      <c r="E429" t="s">
        <v>10857</v>
      </c>
      <c r="F429" s="5" t="str">
        <f t="shared" ref="F429:F431" si="56">G429</f>
        <v>********</v>
      </c>
      <c r="G429" s="5" t="s">
        <v>145</v>
      </c>
      <c r="H429" t="s">
        <v>145</v>
      </c>
      <c r="I429" s="2" t="e">
        <f t="shared" si="50"/>
        <v>#VALUE!</v>
      </c>
      <c r="J429" s="4">
        <v>2980000</v>
      </c>
      <c r="K429" s="2" t="e">
        <f t="shared" si="51"/>
        <v>#VALUE!</v>
      </c>
      <c r="L429" t="s">
        <v>4816</v>
      </c>
      <c r="M429" t="s">
        <v>192</v>
      </c>
      <c r="N429" t="b">
        <f t="shared" si="52"/>
        <v>0</v>
      </c>
    </row>
    <row r="430" spans="1:14" x14ac:dyDescent="0.15">
      <c r="A430" t="s">
        <v>9961</v>
      </c>
      <c r="B430" t="s">
        <v>10027</v>
      </c>
      <c r="C430" t="s">
        <v>10858</v>
      </c>
      <c r="D430" t="s">
        <v>23</v>
      </c>
      <c r="E430" t="s">
        <v>10859</v>
      </c>
      <c r="F430" s="5" t="str">
        <f t="shared" si="56"/>
        <v>********</v>
      </c>
      <c r="G430" s="5" t="s">
        <v>145</v>
      </c>
      <c r="H430" t="s">
        <v>145</v>
      </c>
      <c r="I430" s="2" t="e">
        <f t="shared" si="50"/>
        <v>#VALUE!</v>
      </c>
      <c r="J430" s="4">
        <v>2450000</v>
      </c>
      <c r="K430" s="2" t="e">
        <f t="shared" si="51"/>
        <v>#VALUE!</v>
      </c>
      <c r="L430" t="s">
        <v>10028</v>
      </c>
      <c r="M430" t="s">
        <v>192</v>
      </c>
      <c r="N430" t="b">
        <f t="shared" si="52"/>
        <v>0</v>
      </c>
    </row>
    <row r="431" spans="1:14" x14ac:dyDescent="0.15">
      <c r="A431" t="s">
        <v>9961</v>
      </c>
      <c r="B431" t="s">
        <v>10141</v>
      </c>
      <c r="C431" t="s">
        <v>10860</v>
      </c>
      <c r="D431" t="s">
        <v>23</v>
      </c>
      <c r="E431" t="s">
        <v>10861</v>
      </c>
      <c r="F431" s="5" t="str">
        <f t="shared" si="56"/>
        <v>********</v>
      </c>
      <c r="G431" s="5" t="s">
        <v>145</v>
      </c>
      <c r="H431" t="s">
        <v>145</v>
      </c>
      <c r="I431" s="2" t="e">
        <f t="shared" si="50"/>
        <v>#VALUE!</v>
      </c>
      <c r="J431" s="4">
        <v>19550000</v>
      </c>
      <c r="K431" s="2" t="e">
        <f t="shared" si="51"/>
        <v>#VALUE!</v>
      </c>
      <c r="L431" t="s">
        <v>215</v>
      </c>
      <c r="M431" t="s">
        <v>80</v>
      </c>
      <c r="N431" t="b">
        <f t="shared" si="52"/>
        <v>0</v>
      </c>
    </row>
    <row r="432" spans="1:14" x14ac:dyDescent="0.15">
      <c r="A432" t="s">
        <v>9961</v>
      </c>
      <c r="B432" t="s">
        <v>9967</v>
      </c>
      <c r="C432" t="s">
        <v>10862</v>
      </c>
      <c r="D432" t="s">
        <v>23</v>
      </c>
      <c r="E432" t="s">
        <v>10863</v>
      </c>
      <c r="F432" s="5">
        <v>5560000</v>
      </c>
      <c r="G432" s="5">
        <v>5560000</v>
      </c>
      <c r="H432" s="4">
        <v>4414000</v>
      </c>
      <c r="I432" s="2">
        <f t="shared" si="50"/>
        <v>0.79388489208633095</v>
      </c>
      <c r="J432" s="4">
        <v>5200000</v>
      </c>
      <c r="K432" s="2">
        <f t="shared" si="51"/>
        <v>0.93525179856115104</v>
      </c>
      <c r="L432" t="s">
        <v>1001</v>
      </c>
      <c r="M432" t="s">
        <v>165</v>
      </c>
      <c r="N432" t="b">
        <f t="shared" si="52"/>
        <v>0</v>
      </c>
    </row>
    <row r="433" spans="1:14" x14ac:dyDescent="0.15">
      <c r="A433" t="s">
        <v>9961</v>
      </c>
      <c r="B433" t="s">
        <v>9976</v>
      </c>
      <c r="C433" t="s">
        <v>10864</v>
      </c>
      <c r="D433" t="s">
        <v>23</v>
      </c>
      <c r="E433" t="s">
        <v>10865</v>
      </c>
      <c r="F433" s="5">
        <v>8950000</v>
      </c>
      <c r="G433" s="5">
        <v>8950000</v>
      </c>
      <c r="H433" s="4">
        <v>7180000</v>
      </c>
      <c r="I433" s="2">
        <f t="shared" si="50"/>
        <v>0.80223463687150842</v>
      </c>
      <c r="J433" s="4">
        <v>8600000</v>
      </c>
      <c r="K433" s="2">
        <f t="shared" si="51"/>
        <v>0.96089385474860334</v>
      </c>
      <c r="L433" t="s">
        <v>4797</v>
      </c>
      <c r="M433" t="s">
        <v>165</v>
      </c>
      <c r="N433" t="b">
        <f t="shared" si="52"/>
        <v>0</v>
      </c>
    </row>
    <row r="434" spans="1:14" x14ac:dyDescent="0.15">
      <c r="A434" t="s">
        <v>9961</v>
      </c>
      <c r="B434" t="s">
        <v>9967</v>
      </c>
      <c r="C434" t="s">
        <v>10866</v>
      </c>
      <c r="D434" t="s">
        <v>23</v>
      </c>
      <c r="E434" t="s">
        <v>10867</v>
      </c>
      <c r="F434" s="5">
        <v>2910000</v>
      </c>
      <c r="G434" s="5">
        <v>2910000</v>
      </c>
      <c r="H434" s="4">
        <v>2336000</v>
      </c>
      <c r="I434" s="2">
        <f t="shared" si="50"/>
        <v>0.80274914089347083</v>
      </c>
      <c r="J434" s="4">
        <v>2730000</v>
      </c>
      <c r="K434" s="2">
        <f t="shared" si="51"/>
        <v>0.93814432989690721</v>
      </c>
      <c r="L434" t="s">
        <v>687</v>
      </c>
      <c r="M434" t="s">
        <v>432</v>
      </c>
      <c r="N434" t="b">
        <f t="shared" si="52"/>
        <v>0</v>
      </c>
    </row>
    <row r="435" spans="1:14" x14ac:dyDescent="0.15">
      <c r="A435" t="s">
        <v>9961</v>
      </c>
      <c r="B435" t="s">
        <v>9967</v>
      </c>
      <c r="C435" t="s">
        <v>10868</v>
      </c>
      <c r="D435" t="s">
        <v>23</v>
      </c>
      <c r="E435" t="s">
        <v>10869</v>
      </c>
      <c r="F435" s="5">
        <v>6260000</v>
      </c>
      <c r="G435" s="5">
        <v>6260000</v>
      </c>
      <c r="H435" s="4">
        <v>5025000</v>
      </c>
      <c r="I435" s="2">
        <f t="shared" si="50"/>
        <v>0.80271565495207664</v>
      </c>
      <c r="J435" s="4">
        <v>5600000</v>
      </c>
      <c r="K435" s="2">
        <f t="shared" si="51"/>
        <v>0.89456869009584661</v>
      </c>
      <c r="L435" t="s">
        <v>694</v>
      </c>
      <c r="M435" t="s">
        <v>165</v>
      </c>
      <c r="N435" t="b">
        <f t="shared" si="52"/>
        <v>0</v>
      </c>
    </row>
    <row r="436" spans="1:14" x14ac:dyDescent="0.15">
      <c r="A436" t="s">
        <v>9961</v>
      </c>
      <c r="B436" t="s">
        <v>9967</v>
      </c>
      <c r="C436" t="s">
        <v>10870</v>
      </c>
      <c r="D436" t="s">
        <v>15</v>
      </c>
      <c r="E436" t="s">
        <v>10871</v>
      </c>
      <c r="F436" s="5">
        <v>2060000</v>
      </c>
      <c r="G436" s="5">
        <v>2060000</v>
      </c>
      <c r="I436" s="2">
        <f t="shared" si="50"/>
        <v>0</v>
      </c>
      <c r="K436" s="2">
        <f t="shared" si="51"/>
        <v>0</v>
      </c>
      <c r="M436" t="s">
        <v>139</v>
      </c>
      <c r="N436" t="b">
        <f t="shared" si="52"/>
        <v>0</v>
      </c>
    </row>
    <row r="437" spans="1:14" x14ac:dyDescent="0.15">
      <c r="A437" t="s">
        <v>9961</v>
      </c>
      <c r="B437" t="s">
        <v>9967</v>
      </c>
      <c r="C437" t="s">
        <v>10872</v>
      </c>
      <c r="D437" t="s">
        <v>15</v>
      </c>
      <c r="E437" t="s">
        <v>10873</v>
      </c>
      <c r="F437" s="5">
        <v>2060000</v>
      </c>
      <c r="G437" s="5">
        <v>2060000</v>
      </c>
      <c r="I437" s="2">
        <f t="shared" si="50"/>
        <v>0</v>
      </c>
      <c r="K437" s="2">
        <f t="shared" si="51"/>
        <v>0</v>
      </c>
      <c r="M437" t="s">
        <v>139</v>
      </c>
      <c r="N437" t="b">
        <f t="shared" si="52"/>
        <v>0</v>
      </c>
    </row>
    <row r="438" spans="1:14" x14ac:dyDescent="0.15">
      <c r="A438" t="s">
        <v>9961</v>
      </c>
      <c r="B438" t="s">
        <v>9967</v>
      </c>
      <c r="C438" t="s">
        <v>10874</v>
      </c>
      <c r="D438" t="s">
        <v>15</v>
      </c>
      <c r="E438" t="s">
        <v>10875</v>
      </c>
      <c r="F438" s="5">
        <v>2060000</v>
      </c>
      <c r="G438" s="5">
        <v>2060000</v>
      </c>
      <c r="I438" s="2">
        <f t="shared" si="50"/>
        <v>0</v>
      </c>
      <c r="K438" s="2">
        <f t="shared" si="51"/>
        <v>0</v>
      </c>
      <c r="M438" t="s">
        <v>139</v>
      </c>
      <c r="N438" t="b">
        <f t="shared" si="52"/>
        <v>0</v>
      </c>
    </row>
    <row r="439" spans="1:14" x14ac:dyDescent="0.15">
      <c r="A439" t="s">
        <v>9961</v>
      </c>
      <c r="B439" t="s">
        <v>9967</v>
      </c>
      <c r="C439" t="s">
        <v>10876</v>
      </c>
      <c r="D439" t="s">
        <v>15</v>
      </c>
      <c r="E439" t="s">
        <v>10877</v>
      </c>
      <c r="F439" s="5">
        <v>2060000</v>
      </c>
      <c r="G439" s="5">
        <v>2060000</v>
      </c>
      <c r="I439" s="2">
        <f t="shared" si="50"/>
        <v>0</v>
      </c>
      <c r="K439" s="2">
        <f t="shared" si="51"/>
        <v>0</v>
      </c>
      <c r="M439" t="s">
        <v>139</v>
      </c>
      <c r="N439" t="b">
        <f t="shared" si="52"/>
        <v>0</v>
      </c>
    </row>
    <row r="440" spans="1:14" x14ac:dyDescent="0.15">
      <c r="A440" t="s">
        <v>9961</v>
      </c>
      <c r="B440" t="s">
        <v>9967</v>
      </c>
      <c r="C440" t="s">
        <v>10878</v>
      </c>
      <c r="D440" t="s">
        <v>15</v>
      </c>
      <c r="E440" t="s">
        <v>10879</v>
      </c>
      <c r="F440" s="5">
        <v>2260000</v>
      </c>
      <c r="G440" s="5">
        <v>2260000</v>
      </c>
      <c r="I440" s="2">
        <f t="shared" si="50"/>
        <v>0</v>
      </c>
      <c r="K440" s="2">
        <f t="shared" si="51"/>
        <v>0</v>
      </c>
      <c r="M440" t="s">
        <v>139</v>
      </c>
      <c r="N440" t="b">
        <f t="shared" si="52"/>
        <v>0</v>
      </c>
    </row>
    <row r="441" spans="1:14" x14ac:dyDescent="0.15">
      <c r="A441" t="s">
        <v>9961</v>
      </c>
      <c r="B441" t="s">
        <v>9967</v>
      </c>
      <c r="C441" t="s">
        <v>10880</v>
      </c>
      <c r="D441" t="s">
        <v>15</v>
      </c>
      <c r="E441" t="s">
        <v>10881</v>
      </c>
      <c r="F441" s="5">
        <v>3270000</v>
      </c>
      <c r="G441" s="5">
        <v>3270000</v>
      </c>
      <c r="I441" s="2">
        <f t="shared" si="50"/>
        <v>0</v>
      </c>
      <c r="K441" s="2">
        <f t="shared" si="51"/>
        <v>0</v>
      </c>
      <c r="M441" t="s">
        <v>139</v>
      </c>
      <c r="N441" t="b">
        <f t="shared" si="52"/>
        <v>0</v>
      </c>
    </row>
    <row r="442" spans="1:14" x14ac:dyDescent="0.15">
      <c r="A442" t="s">
        <v>9961</v>
      </c>
      <c r="B442" t="s">
        <v>9967</v>
      </c>
      <c r="C442" t="s">
        <v>10882</v>
      </c>
      <c r="D442" t="s">
        <v>15</v>
      </c>
      <c r="E442" t="s">
        <v>10883</v>
      </c>
      <c r="F442" s="5">
        <v>4340000</v>
      </c>
      <c r="G442" s="5">
        <v>4340000</v>
      </c>
      <c r="I442" s="2">
        <f t="shared" si="50"/>
        <v>0</v>
      </c>
      <c r="K442" s="2">
        <f t="shared" si="51"/>
        <v>0</v>
      </c>
      <c r="M442" t="s">
        <v>139</v>
      </c>
      <c r="N442" t="b">
        <f t="shared" si="52"/>
        <v>0</v>
      </c>
    </row>
    <row r="443" spans="1:14" x14ac:dyDescent="0.15">
      <c r="A443" t="s">
        <v>9961</v>
      </c>
      <c r="B443" t="s">
        <v>9967</v>
      </c>
      <c r="C443" t="s">
        <v>10884</v>
      </c>
      <c r="D443" t="s">
        <v>118</v>
      </c>
      <c r="E443" t="s">
        <v>10885</v>
      </c>
      <c r="F443" s="5">
        <v>9150000</v>
      </c>
      <c r="G443" s="5">
        <v>9150000</v>
      </c>
      <c r="H443" s="4">
        <v>7344000</v>
      </c>
      <c r="I443" s="2">
        <f t="shared" si="50"/>
        <v>0.80262295081967217</v>
      </c>
      <c r="J443" s="4">
        <v>7344000</v>
      </c>
      <c r="K443" s="2">
        <f t="shared" si="51"/>
        <v>0.80262295081967217</v>
      </c>
      <c r="L443" t="s">
        <v>10028</v>
      </c>
      <c r="M443" t="s">
        <v>248</v>
      </c>
      <c r="N443" t="b">
        <f t="shared" si="52"/>
        <v>0</v>
      </c>
    </row>
    <row r="444" spans="1:14" x14ac:dyDescent="0.15">
      <c r="A444" t="s">
        <v>9961</v>
      </c>
      <c r="B444" t="s">
        <v>9967</v>
      </c>
      <c r="C444" t="s">
        <v>10886</v>
      </c>
      <c r="D444" t="s">
        <v>23</v>
      </c>
      <c r="E444" t="s">
        <v>10887</v>
      </c>
      <c r="F444" s="5">
        <v>5050000</v>
      </c>
      <c r="G444" s="5">
        <v>5050000</v>
      </c>
      <c r="H444" s="4">
        <v>4048000</v>
      </c>
      <c r="I444" s="2">
        <f t="shared" si="50"/>
        <v>0.80158415841584163</v>
      </c>
      <c r="J444" s="4">
        <v>4750000</v>
      </c>
      <c r="K444" s="2">
        <f t="shared" si="51"/>
        <v>0.94059405940594054</v>
      </c>
      <c r="L444" t="s">
        <v>263</v>
      </c>
      <c r="M444" t="s">
        <v>165</v>
      </c>
      <c r="N444" t="b">
        <f t="shared" si="52"/>
        <v>0</v>
      </c>
    </row>
    <row r="445" spans="1:14" x14ac:dyDescent="0.15">
      <c r="A445" t="s">
        <v>9961</v>
      </c>
      <c r="B445" t="s">
        <v>9967</v>
      </c>
      <c r="C445" t="s">
        <v>10888</v>
      </c>
      <c r="D445" t="s">
        <v>23</v>
      </c>
      <c r="E445" t="s">
        <v>10889</v>
      </c>
      <c r="F445" s="5">
        <v>1970000</v>
      </c>
      <c r="G445" s="5">
        <v>1970000</v>
      </c>
      <c r="H445" s="4">
        <v>1583000</v>
      </c>
      <c r="I445" s="2">
        <f t="shared" si="50"/>
        <v>0.80355329949238574</v>
      </c>
      <c r="J445" s="4">
        <v>1790000</v>
      </c>
      <c r="K445" s="2">
        <f t="shared" si="51"/>
        <v>0.90862944162436543</v>
      </c>
      <c r="L445" t="s">
        <v>1001</v>
      </c>
      <c r="M445" t="s">
        <v>432</v>
      </c>
      <c r="N445" t="b">
        <f t="shared" si="52"/>
        <v>0</v>
      </c>
    </row>
    <row r="446" spans="1:14" x14ac:dyDescent="0.15">
      <c r="A446" t="s">
        <v>9961</v>
      </c>
      <c r="B446" t="s">
        <v>9967</v>
      </c>
      <c r="C446" t="s">
        <v>10890</v>
      </c>
      <c r="D446" t="s">
        <v>23</v>
      </c>
      <c r="E446" t="s">
        <v>10891</v>
      </c>
      <c r="F446" s="5">
        <v>3730000</v>
      </c>
      <c r="G446" s="5">
        <v>3730000</v>
      </c>
      <c r="H446" s="4">
        <v>2994000</v>
      </c>
      <c r="I446" s="2">
        <f t="shared" si="50"/>
        <v>0.80268096514745313</v>
      </c>
      <c r="J446" s="4">
        <v>3500000</v>
      </c>
      <c r="K446" s="2">
        <f t="shared" si="51"/>
        <v>0.93833780160857905</v>
      </c>
      <c r="L446" t="s">
        <v>263</v>
      </c>
      <c r="M446" t="s">
        <v>432</v>
      </c>
      <c r="N446" t="b">
        <f t="shared" si="52"/>
        <v>0</v>
      </c>
    </row>
    <row r="447" spans="1:14" x14ac:dyDescent="0.15">
      <c r="A447" t="s">
        <v>9961</v>
      </c>
      <c r="B447" t="s">
        <v>9967</v>
      </c>
      <c r="C447" t="s">
        <v>10892</v>
      </c>
      <c r="D447" t="s">
        <v>23</v>
      </c>
      <c r="E447" t="s">
        <v>10893</v>
      </c>
      <c r="F447" s="5">
        <v>4670000</v>
      </c>
      <c r="G447" s="5">
        <v>4670000</v>
      </c>
      <c r="H447" s="4">
        <v>3748000</v>
      </c>
      <c r="I447" s="2">
        <f t="shared" si="50"/>
        <v>0.80256959314775156</v>
      </c>
      <c r="J447" s="4">
        <v>3880000</v>
      </c>
      <c r="K447" s="2">
        <f t="shared" si="51"/>
        <v>0.83083511777301933</v>
      </c>
      <c r="L447" t="s">
        <v>3258</v>
      </c>
      <c r="M447" t="s">
        <v>165</v>
      </c>
      <c r="N447" t="b">
        <f t="shared" si="52"/>
        <v>0</v>
      </c>
    </row>
    <row r="448" spans="1:14" x14ac:dyDescent="0.15">
      <c r="A448" t="s">
        <v>9961</v>
      </c>
      <c r="B448" t="s">
        <v>10027</v>
      </c>
      <c r="C448" t="s">
        <v>10894</v>
      </c>
      <c r="D448" t="s">
        <v>15</v>
      </c>
      <c r="E448" t="s">
        <v>10895</v>
      </c>
      <c r="F448" s="5" t="str">
        <f t="shared" ref="F448:F452" si="57">G448</f>
        <v>********</v>
      </c>
      <c r="G448" s="5" t="s">
        <v>145</v>
      </c>
      <c r="I448" s="2" t="e">
        <f t="shared" si="50"/>
        <v>#VALUE!</v>
      </c>
      <c r="K448" s="2" t="e">
        <f t="shared" si="51"/>
        <v>#VALUE!</v>
      </c>
      <c r="M448" t="s">
        <v>139</v>
      </c>
      <c r="N448" t="b">
        <f t="shared" si="52"/>
        <v>0</v>
      </c>
    </row>
    <row r="449" spans="1:14" x14ac:dyDescent="0.15">
      <c r="A449" t="s">
        <v>9961</v>
      </c>
      <c r="B449" t="s">
        <v>10027</v>
      </c>
      <c r="C449" t="s">
        <v>10896</v>
      </c>
      <c r="D449" t="s">
        <v>23</v>
      </c>
      <c r="E449" t="s">
        <v>10897</v>
      </c>
      <c r="F449" s="5" t="str">
        <f t="shared" si="57"/>
        <v>********</v>
      </c>
      <c r="G449" s="5" t="s">
        <v>145</v>
      </c>
      <c r="H449" t="s">
        <v>145</v>
      </c>
      <c r="I449" s="2" t="e">
        <f t="shared" si="50"/>
        <v>#VALUE!</v>
      </c>
      <c r="J449" s="4">
        <v>1040000</v>
      </c>
      <c r="K449" s="2" t="e">
        <f t="shared" si="51"/>
        <v>#VALUE!</v>
      </c>
      <c r="L449" t="s">
        <v>938</v>
      </c>
      <c r="M449" t="s">
        <v>192</v>
      </c>
      <c r="N449" t="b">
        <f t="shared" si="52"/>
        <v>0</v>
      </c>
    </row>
    <row r="450" spans="1:14" x14ac:dyDescent="0.15">
      <c r="A450" t="s">
        <v>9961</v>
      </c>
      <c r="B450" t="s">
        <v>9964</v>
      </c>
      <c r="C450" t="s">
        <v>10898</v>
      </c>
      <c r="D450" t="s">
        <v>23</v>
      </c>
      <c r="E450" t="s">
        <v>10899</v>
      </c>
      <c r="F450" s="5" t="str">
        <f t="shared" si="57"/>
        <v>********</v>
      </c>
      <c r="G450" s="5" t="s">
        <v>145</v>
      </c>
      <c r="H450" t="s">
        <v>145</v>
      </c>
      <c r="I450" s="2" t="e">
        <f t="shared" si="50"/>
        <v>#VALUE!</v>
      </c>
      <c r="J450" s="4">
        <v>402000</v>
      </c>
      <c r="K450" s="2" t="e">
        <f t="shared" si="51"/>
        <v>#VALUE!</v>
      </c>
      <c r="L450" t="s">
        <v>332</v>
      </c>
      <c r="M450" t="s">
        <v>432</v>
      </c>
      <c r="N450" t="b">
        <f t="shared" si="52"/>
        <v>0</v>
      </c>
    </row>
    <row r="451" spans="1:14" x14ac:dyDescent="0.15">
      <c r="A451" t="s">
        <v>9961</v>
      </c>
      <c r="B451" t="s">
        <v>10021</v>
      </c>
      <c r="C451" t="s">
        <v>10900</v>
      </c>
      <c r="D451" t="s">
        <v>23</v>
      </c>
      <c r="E451" t="s">
        <v>10901</v>
      </c>
      <c r="F451" s="5" t="str">
        <f t="shared" si="57"/>
        <v>********</v>
      </c>
      <c r="G451" s="5" t="s">
        <v>145</v>
      </c>
      <c r="H451" t="s">
        <v>145</v>
      </c>
      <c r="I451" s="2" t="e">
        <f t="shared" si="50"/>
        <v>#VALUE!</v>
      </c>
      <c r="J451" s="4">
        <v>4000000</v>
      </c>
      <c r="K451" s="2" t="e">
        <f t="shared" si="51"/>
        <v>#VALUE!</v>
      </c>
      <c r="L451" t="s">
        <v>10157</v>
      </c>
      <c r="M451" t="s">
        <v>432</v>
      </c>
      <c r="N451" t="b">
        <f t="shared" si="52"/>
        <v>0</v>
      </c>
    </row>
    <row r="452" spans="1:14" x14ac:dyDescent="0.15">
      <c r="A452" t="s">
        <v>9961</v>
      </c>
      <c r="B452" t="s">
        <v>10150</v>
      </c>
      <c r="C452" t="s">
        <v>10902</v>
      </c>
      <c r="D452" t="s">
        <v>23</v>
      </c>
      <c r="E452" t="s">
        <v>10903</v>
      </c>
      <c r="F452" s="5" t="str">
        <f t="shared" si="57"/>
        <v>********</v>
      </c>
      <c r="G452" s="5" t="s">
        <v>145</v>
      </c>
      <c r="H452" t="s">
        <v>145</v>
      </c>
      <c r="I452" s="2" t="e">
        <f t="shared" ref="I452:I515" si="58">H452/G452</f>
        <v>#VALUE!</v>
      </c>
      <c r="J452" s="4">
        <v>1050000</v>
      </c>
      <c r="K452" s="2" t="e">
        <f t="shared" ref="K452:K515" si="59">J452/G452</f>
        <v>#VALUE!</v>
      </c>
      <c r="L452" t="s">
        <v>5068</v>
      </c>
      <c r="M452" t="s">
        <v>192</v>
      </c>
      <c r="N452" t="b">
        <f t="shared" ref="N452:N515" si="60">F452&lt;&gt;G452</f>
        <v>0</v>
      </c>
    </row>
    <row r="453" spans="1:14" x14ac:dyDescent="0.15">
      <c r="A453" t="s">
        <v>9961</v>
      </c>
      <c r="B453" t="s">
        <v>9967</v>
      </c>
      <c r="C453" t="s">
        <v>10904</v>
      </c>
      <c r="D453" t="s">
        <v>23</v>
      </c>
      <c r="E453" t="s">
        <v>10905</v>
      </c>
      <c r="F453" s="5">
        <v>5680000</v>
      </c>
      <c r="G453" s="5">
        <v>5680000</v>
      </c>
      <c r="H453" s="4">
        <v>4501000</v>
      </c>
      <c r="I453" s="2">
        <f t="shared" si="58"/>
        <v>0.7924295774647887</v>
      </c>
      <c r="J453" s="4">
        <v>4501000</v>
      </c>
      <c r="K453" s="2">
        <f t="shared" si="59"/>
        <v>0.7924295774647887</v>
      </c>
      <c r="L453" t="s">
        <v>694</v>
      </c>
      <c r="M453" t="s">
        <v>165</v>
      </c>
      <c r="N453" t="b">
        <f t="shared" si="60"/>
        <v>0</v>
      </c>
    </row>
    <row r="454" spans="1:14" x14ac:dyDescent="0.15">
      <c r="A454" t="s">
        <v>9961</v>
      </c>
      <c r="B454" t="s">
        <v>9976</v>
      </c>
      <c r="C454" t="s">
        <v>10906</v>
      </c>
      <c r="D454" t="s">
        <v>23</v>
      </c>
      <c r="E454" t="s">
        <v>10907</v>
      </c>
      <c r="F454" s="5">
        <v>2450000</v>
      </c>
      <c r="G454" s="5">
        <v>2450000</v>
      </c>
      <c r="H454" s="4">
        <v>1966000</v>
      </c>
      <c r="I454" s="2">
        <f t="shared" si="58"/>
        <v>0.8024489795918367</v>
      </c>
      <c r="J454" s="4">
        <v>2300000</v>
      </c>
      <c r="K454" s="2">
        <f t="shared" si="59"/>
        <v>0.93877551020408168</v>
      </c>
      <c r="L454" t="s">
        <v>1333</v>
      </c>
      <c r="M454" t="s">
        <v>432</v>
      </c>
      <c r="N454" t="b">
        <f t="shared" si="60"/>
        <v>0</v>
      </c>
    </row>
    <row r="455" spans="1:14" x14ac:dyDescent="0.15">
      <c r="A455" t="s">
        <v>9961</v>
      </c>
      <c r="B455" t="s">
        <v>10027</v>
      </c>
      <c r="C455" t="s">
        <v>10908</v>
      </c>
      <c r="D455" t="s">
        <v>15</v>
      </c>
      <c r="E455" t="s">
        <v>10909</v>
      </c>
      <c r="F455" s="5" t="str">
        <f t="shared" ref="F455:F456" si="61">G455</f>
        <v>********</v>
      </c>
      <c r="G455" s="5" t="s">
        <v>145</v>
      </c>
      <c r="I455" s="2" t="e">
        <f t="shared" si="58"/>
        <v>#VALUE!</v>
      </c>
      <c r="K455" s="2" t="e">
        <f t="shared" si="59"/>
        <v>#VALUE!</v>
      </c>
      <c r="M455" t="s">
        <v>139</v>
      </c>
      <c r="N455" t="b">
        <f t="shared" si="60"/>
        <v>0</v>
      </c>
    </row>
    <row r="456" spans="1:14" x14ac:dyDescent="0.15">
      <c r="A456" t="s">
        <v>9961</v>
      </c>
      <c r="B456" t="s">
        <v>10051</v>
      </c>
      <c r="C456" t="s">
        <v>10910</v>
      </c>
      <c r="D456" t="s">
        <v>23</v>
      </c>
      <c r="E456" t="s">
        <v>10911</v>
      </c>
      <c r="F456" s="5" t="str">
        <f t="shared" si="61"/>
        <v>********</v>
      </c>
      <c r="G456" s="5" t="s">
        <v>145</v>
      </c>
      <c r="H456" t="s">
        <v>145</v>
      </c>
      <c r="I456" s="2" t="e">
        <f t="shared" si="58"/>
        <v>#VALUE!</v>
      </c>
      <c r="J456" s="4">
        <v>24700000</v>
      </c>
      <c r="K456" s="2" t="e">
        <f t="shared" si="59"/>
        <v>#VALUE!</v>
      </c>
      <c r="L456" t="s">
        <v>1321</v>
      </c>
      <c r="M456" t="s">
        <v>80</v>
      </c>
      <c r="N456" t="b">
        <f t="shared" si="60"/>
        <v>0</v>
      </c>
    </row>
    <row r="457" spans="1:14" x14ac:dyDescent="0.15">
      <c r="A457" t="s">
        <v>9961</v>
      </c>
      <c r="B457" t="s">
        <v>9976</v>
      </c>
      <c r="C457" t="s">
        <v>10912</v>
      </c>
      <c r="D457" t="s">
        <v>23</v>
      </c>
      <c r="E457" t="s">
        <v>10913</v>
      </c>
      <c r="F457" s="5">
        <v>2240000</v>
      </c>
      <c r="G457" s="5">
        <v>2240000</v>
      </c>
      <c r="H457" s="4">
        <v>1798000</v>
      </c>
      <c r="I457" s="2">
        <f t="shared" si="58"/>
        <v>0.80267857142857146</v>
      </c>
      <c r="J457" s="4">
        <v>2200000</v>
      </c>
      <c r="K457" s="2">
        <f t="shared" si="59"/>
        <v>0.9821428571428571</v>
      </c>
      <c r="L457" t="s">
        <v>3321</v>
      </c>
      <c r="M457" t="s">
        <v>432</v>
      </c>
      <c r="N457" t="b">
        <f t="shared" si="60"/>
        <v>0</v>
      </c>
    </row>
    <row r="458" spans="1:14" x14ac:dyDescent="0.15">
      <c r="A458" t="s">
        <v>9961</v>
      </c>
      <c r="B458" t="s">
        <v>9967</v>
      </c>
      <c r="C458" t="s">
        <v>10914</v>
      </c>
      <c r="D458" t="s">
        <v>23</v>
      </c>
      <c r="E458" t="s">
        <v>10915</v>
      </c>
      <c r="F458" s="5">
        <v>1760000</v>
      </c>
      <c r="G458" s="5">
        <v>1760000</v>
      </c>
      <c r="H458" s="4">
        <v>1413000</v>
      </c>
      <c r="I458" s="2">
        <f t="shared" si="58"/>
        <v>0.80284090909090911</v>
      </c>
      <c r="J458" s="4">
        <v>1413000</v>
      </c>
      <c r="K458" s="2">
        <f t="shared" si="59"/>
        <v>0.80284090909090911</v>
      </c>
      <c r="L458" t="s">
        <v>10028</v>
      </c>
      <c r="M458" t="s">
        <v>432</v>
      </c>
      <c r="N458" t="b">
        <f t="shared" si="60"/>
        <v>0</v>
      </c>
    </row>
    <row r="459" spans="1:14" x14ac:dyDescent="0.15">
      <c r="A459" t="s">
        <v>9961</v>
      </c>
      <c r="B459" t="s">
        <v>9976</v>
      </c>
      <c r="C459" t="s">
        <v>10916</v>
      </c>
      <c r="D459" t="s">
        <v>23</v>
      </c>
      <c r="E459" t="s">
        <v>10917</v>
      </c>
      <c r="F459" s="5">
        <v>1130000</v>
      </c>
      <c r="G459" s="5">
        <v>1130000</v>
      </c>
      <c r="H459" s="4">
        <v>909000</v>
      </c>
      <c r="I459" s="2">
        <f t="shared" si="58"/>
        <v>0.804424778761062</v>
      </c>
      <c r="J459" s="4">
        <v>1000000</v>
      </c>
      <c r="K459" s="2">
        <f t="shared" si="59"/>
        <v>0.88495575221238942</v>
      </c>
      <c r="L459" t="s">
        <v>10326</v>
      </c>
      <c r="M459" t="s">
        <v>432</v>
      </c>
      <c r="N459" t="b">
        <f t="shared" si="60"/>
        <v>0</v>
      </c>
    </row>
    <row r="460" spans="1:14" x14ac:dyDescent="0.15">
      <c r="A460" t="s">
        <v>9961</v>
      </c>
      <c r="B460" t="s">
        <v>9967</v>
      </c>
      <c r="C460" t="s">
        <v>10918</v>
      </c>
      <c r="D460" t="s">
        <v>118</v>
      </c>
      <c r="E460" t="s">
        <v>10919</v>
      </c>
      <c r="F460" s="5">
        <v>20020000</v>
      </c>
      <c r="G460" s="5">
        <v>20020000</v>
      </c>
      <c r="H460" s="4">
        <v>16072000</v>
      </c>
      <c r="I460" s="2">
        <f t="shared" si="58"/>
        <v>0.80279720279720279</v>
      </c>
      <c r="J460" s="4">
        <v>16072000</v>
      </c>
      <c r="K460" s="2">
        <f t="shared" si="59"/>
        <v>0.80279720279720279</v>
      </c>
      <c r="L460" t="s">
        <v>10359</v>
      </c>
      <c r="M460" t="s">
        <v>3944</v>
      </c>
      <c r="N460" t="b">
        <f t="shared" si="60"/>
        <v>0</v>
      </c>
    </row>
    <row r="461" spans="1:14" x14ac:dyDescent="0.15">
      <c r="A461" t="s">
        <v>9961</v>
      </c>
      <c r="B461" t="s">
        <v>9964</v>
      </c>
      <c r="C461" t="s">
        <v>10920</v>
      </c>
      <c r="D461" t="s">
        <v>15</v>
      </c>
      <c r="E461" t="s">
        <v>10921</v>
      </c>
      <c r="F461" s="5" t="str">
        <f>G461</f>
        <v>********</v>
      </c>
      <c r="G461" s="5" t="s">
        <v>145</v>
      </c>
      <c r="I461" s="2" t="e">
        <f t="shared" si="58"/>
        <v>#VALUE!</v>
      </c>
      <c r="K461" s="2" t="e">
        <f t="shared" si="59"/>
        <v>#VALUE!</v>
      </c>
      <c r="M461" t="s">
        <v>21</v>
      </c>
      <c r="N461" t="b">
        <f t="shared" si="60"/>
        <v>0</v>
      </c>
    </row>
    <row r="462" spans="1:14" x14ac:dyDescent="0.15">
      <c r="A462" t="s">
        <v>9961</v>
      </c>
      <c r="B462" t="s">
        <v>9987</v>
      </c>
      <c r="C462" t="s">
        <v>10922</v>
      </c>
      <c r="D462" t="s">
        <v>23</v>
      </c>
      <c r="E462" t="s">
        <v>10923</v>
      </c>
      <c r="F462" s="5" t="s">
        <v>145</v>
      </c>
      <c r="G462" s="5" t="s">
        <v>145</v>
      </c>
      <c r="H462" t="s">
        <v>145</v>
      </c>
      <c r="I462" s="2" t="e">
        <f t="shared" si="58"/>
        <v>#VALUE!</v>
      </c>
      <c r="J462" s="4">
        <v>3300000</v>
      </c>
      <c r="K462" s="2" t="e">
        <f t="shared" si="59"/>
        <v>#VALUE!</v>
      </c>
      <c r="L462" t="s">
        <v>9988</v>
      </c>
      <c r="M462" t="s">
        <v>192</v>
      </c>
      <c r="N462" t="b">
        <f t="shared" si="60"/>
        <v>0</v>
      </c>
    </row>
    <row r="463" spans="1:14" x14ac:dyDescent="0.15">
      <c r="A463" t="s">
        <v>9961</v>
      </c>
      <c r="B463" t="s">
        <v>10063</v>
      </c>
      <c r="C463" t="s">
        <v>10924</v>
      </c>
      <c r="D463" t="s">
        <v>23</v>
      </c>
      <c r="E463" t="s">
        <v>10925</v>
      </c>
      <c r="F463" s="5" t="str">
        <f>G463</f>
        <v>********</v>
      </c>
      <c r="G463" s="5" t="s">
        <v>145</v>
      </c>
      <c r="H463" t="s">
        <v>145</v>
      </c>
      <c r="I463" s="2" t="e">
        <f t="shared" si="58"/>
        <v>#VALUE!</v>
      </c>
      <c r="J463" s="4">
        <v>10100000</v>
      </c>
      <c r="K463" s="2" t="e">
        <f t="shared" si="59"/>
        <v>#VALUE!</v>
      </c>
      <c r="L463" t="s">
        <v>1541</v>
      </c>
      <c r="M463" t="s">
        <v>80</v>
      </c>
      <c r="N463" t="b">
        <f t="shared" si="60"/>
        <v>0</v>
      </c>
    </row>
    <row r="464" spans="1:14" x14ac:dyDescent="0.15">
      <c r="A464" t="s">
        <v>9961</v>
      </c>
      <c r="B464" t="s">
        <v>9976</v>
      </c>
      <c r="C464" t="s">
        <v>10926</v>
      </c>
      <c r="D464" t="s">
        <v>23</v>
      </c>
      <c r="E464" t="s">
        <v>10927</v>
      </c>
      <c r="F464" s="5">
        <v>2620000</v>
      </c>
      <c r="G464" s="5">
        <v>2620000</v>
      </c>
      <c r="H464" s="4">
        <v>2104000</v>
      </c>
      <c r="I464" s="2">
        <f t="shared" si="58"/>
        <v>0.80305343511450378</v>
      </c>
      <c r="J464" s="4">
        <v>2550000</v>
      </c>
      <c r="K464" s="2">
        <f t="shared" si="59"/>
        <v>0.97328244274809161</v>
      </c>
      <c r="L464" t="s">
        <v>10068</v>
      </c>
      <c r="M464" t="s">
        <v>432</v>
      </c>
      <c r="N464" t="b">
        <f t="shared" si="60"/>
        <v>0</v>
      </c>
    </row>
    <row r="465" spans="1:14" x14ac:dyDescent="0.15">
      <c r="A465" t="s">
        <v>9961</v>
      </c>
      <c r="B465" t="s">
        <v>9976</v>
      </c>
      <c r="C465" t="s">
        <v>10928</v>
      </c>
      <c r="D465" t="s">
        <v>23</v>
      </c>
      <c r="E465" t="s">
        <v>10929</v>
      </c>
      <c r="F465" s="5">
        <v>3530000</v>
      </c>
      <c r="G465" s="5">
        <v>3530000</v>
      </c>
      <c r="H465" s="4">
        <v>2832000</v>
      </c>
      <c r="I465" s="2">
        <f t="shared" si="58"/>
        <v>0.80226628895184138</v>
      </c>
      <c r="J465" s="4">
        <v>2832000</v>
      </c>
      <c r="K465" s="2">
        <f t="shared" si="59"/>
        <v>0.80226628895184138</v>
      </c>
      <c r="L465" t="s">
        <v>3251</v>
      </c>
      <c r="M465" t="s">
        <v>432</v>
      </c>
      <c r="N465" t="b">
        <f t="shared" si="60"/>
        <v>0</v>
      </c>
    </row>
    <row r="466" spans="1:14" x14ac:dyDescent="0.15">
      <c r="A466" t="s">
        <v>9961</v>
      </c>
      <c r="B466" t="s">
        <v>10021</v>
      </c>
      <c r="C466" t="s">
        <v>10930</v>
      </c>
      <c r="D466" t="s">
        <v>23</v>
      </c>
      <c r="E466" t="s">
        <v>10931</v>
      </c>
      <c r="F466" s="5" t="str">
        <f>G466</f>
        <v>********</v>
      </c>
      <c r="G466" s="5" t="s">
        <v>145</v>
      </c>
      <c r="H466" t="s">
        <v>145</v>
      </c>
      <c r="I466" s="2" t="e">
        <f t="shared" si="58"/>
        <v>#VALUE!</v>
      </c>
      <c r="J466" s="4">
        <v>2400000</v>
      </c>
      <c r="K466" s="2" t="e">
        <f t="shared" si="59"/>
        <v>#VALUE!</v>
      </c>
      <c r="L466" t="s">
        <v>215</v>
      </c>
      <c r="M466" t="s">
        <v>432</v>
      </c>
      <c r="N466" t="b">
        <f t="shared" si="60"/>
        <v>0</v>
      </c>
    </row>
    <row r="467" spans="1:14" x14ac:dyDescent="0.15">
      <c r="A467" t="s">
        <v>9961</v>
      </c>
      <c r="B467" t="s">
        <v>9967</v>
      </c>
      <c r="C467" t="s">
        <v>10932</v>
      </c>
      <c r="D467" t="s">
        <v>15</v>
      </c>
      <c r="E467" t="s">
        <v>10933</v>
      </c>
      <c r="F467" s="5">
        <v>4340000</v>
      </c>
      <c r="G467" s="5">
        <v>4340000</v>
      </c>
      <c r="I467" s="2">
        <f t="shared" si="58"/>
        <v>0</v>
      </c>
      <c r="K467" s="2">
        <f t="shared" si="59"/>
        <v>0</v>
      </c>
      <c r="M467" t="s">
        <v>139</v>
      </c>
      <c r="N467" t="b">
        <f t="shared" si="60"/>
        <v>0</v>
      </c>
    </row>
    <row r="468" spans="1:14" x14ac:dyDescent="0.15">
      <c r="A468" t="s">
        <v>9961</v>
      </c>
      <c r="B468" t="s">
        <v>9967</v>
      </c>
      <c r="C468" t="s">
        <v>10934</v>
      </c>
      <c r="D468" t="s">
        <v>118</v>
      </c>
      <c r="E468" t="s">
        <v>10935</v>
      </c>
      <c r="F468" s="5">
        <v>12470000</v>
      </c>
      <c r="G468" s="5">
        <v>12470000</v>
      </c>
      <c r="H468" s="4">
        <v>9935000</v>
      </c>
      <c r="I468" s="2">
        <f t="shared" si="58"/>
        <v>0.79671210906174816</v>
      </c>
      <c r="J468" s="4">
        <v>9935000</v>
      </c>
      <c r="K468" s="2">
        <f t="shared" si="59"/>
        <v>0.79671210906174816</v>
      </c>
      <c r="L468" t="s">
        <v>231</v>
      </c>
      <c r="M468" t="s">
        <v>353</v>
      </c>
      <c r="N468" t="b">
        <f t="shared" si="60"/>
        <v>0</v>
      </c>
    </row>
    <row r="469" spans="1:14" x14ac:dyDescent="0.15">
      <c r="A469" t="s">
        <v>9961</v>
      </c>
      <c r="B469" t="s">
        <v>9967</v>
      </c>
      <c r="C469" t="s">
        <v>10936</v>
      </c>
      <c r="D469" t="s">
        <v>23</v>
      </c>
      <c r="E469" t="s">
        <v>10937</v>
      </c>
      <c r="F469" s="5">
        <v>8810000</v>
      </c>
      <c r="G469" s="5">
        <v>8810000</v>
      </c>
      <c r="H469" s="4">
        <v>7021000</v>
      </c>
      <c r="I469" s="2">
        <f t="shared" si="58"/>
        <v>0.79693530079455166</v>
      </c>
      <c r="J469" s="4">
        <v>8450000</v>
      </c>
      <c r="K469" s="2">
        <f t="shared" si="59"/>
        <v>0.95913734392735528</v>
      </c>
      <c r="L469" t="s">
        <v>2674</v>
      </c>
      <c r="M469" t="s">
        <v>165</v>
      </c>
      <c r="N469" t="b">
        <f t="shared" si="60"/>
        <v>0</v>
      </c>
    </row>
    <row r="470" spans="1:14" x14ac:dyDescent="0.15">
      <c r="A470" t="s">
        <v>9961</v>
      </c>
      <c r="B470" t="s">
        <v>10141</v>
      </c>
      <c r="C470" t="s">
        <v>10938</v>
      </c>
      <c r="D470" t="s">
        <v>23</v>
      </c>
      <c r="E470" t="s">
        <v>10939</v>
      </c>
      <c r="F470" s="5" t="str">
        <f>G470</f>
        <v>********</v>
      </c>
      <c r="G470" s="5" t="s">
        <v>145</v>
      </c>
      <c r="H470" t="s">
        <v>145</v>
      </c>
      <c r="I470" s="2" t="e">
        <f t="shared" si="58"/>
        <v>#VALUE!</v>
      </c>
      <c r="J470" s="4">
        <v>4200000</v>
      </c>
      <c r="K470" s="2" t="e">
        <f t="shared" si="59"/>
        <v>#VALUE!</v>
      </c>
      <c r="L470" t="s">
        <v>1541</v>
      </c>
      <c r="M470" t="s">
        <v>192</v>
      </c>
      <c r="N470" t="b">
        <f t="shared" si="60"/>
        <v>0</v>
      </c>
    </row>
    <row r="471" spans="1:14" x14ac:dyDescent="0.15">
      <c r="A471" t="s">
        <v>9961</v>
      </c>
      <c r="B471" t="s">
        <v>9967</v>
      </c>
      <c r="C471" t="s">
        <v>10940</v>
      </c>
      <c r="D471" t="s">
        <v>23</v>
      </c>
      <c r="E471" t="s">
        <v>10941</v>
      </c>
      <c r="F471" s="5">
        <v>9040000</v>
      </c>
      <c r="G471" s="5">
        <v>9040000</v>
      </c>
      <c r="H471" s="4">
        <v>7256000</v>
      </c>
      <c r="I471" s="2">
        <f t="shared" si="58"/>
        <v>0.80265486725663715</v>
      </c>
      <c r="J471" s="4">
        <v>8950000</v>
      </c>
      <c r="K471" s="2">
        <f t="shared" si="59"/>
        <v>0.99004424778761058</v>
      </c>
      <c r="L471" t="s">
        <v>256</v>
      </c>
      <c r="M471" t="s">
        <v>165</v>
      </c>
      <c r="N471" t="b">
        <f t="shared" si="60"/>
        <v>0</v>
      </c>
    </row>
    <row r="472" spans="1:14" x14ac:dyDescent="0.15">
      <c r="A472" t="s">
        <v>9961</v>
      </c>
      <c r="B472" t="s">
        <v>9967</v>
      </c>
      <c r="C472" t="s">
        <v>10942</v>
      </c>
      <c r="D472" t="s">
        <v>23</v>
      </c>
      <c r="E472" t="s">
        <v>10943</v>
      </c>
      <c r="F472" s="5">
        <v>4270000</v>
      </c>
      <c r="G472" s="5">
        <v>4270000</v>
      </c>
      <c r="H472" s="4">
        <v>3427000</v>
      </c>
      <c r="I472" s="2">
        <f t="shared" si="58"/>
        <v>0.80257611241217797</v>
      </c>
      <c r="J472" s="4">
        <v>3980000</v>
      </c>
      <c r="K472" s="2">
        <f t="shared" si="59"/>
        <v>0.9320843091334895</v>
      </c>
      <c r="L472" t="s">
        <v>1078</v>
      </c>
      <c r="M472" t="s">
        <v>432</v>
      </c>
      <c r="N472" t="b">
        <f t="shared" si="60"/>
        <v>0</v>
      </c>
    </row>
    <row r="473" spans="1:14" x14ac:dyDescent="0.15">
      <c r="A473" t="s">
        <v>9961</v>
      </c>
      <c r="B473" t="s">
        <v>9967</v>
      </c>
      <c r="C473" t="s">
        <v>10944</v>
      </c>
      <c r="D473" t="s">
        <v>23</v>
      </c>
      <c r="E473" t="s">
        <v>10945</v>
      </c>
      <c r="F473" s="5">
        <v>7010000</v>
      </c>
      <c r="G473" s="5">
        <v>7010000</v>
      </c>
      <c r="H473" s="4">
        <v>5572000</v>
      </c>
      <c r="I473" s="2">
        <f t="shared" si="58"/>
        <v>0.79486447931526394</v>
      </c>
      <c r="J473" s="4">
        <v>6300000</v>
      </c>
      <c r="K473" s="2">
        <f t="shared" si="59"/>
        <v>0.89871611982881594</v>
      </c>
      <c r="L473" t="s">
        <v>10054</v>
      </c>
      <c r="M473" t="s">
        <v>165</v>
      </c>
      <c r="N473" t="b">
        <f t="shared" si="60"/>
        <v>0</v>
      </c>
    </row>
    <row r="474" spans="1:14" x14ac:dyDescent="0.15">
      <c r="A474" t="s">
        <v>9961</v>
      </c>
      <c r="B474" t="s">
        <v>9976</v>
      </c>
      <c r="C474" t="s">
        <v>10946</v>
      </c>
      <c r="D474" t="s">
        <v>23</v>
      </c>
      <c r="E474" t="s">
        <v>10947</v>
      </c>
      <c r="F474" s="5">
        <v>1880000</v>
      </c>
      <c r="G474" s="5">
        <v>1880000</v>
      </c>
      <c r="H474" s="4">
        <v>1509000</v>
      </c>
      <c r="I474" s="2">
        <f t="shared" si="58"/>
        <v>0.80265957446808511</v>
      </c>
      <c r="J474" s="4">
        <v>1780000</v>
      </c>
      <c r="K474" s="2">
        <f t="shared" si="59"/>
        <v>0.94680851063829785</v>
      </c>
      <c r="L474" t="s">
        <v>694</v>
      </c>
      <c r="M474" t="s">
        <v>432</v>
      </c>
      <c r="N474" t="b">
        <f t="shared" si="60"/>
        <v>0</v>
      </c>
    </row>
    <row r="475" spans="1:14" x14ac:dyDescent="0.15">
      <c r="A475" t="s">
        <v>9961</v>
      </c>
      <c r="B475" t="s">
        <v>9967</v>
      </c>
      <c r="C475" t="s">
        <v>10948</v>
      </c>
      <c r="D475" t="s">
        <v>23</v>
      </c>
      <c r="E475" t="s">
        <v>10949</v>
      </c>
      <c r="F475" s="5">
        <v>7610000</v>
      </c>
      <c r="G475" s="5">
        <v>7610000</v>
      </c>
      <c r="H475" s="4">
        <v>6055000</v>
      </c>
      <c r="I475" s="2">
        <f t="shared" si="58"/>
        <v>0.79566360052562413</v>
      </c>
      <c r="J475" s="4">
        <v>7200000</v>
      </c>
      <c r="K475" s="2">
        <f t="shared" si="59"/>
        <v>0.94612352168199743</v>
      </c>
      <c r="L475" t="s">
        <v>687</v>
      </c>
      <c r="M475" t="s">
        <v>165</v>
      </c>
      <c r="N475" t="b">
        <f t="shared" si="60"/>
        <v>0</v>
      </c>
    </row>
    <row r="476" spans="1:14" x14ac:dyDescent="0.15">
      <c r="A476" t="s">
        <v>9961</v>
      </c>
      <c r="B476" t="s">
        <v>9967</v>
      </c>
      <c r="C476" t="s">
        <v>10950</v>
      </c>
      <c r="D476" t="s">
        <v>15</v>
      </c>
      <c r="E476" t="s">
        <v>10951</v>
      </c>
      <c r="F476" s="5">
        <v>2880000</v>
      </c>
      <c r="G476" s="5">
        <v>2880000</v>
      </c>
      <c r="I476" s="2">
        <f t="shared" si="58"/>
        <v>0</v>
      </c>
      <c r="K476" s="2">
        <f t="shared" si="59"/>
        <v>0</v>
      </c>
      <c r="M476" t="s">
        <v>139</v>
      </c>
      <c r="N476" t="b">
        <f t="shared" si="60"/>
        <v>0</v>
      </c>
    </row>
    <row r="477" spans="1:14" x14ac:dyDescent="0.15">
      <c r="A477" t="s">
        <v>9961</v>
      </c>
      <c r="B477" t="s">
        <v>10177</v>
      </c>
      <c r="C477" t="s">
        <v>10952</v>
      </c>
      <c r="D477" t="s">
        <v>23</v>
      </c>
      <c r="E477" t="s">
        <v>10953</v>
      </c>
      <c r="F477" s="5" t="str">
        <f t="shared" ref="F477:F479" si="62">G477</f>
        <v>********</v>
      </c>
      <c r="G477" s="5" t="s">
        <v>145</v>
      </c>
      <c r="H477" t="s">
        <v>145</v>
      </c>
      <c r="I477" s="2" t="e">
        <f t="shared" si="58"/>
        <v>#VALUE!</v>
      </c>
      <c r="J477" s="4">
        <v>4150000</v>
      </c>
      <c r="K477" s="2" t="e">
        <f t="shared" si="59"/>
        <v>#VALUE!</v>
      </c>
      <c r="L477" t="s">
        <v>10954</v>
      </c>
      <c r="M477" t="s">
        <v>432</v>
      </c>
      <c r="N477" t="b">
        <f t="shared" si="60"/>
        <v>0</v>
      </c>
    </row>
    <row r="478" spans="1:14" x14ac:dyDescent="0.15">
      <c r="A478" t="s">
        <v>9961</v>
      </c>
      <c r="B478" t="s">
        <v>10141</v>
      </c>
      <c r="C478" t="s">
        <v>10955</v>
      </c>
      <c r="D478" t="s">
        <v>23</v>
      </c>
      <c r="E478" t="s">
        <v>10956</v>
      </c>
      <c r="F478" s="5" t="str">
        <f t="shared" si="62"/>
        <v>********</v>
      </c>
      <c r="G478" s="5" t="s">
        <v>145</v>
      </c>
      <c r="H478" t="s">
        <v>145</v>
      </c>
      <c r="I478" s="2" t="e">
        <f t="shared" si="58"/>
        <v>#VALUE!</v>
      </c>
      <c r="J478" s="4">
        <v>2050000</v>
      </c>
      <c r="K478" s="2" t="e">
        <f t="shared" si="59"/>
        <v>#VALUE!</v>
      </c>
      <c r="L478" t="s">
        <v>10028</v>
      </c>
      <c r="M478" t="s">
        <v>192</v>
      </c>
      <c r="N478" t="b">
        <f t="shared" si="60"/>
        <v>0</v>
      </c>
    </row>
    <row r="479" spans="1:14" x14ac:dyDescent="0.15">
      <c r="A479" t="s">
        <v>9961</v>
      </c>
      <c r="B479" t="s">
        <v>9964</v>
      </c>
      <c r="C479" t="s">
        <v>10957</v>
      </c>
      <c r="D479" t="s">
        <v>23</v>
      </c>
      <c r="E479" t="s">
        <v>10958</v>
      </c>
      <c r="F479" s="5" t="str">
        <f t="shared" si="62"/>
        <v>********</v>
      </c>
      <c r="G479" s="5" t="s">
        <v>145</v>
      </c>
      <c r="H479" t="s">
        <v>145</v>
      </c>
      <c r="I479" s="2" t="e">
        <f t="shared" si="58"/>
        <v>#VALUE!</v>
      </c>
      <c r="J479" s="4">
        <v>4850000</v>
      </c>
      <c r="K479" s="2" t="e">
        <f t="shared" si="59"/>
        <v>#VALUE!</v>
      </c>
      <c r="L479" t="s">
        <v>5636</v>
      </c>
      <c r="M479" t="s">
        <v>192</v>
      </c>
      <c r="N479" t="b">
        <f t="shared" si="60"/>
        <v>0</v>
      </c>
    </row>
    <row r="480" spans="1:14" x14ac:dyDescent="0.15">
      <c r="A480" t="s">
        <v>9961</v>
      </c>
      <c r="B480" t="s">
        <v>9967</v>
      </c>
      <c r="C480" t="s">
        <v>10959</v>
      </c>
      <c r="D480" t="s">
        <v>118</v>
      </c>
      <c r="E480" t="s">
        <v>10960</v>
      </c>
      <c r="F480" s="5">
        <v>16030000</v>
      </c>
      <c r="G480" s="5">
        <v>16030000</v>
      </c>
      <c r="H480" s="4">
        <v>12876000</v>
      </c>
      <c r="I480" s="2">
        <f t="shared" si="58"/>
        <v>0.80324391765439795</v>
      </c>
      <c r="J480" s="4">
        <v>12876000</v>
      </c>
      <c r="K480" s="2">
        <f t="shared" si="59"/>
        <v>0.80324391765439795</v>
      </c>
      <c r="L480" t="s">
        <v>256</v>
      </c>
      <c r="M480" t="s">
        <v>192</v>
      </c>
      <c r="N480" t="b">
        <f t="shared" si="60"/>
        <v>0</v>
      </c>
    </row>
    <row r="481" spans="1:14" x14ac:dyDescent="0.15">
      <c r="A481" t="s">
        <v>9961</v>
      </c>
      <c r="B481" t="s">
        <v>9976</v>
      </c>
      <c r="C481" t="s">
        <v>10961</v>
      </c>
      <c r="D481" t="s">
        <v>23</v>
      </c>
      <c r="E481" t="s">
        <v>10962</v>
      </c>
      <c r="F481" s="5">
        <v>6360000</v>
      </c>
      <c r="G481" s="5">
        <v>6360000</v>
      </c>
      <c r="H481" s="4">
        <v>5102000</v>
      </c>
      <c r="I481" s="2">
        <f t="shared" si="58"/>
        <v>0.80220125786163521</v>
      </c>
      <c r="J481" s="4">
        <v>6200000</v>
      </c>
      <c r="K481" s="2">
        <f t="shared" si="59"/>
        <v>0.97484276729559749</v>
      </c>
      <c r="L481" t="s">
        <v>2674</v>
      </c>
      <c r="M481" t="s">
        <v>165</v>
      </c>
      <c r="N481" t="b">
        <f t="shared" si="60"/>
        <v>0</v>
      </c>
    </row>
    <row r="482" spans="1:14" x14ac:dyDescent="0.15">
      <c r="A482" t="s">
        <v>9961</v>
      </c>
      <c r="B482" t="s">
        <v>9976</v>
      </c>
      <c r="C482" t="s">
        <v>10963</v>
      </c>
      <c r="D482" t="s">
        <v>23</v>
      </c>
      <c r="E482" t="s">
        <v>10964</v>
      </c>
      <c r="F482" s="5">
        <v>7350000</v>
      </c>
      <c r="G482" s="5">
        <v>7350000</v>
      </c>
      <c r="H482" s="4">
        <v>5896000</v>
      </c>
      <c r="I482" s="2">
        <f t="shared" si="58"/>
        <v>0.80217687074829935</v>
      </c>
      <c r="J482" s="4">
        <v>5896000</v>
      </c>
      <c r="K482" s="2">
        <f t="shared" si="59"/>
        <v>0.80217687074829935</v>
      </c>
      <c r="L482" t="s">
        <v>9984</v>
      </c>
      <c r="M482" t="s">
        <v>165</v>
      </c>
      <c r="N482" t="b">
        <f t="shared" si="60"/>
        <v>0</v>
      </c>
    </row>
    <row r="483" spans="1:14" x14ac:dyDescent="0.15">
      <c r="A483" t="s">
        <v>9961</v>
      </c>
      <c r="B483" t="s">
        <v>10021</v>
      </c>
      <c r="C483" t="s">
        <v>10965</v>
      </c>
      <c r="D483" t="s">
        <v>23</v>
      </c>
      <c r="E483" t="s">
        <v>10966</v>
      </c>
      <c r="F483" s="5" t="str">
        <f>G483</f>
        <v>********</v>
      </c>
      <c r="G483" s="5" t="s">
        <v>145</v>
      </c>
      <c r="H483" t="s">
        <v>145</v>
      </c>
      <c r="I483" s="2" t="e">
        <f t="shared" si="58"/>
        <v>#VALUE!</v>
      </c>
      <c r="J483" s="4">
        <v>3600000</v>
      </c>
      <c r="K483" s="2" t="e">
        <f t="shared" si="59"/>
        <v>#VALUE!</v>
      </c>
      <c r="L483" t="s">
        <v>4042</v>
      </c>
      <c r="M483" t="s">
        <v>432</v>
      </c>
      <c r="N483" t="b">
        <f t="shared" si="60"/>
        <v>0</v>
      </c>
    </row>
    <row r="484" spans="1:14" x14ac:dyDescent="0.15">
      <c r="A484" t="s">
        <v>9961</v>
      </c>
      <c r="B484" t="s">
        <v>9967</v>
      </c>
      <c r="C484" t="s">
        <v>10967</v>
      </c>
      <c r="D484" t="s">
        <v>118</v>
      </c>
      <c r="E484" t="s">
        <v>10968</v>
      </c>
      <c r="F484" s="5">
        <v>16790000</v>
      </c>
      <c r="G484" s="5">
        <v>16790000</v>
      </c>
      <c r="H484" s="4">
        <v>13458000</v>
      </c>
      <c r="I484" s="2">
        <f t="shared" si="58"/>
        <v>0.80154854079809412</v>
      </c>
      <c r="J484" s="4">
        <v>13458000</v>
      </c>
      <c r="K484" s="2">
        <f t="shared" si="59"/>
        <v>0.80154854079809412</v>
      </c>
      <c r="L484" t="s">
        <v>567</v>
      </c>
      <c r="M484" t="s">
        <v>216</v>
      </c>
      <c r="N484" t="b">
        <f t="shared" si="60"/>
        <v>0</v>
      </c>
    </row>
    <row r="485" spans="1:14" x14ac:dyDescent="0.15">
      <c r="A485" t="s">
        <v>9961</v>
      </c>
      <c r="B485" t="s">
        <v>9967</v>
      </c>
      <c r="C485" t="s">
        <v>10969</v>
      </c>
      <c r="D485" t="s">
        <v>118</v>
      </c>
      <c r="E485" t="s">
        <v>10970</v>
      </c>
      <c r="F485" s="5">
        <v>10960000</v>
      </c>
      <c r="G485" s="5">
        <v>10960000</v>
      </c>
      <c r="H485" s="4">
        <v>8738000</v>
      </c>
      <c r="I485" s="2">
        <f t="shared" si="58"/>
        <v>0.79726277372262777</v>
      </c>
      <c r="J485" s="4">
        <v>8738000</v>
      </c>
      <c r="K485" s="2">
        <f t="shared" si="59"/>
        <v>0.79726277372262777</v>
      </c>
      <c r="L485" t="s">
        <v>3258</v>
      </c>
      <c r="M485" t="s">
        <v>41</v>
      </c>
      <c r="N485" t="b">
        <f t="shared" si="60"/>
        <v>0</v>
      </c>
    </row>
    <row r="486" spans="1:14" x14ac:dyDescent="0.15">
      <c r="A486" t="s">
        <v>9961</v>
      </c>
      <c r="B486" t="s">
        <v>9967</v>
      </c>
      <c r="C486" t="s">
        <v>10971</v>
      </c>
      <c r="D486" t="s">
        <v>118</v>
      </c>
      <c r="E486" t="s">
        <v>10972</v>
      </c>
      <c r="F486" s="5">
        <v>21130000</v>
      </c>
      <c r="G486" s="5">
        <v>21130000</v>
      </c>
      <c r="H486" s="4">
        <v>16907000</v>
      </c>
      <c r="I486" s="2">
        <f t="shared" si="58"/>
        <v>0.80014197823000477</v>
      </c>
      <c r="J486" s="4">
        <v>16907000</v>
      </c>
      <c r="K486" s="2">
        <f t="shared" si="59"/>
        <v>0.80014197823000477</v>
      </c>
      <c r="L486" t="s">
        <v>10639</v>
      </c>
      <c r="M486" t="s">
        <v>880</v>
      </c>
      <c r="N486" t="b">
        <f t="shared" si="60"/>
        <v>0</v>
      </c>
    </row>
    <row r="487" spans="1:14" x14ac:dyDescent="0.15">
      <c r="A487" t="s">
        <v>9961</v>
      </c>
      <c r="B487" t="s">
        <v>10021</v>
      </c>
      <c r="C487" t="s">
        <v>10973</v>
      </c>
      <c r="D487" t="s">
        <v>23</v>
      </c>
      <c r="E487" t="s">
        <v>10974</v>
      </c>
      <c r="F487" s="5" t="str">
        <f t="shared" ref="F487:F488" si="63">G487</f>
        <v>********</v>
      </c>
      <c r="G487" s="5" t="s">
        <v>145</v>
      </c>
      <c r="H487" t="s">
        <v>145</v>
      </c>
      <c r="I487" s="2" t="e">
        <f t="shared" si="58"/>
        <v>#VALUE!</v>
      </c>
      <c r="J487" s="4">
        <v>3960000</v>
      </c>
      <c r="K487" s="2" t="e">
        <f t="shared" si="59"/>
        <v>#VALUE!</v>
      </c>
      <c r="L487" t="s">
        <v>5636</v>
      </c>
      <c r="M487" t="s">
        <v>432</v>
      </c>
      <c r="N487" t="b">
        <f t="shared" si="60"/>
        <v>0</v>
      </c>
    </row>
    <row r="488" spans="1:14" x14ac:dyDescent="0.15">
      <c r="A488" t="s">
        <v>9961</v>
      </c>
      <c r="B488" t="s">
        <v>10037</v>
      </c>
      <c r="C488" t="s">
        <v>10975</v>
      </c>
      <c r="D488" t="s">
        <v>15</v>
      </c>
      <c r="E488" t="s">
        <v>10976</v>
      </c>
      <c r="F488" s="5" t="str">
        <f t="shared" si="63"/>
        <v>********</v>
      </c>
      <c r="G488" s="5" t="s">
        <v>145</v>
      </c>
      <c r="I488" s="2" t="e">
        <f t="shared" si="58"/>
        <v>#VALUE!</v>
      </c>
      <c r="K488" s="2" t="e">
        <f t="shared" si="59"/>
        <v>#VALUE!</v>
      </c>
      <c r="M488" t="s">
        <v>139</v>
      </c>
      <c r="N488" t="b">
        <f t="shared" si="60"/>
        <v>0</v>
      </c>
    </row>
    <row r="489" spans="1:14" x14ac:dyDescent="0.15">
      <c r="A489" t="s">
        <v>9961</v>
      </c>
      <c r="B489" t="s">
        <v>9967</v>
      </c>
      <c r="C489" t="s">
        <v>10977</v>
      </c>
      <c r="D489" t="s">
        <v>23</v>
      </c>
      <c r="E489" t="s">
        <v>10978</v>
      </c>
      <c r="F489" s="5">
        <v>4560000</v>
      </c>
      <c r="G489" s="5">
        <v>4560000</v>
      </c>
      <c r="H489" s="4">
        <v>3661000</v>
      </c>
      <c r="I489" s="2">
        <f t="shared" si="58"/>
        <v>0.80285087719298243</v>
      </c>
      <c r="J489" s="4">
        <v>3900000</v>
      </c>
      <c r="K489" s="2">
        <f t="shared" si="59"/>
        <v>0.85526315789473684</v>
      </c>
      <c r="L489" t="s">
        <v>256</v>
      </c>
      <c r="M489" t="s">
        <v>165</v>
      </c>
      <c r="N489" t="b">
        <f t="shared" si="60"/>
        <v>0</v>
      </c>
    </row>
    <row r="490" spans="1:14" x14ac:dyDescent="0.15">
      <c r="A490" t="s">
        <v>9961</v>
      </c>
      <c r="B490" t="s">
        <v>10037</v>
      </c>
      <c r="C490" t="s">
        <v>10979</v>
      </c>
      <c r="D490" t="s">
        <v>23</v>
      </c>
      <c r="E490" t="s">
        <v>10980</v>
      </c>
      <c r="F490" s="5" t="str">
        <f t="shared" ref="F490:F491" si="64">G490</f>
        <v>********</v>
      </c>
      <c r="G490" s="5" t="s">
        <v>145</v>
      </c>
      <c r="H490" t="s">
        <v>145</v>
      </c>
      <c r="I490" s="2" t="e">
        <f t="shared" si="58"/>
        <v>#VALUE!</v>
      </c>
      <c r="J490" s="4">
        <v>11510000</v>
      </c>
      <c r="K490" s="2" t="e">
        <f t="shared" si="59"/>
        <v>#VALUE!</v>
      </c>
      <c r="L490" t="s">
        <v>263</v>
      </c>
      <c r="M490" t="s">
        <v>80</v>
      </c>
      <c r="N490" t="b">
        <f t="shared" si="60"/>
        <v>0</v>
      </c>
    </row>
    <row r="491" spans="1:14" x14ac:dyDescent="0.15">
      <c r="A491" t="s">
        <v>9961</v>
      </c>
      <c r="B491" t="s">
        <v>10764</v>
      </c>
      <c r="C491" t="s">
        <v>10981</v>
      </c>
      <c r="D491" t="s">
        <v>23</v>
      </c>
      <c r="E491" t="s">
        <v>10982</v>
      </c>
      <c r="F491" s="5" t="str">
        <f t="shared" si="64"/>
        <v>********</v>
      </c>
      <c r="G491" s="5" t="s">
        <v>145</v>
      </c>
      <c r="H491" t="s">
        <v>145</v>
      </c>
      <c r="I491" s="2" t="e">
        <f t="shared" si="58"/>
        <v>#VALUE!</v>
      </c>
      <c r="J491" s="4">
        <v>4000000</v>
      </c>
      <c r="K491" s="2" t="e">
        <f t="shared" si="59"/>
        <v>#VALUE!</v>
      </c>
      <c r="L491" t="s">
        <v>1915</v>
      </c>
      <c r="M491" t="s">
        <v>80</v>
      </c>
      <c r="N491" t="b">
        <f t="shared" si="60"/>
        <v>0</v>
      </c>
    </row>
    <row r="492" spans="1:14" x14ac:dyDescent="0.15">
      <c r="A492" t="s">
        <v>9961</v>
      </c>
      <c r="B492" t="s">
        <v>9976</v>
      </c>
      <c r="C492" t="s">
        <v>10983</v>
      </c>
      <c r="D492" t="s">
        <v>23</v>
      </c>
      <c r="E492" t="s">
        <v>10984</v>
      </c>
      <c r="F492" s="5">
        <v>4680000</v>
      </c>
      <c r="G492" s="5">
        <v>4680000</v>
      </c>
      <c r="H492" s="4">
        <v>3757000</v>
      </c>
      <c r="I492" s="2">
        <f t="shared" si="58"/>
        <v>0.80277777777777781</v>
      </c>
      <c r="J492" s="4">
        <v>3757000</v>
      </c>
      <c r="K492" s="2">
        <f t="shared" si="59"/>
        <v>0.80277777777777781</v>
      </c>
      <c r="L492" t="s">
        <v>3251</v>
      </c>
      <c r="M492" t="s">
        <v>165</v>
      </c>
      <c r="N492" t="b">
        <f t="shared" si="60"/>
        <v>0</v>
      </c>
    </row>
    <row r="493" spans="1:14" x14ac:dyDescent="0.15">
      <c r="A493" t="s">
        <v>9961</v>
      </c>
      <c r="B493" t="s">
        <v>9976</v>
      </c>
      <c r="C493" t="s">
        <v>10985</v>
      </c>
      <c r="D493" t="s">
        <v>23</v>
      </c>
      <c r="E493" t="s">
        <v>10986</v>
      </c>
      <c r="F493" s="5">
        <v>5240000</v>
      </c>
      <c r="G493" s="5">
        <v>5240000</v>
      </c>
      <c r="H493" s="4">
        <v>4204000</v>
      </c>
      <c r="I493" s="2">
        <f t="shared" si="58"/>
        <v>0.8022900763358779</v>
      </c>
      <c r="J493" s="4">
        <v>5000000</v>
      </c>
      <c r="K493" s="2">
        <f t="shared" si="59"/>
        <v>0.95419847328244278</v>
      </c>
      <c r="L493" t="s">
        <v>10217</v>
      </c>
      <c r="M493" t="s">
        <v>165</v>
      </c>
      <c r="N493" t="b">
        <f t="shared" si="60"/>
        <v>0</v>
      </c>
    </row>
    <row r="494" spans="1:14" x14ac:dyDescent="0.15">
      <c r="A494" t="s">
        <v>9961</v>
      </c>
      <c r="B494" t="s">
        <v>9976</v>
      </c>
      <c r="C494" t="s">
        <v>10987</v>
      </c>
      <c r="D494" t="s">
        <v>23</v>
      </c>
      <c r="E494" t="s">
        <v>10988</v>
      </c>
      <c r="F494" s="5">
        <v>5640000</v>
      </c>
      <c r="G494" s="5">
        <v>5640000</v>
      </c>
      <c r="H494" s="4">
        <v>4525000</v>
      </c>
      <c r="I494" s="2">
        <f t="shared" si="58"/>
        <v>0.80230496453900713</v>
      </c>
      <c r="J494" s="4">
        <v>5350000</v>
      </c>
      <c r="K494" s="2">
        <f t="shared" si="59"/>
        <v>0.9485815602836879</v>
      </c>
      <c r="L494" t="s">
        <v>1170</v>
      </c>
      <c r="M494" t="s">
        <v>165</v>
      </c>
      <c r="N494" t="b">
        <f t="shared" si="60"/>
        <v>0</v>
      </c>
    </row>
    <row r="495" spans="1:14" x14ac:dyDescent="0.15">
      <c r="A495" t="s">
        <v>9961</v>
      </c>
      <c r="B495" t="s">
        <v>9976</v>
      </c>
      <c r="C495" t="s">
        <v>10989</v>
      </c>
      <c r="D495" t="s">
        <v>23</v>
      </c>
      <c r="E495" t="s">
        <v>10990</v>
      </c>
      <c r="F495" s="5">
        <v>5660000</v>
      </c>
      <c r="G495" s="5">
        <v>5660000</v>
      </c>
      <c r="H495" s="4">
        <v>4542000</v>
      </c>
      <c r="I495" s="2">
        <f t="shared" si="58"/>
        <v>0.80247349823321557</v>
      </c>
      <c r="J495" s="4">
        <v>4542000</v>
      </c>
      <c r="K495" s="2">
        <f t="shared" si="59"/>
        <v>0.80247349823321557</v>
      </c>
      <c r="L495" t="s">
        <v>10277</v>
      </c>
      <c r="M495" t="s">
        <v>165</v>
      </c>
      <c r="N495" t="b">
        <f t="shared" si="60"/>
        <v>0</v>
      </c>
    </row>
    <row r="496" spans="1:14" x14ac:dyDescent="0.15">
      <c r="A496" t="s">
        <v>9961</v>
      </c>
      <c r="B496" t="s">
        <v>9976</v>
      </c>
      <c r="C496" t="s">
        <v>10991</v>
      </c>
      <c r="D496" t="s">
        <v>23</v>
      </c>
      <c r="E496" t="s">
        <v>10992</v>
      </c>
      <c r="F496" s="5">
        <v>6240000</v>
      </c>
      <c r="G496" s="5">
        <v>6240000</v>
      </c>
      <c r="H496" s="4">
        <v>5008000</v>
      </c>
      <c r="I496" s="2">
        <f t="shared" si="58"/>
        <v>0.8025641025641026</v>
      </c>
      <c r="J496" s="4">
        <v>5008000</v>
      </c>
      <c r="K496" s="2">
        <f t="shared" si="59"/>
        <v>0.8025641025641026</v>
      </c>
      <c r="L496" t="s">
        <v>10028</v>
      </c>
      <c r="M496" t="s">
        <v>165</v>
      </c>
      <c r="N496" t="b">
        <f t="shared" si="60"/>
        <v>0</v>
      </c>
    </row>
    <row r="497" spans="1:14" x14ac:dyDescent="0.15">
      <c r="A497" t="s">
        <v>9961</v>
      </c>
      <c r="B497" t="s">
        <v>9976</v>
      </c>
      <c r="C497" t="s">
        <v>10993</v>
      </c>
      <c r="D497" t="s">
        <v>23</v>
      </c>
      <c r="E497" t="s">
        <v>10994</v>
      </c>
      <c r="F497" s="5">
        <v>6320000</v>
      </c>
      <c r="G497" s="5">
        <v>6320000</v>
      </c>
      <c r="H497" s="4">
        <v>5071000</v>
      </c>
      <c r="I497" s="2">
        <f t="shared" si="58"/>
        <v>0.80237341772151893</v>
      </c>
      <c r="J497" s="4">
        <v>6000000</v>
      </c>
      <c r="K497" s="2">
        <f t="shared" si="59"/>
        <v>0.94936708860759489</v>
      </c>
      <c r="L497" t="s">
        <v>10068</v>
      </c>
      <c r="M497" t="s">
        <v>165</v>
      </c>
      <c r="N497" t="b">
        <f t="shared" si="60"/>
        <v>0</v>
      </c>
    </row>
    <row r="498" spans="1:14" x14ac:dyDescent="0.15">
      <c r="A498" t="s">
        <v>9961</v>
      </c>
      <c r="B498" t="s">
        <v>9976</v>
      </c>
      <c r="C498" t="s">
        <v>10995</v>
      </c>
      <c r="D498" t="s">
        <v>23</v>
      </c>
      <c r="E498" t="s">
        <v>10996</v>
      </c>
      <c r="F498" s="5">
        <v>6910000</v>
      </c>
      <c r="G498" s="5">
        <v>6910000</v>
      </c>
      <c r="H498" s="4">
        <v>5545000</v>
      </c>
      <c r="I498" s="2">
        <f t="shared" si="58"/>
        <v>0.80246020260492046</v>
      </c>
      <c r="J498" s="4">
        <v>5545000</v>
      </c>
      <c r="K498" s="2">
        <f t="shared" si="59"/>
        <v>0.80246020260492046</v>
      </c>
      <c r="L498" t="s">
        <v>10068</v>
      </c>
      <c r="M498" t="s">
        <v>80</v>
      </c>
      <c r="N498" t="b">
        <f t="shared" si="60"/>
        <v>0</v>
      </c>
    </row>
    <row r="499" spans="1:14" x14ac:dyDescent="0.15">
      <c r="A499" t="s">
        <v>9961</v>
      </c>
      <c r="B499" t="s">
        <v>9976</v>
      </c>
      <c r="C499" t="s">
        <v>10997</v>
      </c>
      <c r="D499" t="s">
        <v>23</v>
      </c>
      <c r="E499" t="s">
        <v>10998</v>
      </c>
      <c r="F499" s="5">
        <v>7340000</v>
      </c>
      <c r="G499" s="5">
        <v>7340000</v>
      </c>
      <c r="H499" s="4">
        <v>5890000</v>
      </c>
      <c r="I499" s="2">
        <f t="shared" si="58"/>
        <v>0.8024523160762943</v>
      </c>
      <c r="J499" s="4">
        <v>7300000</v>
      </c>
      <c r="K499" s="2">
        <f t="shared" si="59"/>
        <v>0.99455040871934608</v>
      </c>
      <c r="L499" t="s">
        <v>9981</v>
      </c>
      <c r="M499" t="s">
        <v>165</v>
      </c>
      <c r="N499" t="b">
        <f t="shared" si="60"/>
        <v>0</v>
      </c>
    </row>
    <row r="500" spans="1:14" x14ac:dyDescent="0.15">
      <c r="A500" t="s">
        <v>9961</v>
      </c>
      <c r="B500" t="s">
        <v>9976</v>
      </c>
      <c r="C500" t="s">
        <v>10999</v>
      </c>
      <c r="D500" t="s">
        <v>23</v>
      </c>
      <c r="E500" t="s">
        <v>11000</v>
      </c>
      <c r="F500" s="5">
        <v>7350000</v>
      </c>
      <c r="G500" s="5">
        <v>7350000</v>
      </c>
      <c r="H500" s="4">
        <v>5896000</v>
      </c>
      <c r="I500" s="2">
        <f t="shared" si="58"/>
        <v>0.80217687074829935</v>
      </c>
      <c r="J500" s="4">
        <v>5897000</v>
      </c>
      <c r="K500" s="2">
        <f t="shared" si="59"/>
        <v>0.80231292517006803</v>
      </c>
      <c r="L500" t="s">
        <v>1170</v>
      </c>
      <c r="M500" t="s">
        <v>165</v>
      </c>
      <c r="N500" t="b">
        <f t="shared" si="60"/>
        <v>0</v>
      </c>
    </row>
    <row r="501" spans="1:14" x14ac:dyDescent="0.15">
      <c r="A501" t="s">
        <v>9961</v>
      </c>
      <c r="B501" t="s">
        <v>9976</v>
      </c>
      <c r="C501" t="s">
        <v>11001</v>
      </c>
      <c r="D501" t="s">
        <v>23</v>
      </c>
      <c r="E501" t="s">
        <v>11002</v>
      </c>
      <c r="F501" s="5">
        <v>8830000</v>
      </c>
      <c r="G501" s="5">
        <v>8830000</v>
      </c>
      <c r="H501" s="4">
        <v>7083000</v>
      </c>
      <c r="I501" s="2">
        <f t="shared" si="58"/>
        <v>0.80215175537938843</v>
      </c>
      <c r="J501" s="4">
        <v>7083000</v>
      </c>
      <c r="K501" s="2">
        <f t="shared" si="59"/>
        <v>0.80215175537938843</v>
      </c>
      <c r="L501" t="s">
        <v>10277</v>
      </c>
      <c r="M501" t="s">
        <v>192</v>
      </c>
      <c r="N501" t="b">
        <f t="shared" si="60"/>
        <v>0</v>
      </c>
    </row>
    <row r="502" spans="1:14" x14ac:dyDescent="0.15">
      <c r="A502" t="s">
        <v>9961</v>
      </c>
      <c r="B502" t="s">
        <v>10063</v>
      </c>
      <c r="C502" t="s">
        <v>11003</v>
      </c>
      <c r="D502" t="s">
        <v>23</v>
      </c>
      <c r="E502" t="s">
        <v>11004</v>
      </c>
      <c r="F502" s="5" t="str">
        <f t="shared" ref="F502:F504" si="65">G502</f>
        <v>********</v>
      </c>
      <c r="G502" s="5" t="s">
        <v>145</v>
      </c>
      <c r="H502" t="s">
        <v>145</v>
      </c>
      <c r="I502" s="2" t="e">
        <f t="shared" si="58"/>
        <v>#VALUE!</v>
      </c>
      <c r="J502" s="4">
        <v>4250000</v>
      </c>
      <c r="K502" s="2" t="e">
        <f t="shared" si="59"/>
        <v>#VALUE!</v>
      </c>
      <c r="L502" t="s">
        <v>5186</v>
      </c>
      <c r="M502" t="s">
        <v>192</v>
      </c>
      <c r="N502" t="b">
        <f t="shared" si="60"/>
        <v>0</v>
      </c>
    </row>
    <row r="503" spans="1:14" x14ac:dyDescent="0.15">
      <c r="A503" t="s">
        <v>9961</v>
      </c>
      <c r="B503" t="s">
        <v>10063</v>
      </c>
      <c r="C503" t="s">
        <v>11005</v>
      </c>
      <c r="D503" t="s">
        <v>23</v>
      </c>
      <c r="E503" t="s">
        <v>11006</v>
      </c>
      <c r="F503" s="5" t="str">
        <f t="shared" si="65"/>
        <v>********</v>
      </c>
      <c r="G503" s="5" t="s">
        <v>145</v>
      </c>
      <c r="H503" t="s">
        <v>145</v>
      </c>
      <c r="I503" s="2" t="e">
        <f t="shared" si="58"/>
        <v>#VALUE!</v>
      </c>
      <c r="J503" s="4">
        <v>9280000</v>
      </c>
      <c r="K503" s="2" t="e">
        <f t="shared" si="59"/>
        <v>#VALUE!</v>
      </c>
      <c r="L503" t="s">
        <v>1262</v>
      </c>
      <c r="M503" t="s">
        <v>80</v>
      </c>
      <c r="N503" t="b">
        <f t="shared" si="60"/>
        <v>0</v>
      </c>
    </row>
    <row r="504" spans="1:14" x14ac:dyDescent="0.15">
      <c r="A504" t="s">
        <v>9961</v>
      </c>
      <c r="B504" t="s">
        <v>10764</v>
      </c>
      <c r="C504" t="s">
        <v>11007</v>
      </c>
      <c r="D504" t="s">
        <v>23</v>
      </c>
      <c r="E504" t="s">
        <v>11008</v>
      </c>
      <c r="F504" s="5" t="str">
        <f t="shared" si="65"/>
        <v>********</v>
      </c>
      <c r="G504" s="5" t="s">
        <v>145</v>
      </c>
      <c r="H504" t="s">
        <v>145</v>
      </c>
      <c r="I504" s="2" t="e">
        <f t="shared" si="58"/>
        <v>#VALUE!</v>
      </c>
      <c r="J504" s="4">
        <v>11200000</v>
      </c>
      <c r="K504" s="2" t="e">
        <f t="shared" si="59"/>
        <v>#VALUE!</v>
      </c>
      <c r="L504" t="s">
        <v>9988</v>
      </c>
      <c r="M504" t="s">
        <v>80</v>
      </c>
      <c r="N504" t="b">
        <f t="shared" si="60"/>
        <v>0</v>
      </c>
    </row>
    <row r="505" spans="1:14" x14ac:dyDescent="0.15">
      <c r="A505" t="s">
        <v>9961</v>
      </c>
      <c r="B505" t="s">
        <v>9967</v>
      </c>
      <c r="C505" t="s">
        <v>11009</v>
      </c>
      <c r="D505" t="s">
        <v>23</v>
      </c>
      <c r="E505" t="s">
        <v>11010</v>
      </c>
      <c r="F505" s="5">
        <v>8880000</v>
      </c>
      <c r="G505" s="5">
        <v>8880000</v>
      </c>
      <c r="H505" s="4">
        <v>7056000</v>
      </c>
      <c r="I505" s="2">
        <f t="shared" si="58"/>
        <v>0.79459459459459458</v>
      </c>
      <c r="J505" s="4">
        <v>8300000</v>
      </c>
      <c r="K505" s="2">
        <f t="shared" si="59"/>
        <v>0.93468468468468469</v>
      </c>
      <c r="L505" t="s">
        <v>10028</v>
      </c>
      <c r="M505" t="s">
        <v>165</v>
      </c>
      <c r="N505" t="b">
        <f t="shared" si="60"/>
        <v>0</v>
      </c>
    </row>
    <row r="506" spans="1:14" x14ac:dyDescent="0.15">
      <c r="A506" t="s">
        <v>9961</v>
      </c>
      <c r="B506" t="s">
        <v>9967</v>
      </c>
      <c r="C506" t="s">
        <v>11011</v>
      </c>
      <c r="D506" t="s">
        <v>15</v>
      </c>
      <c r="E506" t="s">
        <v>11012</v>
      </c>
      <c r="F506" s="5">
        <v>2880000</v>
      </c>
      <c r="G506" s="5">
        <v>2880000</v>
      </c>
      <c r="I506" s="2">
        <f t="shared" si="58"/>
        <v>0</v>
      </c>
      <c r="K506" s="2">
        <f t="shared" si="59"/>
        <v>0</v>
      </c>
      <c r="M506" t="s">
        <v>139</v>
      </c>
      <c r="N506" t="b">
        <f t="shared" si="60"/>
        <v>0</v>
      </c>
    </row>
    <row r="507" spans="1:14" x14ac:dyDescent="0.15">
      <c r="A507" t="s">
        <v>9961</v>
      </c>
      <c r="B507" t="s">
        <v>10177</v>
      </c>
      <c r="C507" t="s">
        <v>11013</v>
      </c>
      <c r="D507" t="s">
        <v>23</v>
      </c>
      <c r="E507" t="s">
        <v>11014</v>
      </c>
      <c r="F507" s="5" t="str">
        <f>G507</f>
        <v>********</v>
      </c>
      <c r="G507" s="5" t="s">
        <v>145</v>
      </c>
      <c r="H507" t="s">
        <v>145</v>
      </c>
      <c r="I507" s="2" t="e">
        <f t="shared" si="58"/>
        <v>#VALUE!</v>
      </c>
      <c r="J507" s="4">
        <v>3110000</v>
      </c>
      <c r="K507" s="2" t="e">
        <f t="shared" si="59"/>
        <v>#VALUE!</v>
      </c>
      <c r="L507" t="s">
        <v>9405</v>
      </c>
      <c r="M507" t="s">
        <v>432</v>
      </c>
      <c r="N507" t="b">
        <f t="shared" si="60"/>
        <v>0</v>
      </c>
    </row>
    <row r="508" spans="1:14" x14ac:dyDescent="0.15">
      <c r="A508" t="s">
        <v>9961</v>
      </c>
      <c r="B508" t="s">
        <v>9967</v>
      </c>
      <c r="C508" t="s">
        <v>11015</v>
      </c>
      <c r="D508" t="s">
        <v>23</v>
      </c>
      <c r="E508" t="s">
        <v>11016</v>
      </c>
      <c r="F508" s="5">
        <v>4480000</v>
      </c>
      <c r="G508" s="5">
        <v>4480000</v>
      </c>
      <c r="H508" s="4">
        <v>3566000</v>
      </c>
      <c r="I508" s="2">
        <f t="shared" si="58"/>
        <v>0.79598214285714286</v>
      </c>
      <c r="J508" s="4">
        <v>4120000</v>
      </c>
      <c r="K508" s="2">
        <f t="shared" si="59"/>
        <v>0.9196428571428571</v>
      </c>
      <c r="L508" t="s">
        <v>1078</v>
      </c>
      <c r="M508" t="s">
        <v>432</v>
      </c>
      <c r="N508" t="b">
        <f t="shared" si="60"/>
        <v>0</v>
      </c>
    </row>
    <row r="509" spans="1:14" x14ac:dyDescent="0.15">
      <c r="A509" t="s">
        <v>9961</v>
      </c>
      <c r="B509" t="s">
        <v>10177</v>
      </c>
      <c r="C509" t="s">
        <v>11017</v>
      </c>
      <c r="D509" t="s">
        <v>23</v>
      </c>
      <c r="E509" t="s">
        <v>11018</v>
      </c>
      <c r="F509" s="5" t="str">
        <f t="shared" ref="F509:F512" si="66">G509</f>
        <v>********</v>
      </c>
      <c r="G509" s="5" t="s">
        <v>145</v>
      </c>
      <c r="H509" t="s">
        <v>145</v>
      </c>
      <c r="I509" s="2" t="e">
        <f t="shared" si="58"/>
        <v>#VALUE!</v>
      </c>
      <c r="J509" s="4">
        <v>4100000</v>
      </c>
      <c r="K509" s="2" t="e">
        <f t="shared" si="59"/>
        <v>#VALUE!</v>
      </c>
      <c r="L509" t="s">
        <v>1030</v>
      </c>
      <c r="M509" t="s">
        <v>432</v>
      </c>
      <c r="N509" t="b">
        <f t="shared" si="60"/>
        <v>0</v>
      </c>
    </row>
    <row r="510" spans="1:14" x14ac:dyDescent="0.15">
      <c r="A510" t="s">
        <v>9961</v>
      </c>
      <c r="B510" t="s">
        <v>10021</v>
      </c>
      <c r="C510" t="s">
        <v>11019</v>
      </c>
      <c r="D510" t="s">
        <v>23</v>
      </c>
      <c r="E510" t="s">
        <v>11020</v>
      </c>
      <c r="F510" s="5" t="str">
        <f t="shared" si="66"/>
        <v>********</v>
      </c>
      <c r="G510" s="5" t="s">
        <v>145</v>
      </c>
      <c r="H510" t="s">
        <v>145</v>
      </c>
      <c r="I510" s="2" t="e">
        <f t="shared" si="58"/>
        <v>#VALUE!</v>
      </c>
      <c r="J510" s="4">
        <v>11900000</v>
      </c>
      <c r="K510" s="2" t="e">
        <f t="shared" si="59"/>
        <v>#VALUE!</v>
      </c>
      <c r="L510" t="s">
        <v>215</v>
      </c>
      <c r="M510" t="s">
        <v>192</v>
      </c>
      <c r="N510" t="b">
        <f t="shared" si="60"/>
        <v>0</v>
      </c>
    </row>
    <row r="511" spans="1:14" x14ac:dyDescent="0.15">
      <c r="A511" t="s">
        <v>9961</v>
      </c>
      <c r="B511" t="s">
        <v>10764</v>
      </c>
      <c r="C511" t="s">
        <v>11021</v>
      </c>
      <c r="D511" t="s">
        <v>23</v>
      </c>
      <c r="E511" t="s">
        <v>11022</v>
      </c>
      <c r="F511" s="5" t="str">
        <f t="shared" si="66"/>
        <v>********</v>
      </c>
      <c r="G511" s="5" t="s">
        <v>145</v>
      </c>
      <c r="H511" t="s">
        <v>145</v>
      </c>
      <c r="I511" s="2" t="e">
        <f t="shared" si="58"/>
        <v>#VALUE!</v>
      </c>
      <c r="J511" s="4">
        <v>9740000</v>
      </c>
      <c r="K511" s="2" t="e">
        <f t="shared" si="59"/>
        <v>#VALUE!</v>
      </c>
      <c r="L511" t="s">
        <v>256</v>
      </c>
      <c r="M511" t="s">
        <v>80</v>
      </c>
      <c r="N511" t="b">
        <f t="shared" si="60"/>
        <v>0</v>
      </c>
    </row>
    <row r="512" spans="1:14" x14ac:dyDescent="0.15">
      <c r="A512" t="s">
        <v>9961</v>
      </c>
      <c r="B512" t="s">
        <v>10037</v>
      </c>
      <c r="C512" t="s">
        <v>11023</v>
      </c>
      <c r="D512" t="s">
        <v>23</v>
      </c>
      <c r="E512" t="s">
        <v>11024</v>
      </c>
      <c r="F512" s="5" t="str">
        <f t="shared" si="66"/>
        <v>********</v>
      </c>
      <c r="G512" s="5" t="s">
        <v>145</v>
      </c>
      <c r="H512" t="s">
        <v>145</v>
      </c>
      <c r="I512" s="2" t="e">
        <f t="shared" si="58"/>
        <v>#VALUE!</v>
      </c>
      <c r="J512" s="4">
        <v>6158000</v>
      </c>
      <c r="K512" s="2" t="e">
        <f t="shared" si="59"/>
        <v>#VALUE!</v>
      </c>
      <c r="L512" t="s">
        <v>263</v>
      </c>
      <c r="M512" t="s">
        <v>80</v>
      </c>
      <c r="N512" t="b">
        <f t="shared" si="60"/>
        <v>0</v>
      </c>
    </row>
    <row r="513" spans="1:14" x14ac:dyDescent="0.15">
      <c r="A513" t="s">
        <v>9961</v>
      </c>
      <c r="B513" t="s">
        <v>9967</v>
      </c>
      <c r="C513" t="s">
        <v>11025</v>
      </c>
      <c r="D513" t="s">
        <v>23</v>
      </c>
      <c r="E513" t="s">
        <v>11026</v>
      </c>
      <c r="F513" s="5">
        <v>7380000</v>
      </c>
      <c r="G513" s="5">
        <v>7380000</v>
      </c>
      <c r="H513" s="4">
        <v>5873000</v>
      </c>
      <c r="I513" s="2">
        <f t="shared" si="58"/>
        <v>0.79579945799457996</v>
      </c>
      <c r="J513" s="4">
        <v>5874000</v>
      </c>
      <c r="K513" s="2">
        <f t="shared" si="59"/>
        <v>0.79593495934959346</v>
      </c>
      <c r="L513" t="s">
        <v>6388</v>
      </c>
      <c r="M513" t="s">
        <v>165</v>
      </c>
      <c r="N513" t="b">
        <f t="shared" si="60"/>
        <v>0</v>
      </c>
    </row>
    <row r="514" spans="1:14" x14ac:dyDescent="0.15">
      <c r="A514" t="s">
        <v>9961</v>
      </c>
      <c r="B514" t="s">
        <v>9976</v>
      </c>
      <c r="C514" t="s">
        <v>11027</v>
      </c>
      <c r="D514" t="s">
        <v>23</v>
      </c>
      <c r="E514" t="s">
        <v>11028</v>
      </c>
      <c r="F514" s="5">
        <v>7350000</v>
      </c>
      <c r="G514" s="5">
        <v>7350000</v>
      </c>
      <c r="H514" s="4">
        <v>5845000</v>
      </c>
      <c r="I514" s="2">
        <f t="shared" si="58"/>
        <v>0.79523809523809519</v>
      </c>
      <c r="J514" s="4">
        <v>6980000</v>
      </c>
      <c r="K514" s="2">
        <f t="shared" si="59"/>
        <v>0.94965986394557822</v>
      </c>
      <c r="L514" t="s">
        <v>64</v>
      </c>
      <c r="M514" t="s">
        <v>165</v>
      </c>
      <c r="N514" t="b">
        <f t="shared" si="60"/>
        <v>0</v>
      </c>
    </row>
    <row r="515" spans="1:14" x14ac:dyDescent="0.15">
      <c r="A515" t="s">
        <v>9961</v>
      </c>
      <c r="B515" t="s">
        <v>9976</v>
      </c>
      <c r="C515" t="s">
        <v>11029</v>
      </c>
      <c r="D515" t="s">
        <v>23</v>
      </c>
      <c r="E515" t="s">
        <v>11030</v>
      </c>
      <c r="F515" s="5">
        <v>7870000</v>
      </c>
      <c r="G515" s="5">
        <v>7870000</v>
      </c>
      <c r="H515" s="4">
        <v>6259000</v>
      </c>
      <c r="I515" s="2">
        <f t="shared" si="58"/>
        <v>0.79529860228716642</v>
      </c>
      <c r="J515" s="4">
        <v>6259000</v>
      </c>
      <c r="K515" s="2">
        <f t="shared" si="59"/>
        <v>0.79529860228716642</v>
      </c>
      <c r="L515" t="s">
        <v>10265</v>
      </c>
      <c r="M515" t="s">
        <v>192</v>
      </c>
      <c r="N515" t="b">
        <f t="shared" si="60"/>
        <v>0</v>
      </c>
    </row>
    <row r="516" spans="1:14" x14ac:dyDescent="0.15">
      <c r="A516" t="s">
        <v>9961</v>
      </c>
      <c r="B516" t="s">
        <v>9976</v>
      </c>
      <c r="C516" t="s">
        <v>11031</v>
      </c>
      <c r="D516" t="s">
        <v>23</v>
      </c>
      <c r="E516" t="s">
        <v>11032</v>
      </c>
      <c r="F516" s="5">
        <v>8800000</v>
      </c>
      <c r="G516" s="5">
        <v>8800000</v>
      </c>
      <c r="H516" s="4">
        <v>7000000</v>
      </c>
      <c r="I516" s="2">
        <f t="shared" ref="I516:I579" si="67">H516/G516</f>
        <v>0.79545454545454541</v>
      </c>
      <c r="J516" s="4">
        <v>8800000</v>
      </c>
      <c r="K516" s="2">
        <f t="shared" ref="K516:K579" si="68">J516/G516</f>
        <v>1</v>
      </c>
      <c r="L516" t="s">
        <v>10390</v>
      </c>
      <c r="M516" t="s">
        <v>165</v>
      </c>
      <c r="N516" t="b">
        <f t="shared" ref="N516:N579" si="69">F516&lt;&gt;G516</f>
        <v>0</v>
      </c>
    </row>
    <row r="517" spans="1:14" x14ac:dyDescent="0.15">
      <c r="A517" t="s">
        <v>9961</v>
      </c>
      <c r="B517" t="s">
        <v>10304</v>
      </c>
      <c r="C517" t="s">
        <v>11033</v>
      </c>
      <c r="D517" t="s">
        <v>23</v>
      </c>
      <c r="E517" t="s">
        <v>11034</v>
      </c>
      <c r="F517" s="5" t="str">
        <f>G517</f>
        <v>********</v>
      </c>
      <c r="G517" s="5" t="s">
        <v>145</v>
      </c>
      <c r="H517" t="s">
        <v>145</v>
      </c>
      <c r="I517" s="2" t="e">
        <f t="shared" si="67"/>
        <v>#VALUE!</v>
      </c>
      <c r="J517" s="4">
        <v>8160000</v>
      </c>
      <c r="K517" s="2" t="e">
        <f t="shared" si="68"/>
        <v>#VALUE!</v>
      </c>
      <c r="L517" t="s">
        <v>271</v>
      </c>
      <c r="M517" t="s">
        <v>80</v>
      </c>
      <c r="N517" t="b">
        <f t="shared" si="69"/>
        <v>0</v>
      </c>
    </row>
    <row r="518" spans="1:14" x14ac:dyDescent="0.15">
      <c r="A518" t="s">
        <v>9961</v>
      </c>
      <c r="B518" t="s">
        <v>9967</v>
      </c>
      <c r="C518" t="s">
        <v>11035</v>
      </c>
      <c r="D518" t="s">
        <v>23</v>
      </c>
      <c r="E518" t="s">
        <v>11036</v>
      </c>
      <c r="F518" s="5">
        <v>6710000</v>
      </c>
      <c r="G518" s="5">
        <v>6710000</v>
      </c>
      <c r="H518" s="4">
        <v>5341000</v>
      </c>
      <c r="I518" s="2">
        <f t="shared" si="67"/>
        <v>0.79597615499254848</v>
      </c>
      <c r="J518" s="4">
        <v>5341000</v>
      </c>
      <c r="K518" s="2">
        <f t="shared" si="68"/>
        <v>0.79597615499254848</v>
      </c>
      <c r="L518" t="s">
        <v>694</v>
      </c>
      <c r="M518" t="s">
        <v>165</v>
      </c>
      <c r="N518" t="b">
        <f t="shared" si="69"/>
        <v>0</v>
      </c>
    </row>
    <row r="519" spans="1:14" x14ac:dyDescent="0.15">
      <c r="A519" t="s">
        <v>9961</v>
      </c>
      <c r="B519" t="s">
        <v>9967</v>
      </c>
      <c r="C519" t="s">
        <v>11037</v>
      </c>
      <c r="D519" t="s">
        <v>23</v>
      </c>
      <c r="E519" t="s">
        <v>11038</v>
      </c>
      <c r="F519" s="5">
        <v>7160000</v>
      </c>
      <c r="G519" s="5">
        <v>7160000</v>
      </c>
      <c r="H519" s="4">
        <v>5696000</v>
      </c>
      <c r="I519" s="2">
        <f t="shared" si="67"/>
        <v>0.79553072625698329</v>
      </c>
      <c r="J519" s="4">
        <v>5696000</v>
      </c>
      <c r="K519" s="2">
        <f t="shared" si="68"/>
        <v>0.79553072625698329</v>
      </c>
      <c r="L519" t="s">
        <v>5068</v>
      </c>
      <c r="M519" t="s">
        <v>165</v>
      </c>
      <c r="N519" t="b">
        <f t="shared" si="69"/>
        <v>0</v>
      </c>
    </row>
    <row r="520" spans="1:14" x14ac:dyDescent="0.15">
      <c r="A520" t="s">
        <v>9961</v>
      </c>
      <c r="B520" t="s">
        <v>10051</v>
      </c>
      <c r="C520" t="s">
        <v>11039</v>
      </c>
      <c r="D520" t="s">
        <v>23</v>
      </c>
      <c r="E520" t="s">
        <v>11040</v>
      </c>
      <c r="F520" s="5" t="str">
        <f>G520</f>
        <v>********</v>
      </c>
      <c r="G520" s="5" t="s">
        <v>145</v>
      </c>
      <c r="H520" t="s">
        <v>145</v>
      </c>
      <c r="I520" s="2" t="e">
        <f t="shared" si="67"/>
        <v>#VALUE!</v>
      </c>
      <c r="J520" s="4">
        <v>12800000</v>
      </c>
      <c r="K520" s="2" t="e">
        <f t="shared" si="68"/>
        <v>#VALUE!</v>
      </c>
      <c r="L520" t="s">
        <v>4797</v>
      </c>
      <c r="M520" t="s">
        <v>80</v>
      </c>
      <c r="N520" t="b">
        <f t="shared" si="69"/>
        <v>0</v>
      </c>
    </row>
    <row r="521" spans="1:14" x14ac:dyDescent="0.15">
      <c r="A521" t="s">
        <v>9961</v>
      </c>
      <c r="B521" t="s">
        <v>9967</v>
      </c>
      <c r="C521" t="s">
        <v>11041</v>
      </c>
      <c r="D521" t="s">
        <v>118</v>
      </c>
      <c r="E521" t="s">
        <v>11042</v>
      </c>
      <c r="F521" s="5">
        <v>25560000</v>
      </c>
      <c r="G521" s="5">
        <v>25560000</v>
      </c>
      <c r="H521" s="4">
        <v>20323000</v>
      </c>
      <c r="I521" s="2">
        <f t="shared" si="67"/>
        <v>0.79510954616588414</v>
      </c>
      <c r="J521" s="4">
        <v>20325000</v>
      </c>
      <c r="K521" s="2">
        <f t="shared" si="68"/>
        <v>0.79518779342723001</v>
      </c>
      <c r="L521" t="s">
        <v>1437</v>
      </c>
      <c r="M521" t="s">
        <v>126</v>
      </c>
      <c r="N521" t="b">
        <f t="shared" si="69"/>
        <v>0</v>
      </c>
    </row>
    <row r="522" spans="1:14" x14ac:dyDescent="0.15">
      <c r="A522" t="s">
        <v>9961</v>
      </c>
      <c r="B522" t="s">
        <v>10063</v>
      </c>
      <c r="C522" t="s">
        <v>11043</v>
      </c>
      <c r="D522" t="s">
        <v>23</v>
      </c>
      <c r="E522" t="s">
        <v>11044</v>
      </c>
      <c r="F522" s="5" t="str">
        <f t="shared" ref="F522:F524" si="70">G522</f>
        <v>********</v>
      </c>
      <c r="G522" s="5" t="s">
        <v>145</v>
      </c>
      <c r="H522" t="s">
        <v>145</v>
      </c>
      <c r="I522" s="2" t="e">
        <f t="shared" si="67"/>
        <v>#VALUE!</v>
      </c>
      <c r="J522" s="4">
        <v>23500000</v>
      </c>
      <c r="K522" s="2" t="e">
        <f t="shared" si="68"/>
        <v>#VALUE!</v>
      </c>
      <c r="L522" t="s">
        <v>903</v>
      </c>
      <c r="M522" t="s">
        <v>80</v>
      </c>
      <c r="N522" t="b">
        <f t="shared" si="69"/>
        <v>0</v>
      </c>
    </row>
    <row r="523" spans="1:14" x14ac:dyDescent="0.15">
      <c r="A523" t="s">
        <v>9961</v>
      </c>
      <c r="B523" t="s">
        <v>10021</v>
      </c>
      <c r="C523" t="s">
        <v>11045</v>
      </c>
      <c r="D523" t="s">
        <v>23</v>
      </c>
      <c r="E523" t="s">
        <v>11046</v>
      </c>
      <c r="F523" s="5" t="str">
        <f t="shared" si="70"/>
        <v>********</v>
      </c>
      <c r="G523" s="5" t="s">
        <v>145</v>
      </c>
      <c r="H523" t="s">
        <v>145</v>
      </c>
      <c r="I523" s="2" t="e">
        <f t="shared" si="67"/>
        <v>#VALUE!</v>
      </c>
      <c r="J523" s="4">
        <v>1980000</v>
      </c>
      <c r="K523" s="2" t="e">
        <f t="shared" si="68"/>
        <v>#VALUE!</v>
      </c>
      <c r="L523" t="s">
        <v>11047</v>
      </c>
      <c r="M523" t="s">
        <v>432</v>
      </c>
      <c r="N523" t="b">
        <f t="shared" si="69"/>
        <v>0</v>
      </c>
    </row>
    <row r="524" spans="1:14" x14ac:dyDescent="0.15">
      <c r="A524" t="s">
        <v>9961</v>
      </c>
      <c r="B524" t="s">
        <v>9964</v>
      </c>
      <c r="C524" t="s">
        <v>11048</v>
      </c>
      <c r="D524" t="s">
        <v>23</v>
      </c>
      <c r="E524" t="s">
        <v>11049</v>
      </c>
      <c r="F524" s="5" t="str">
        <f t="shared" si="70"/>
        <v>********</v>
      </c>
      <c r="G524" s="5" t="s">
        <v>145</v>
      </c>
      <c r="H524" t="s">
        <v>145</v>
      </c>
      <c r="I524" s="2" t="e">
        <f t="shared" si="67"/>
        <v>#VALUE!</v>
      </c>
      <c r="J524" s="4">
        <v>402000</v>
      </c>
      <c r="K524" s="2" t="e">
        <f t="shared" si="68"/>
        <v>#VALUE!</v>
      </c>
      <c r="L524" t="s">
        <v>332</v>
      </c>
      <c r="M524" t="s">
        <v>432</v>
      </c>
      <c r="N524" t="b">
        <f t="shared" si="69"/>
        <v>0</v>
      </c>
    </row>
    <row r="525" spans="1:14" x14ac:dyDescent="0.15">
      <c r="A525" t="s">
        <v>9961</v>
      </c>
      <c r="B525" t="s">
        <v>9976</v>
      </c>
      <c r="C525" t="s">
        <v>11050</v>
      </c>
      <c r="D525" t="s">
        <v>23</v>
      </c>
      <c r="E525" t="s">
        <v>11051</v>
      </c>
      <c r="F525" s="5">
        <v>4030000</v>
      </c>
      <c r="G525" s="5">
        <v>4030000</v>
      </c>
      <c r="H525" s="4">
        <v>3155000</v>
      </c>
      <c r="I525" s="2">
        <f t="shared" si="67"/>
        <v>0.78287841191066998</v>
      </c>
      <c r="J525" s="4">
        <v>3155000</v>
      </c>
      <c r="K525" s="2">
        <f t="shared" si="68"/>
        <v>0.78287841191066998</v>
      </c>
      <c r="L525" t="s">
        <v>3321</v>
      </c>
      <c r="M525" t="s">
        <v>41</v>
      </c>
      <c r="N525" t="b">
        <f t="shared" si="69"/>
        <v>0</v>
      </c>
    </row>
    <row r="526" spans="1:14" x14ac:dyDescent="0.15">
      <c r="A526" t="s">
        <v>9961</v>
      </c>
      <c r="B526" t="s">
        <v>9976</v>
      </c>
      <c r="C526" t="s">
        <v>11052</v>
      </c>
      <c r="D526" t="s">
        <v>23</v>
      </c>
      <c r="E526" t="s">
        <v>11053</v>
      </c>
      <c r="F526" s="5">
        <v>4710000</v>
      </c>
      <c r="G526" s="5">
        <v>4710000</v>
      </c>
      <c r="H526" s="4">
        <v>3747000</v>
      </c>
      <c r="I526" s="2">
        <f t="shared" si="67"/>
        <v>0.7955414012738854</v>
      </c>
      <c r="J526" s="4">
        <v>4474000</v>
      </c>
      <c r="K526" s="2">
        <f t="shared" si="68"/>
        <v>0.94989384288747347</v>
      </c>
      <c r="L526" t="s">
        <v>10390</v>
      </c>
      <c r="M526" t="s">
        <v>165</v>
      </c>
      <c r="N526" t="b">
        <f t="shared" si="69"/>
        <v>0</v>
      </c>
    </row>
    <row r="527" spans="1:14" x14ac:dyDescent="0.15">
      <c r="A527" t="s">
        <v>9961</v>
      </c>
      <c r="B527" t="s">
        <v>9976</v>
      </c>
      <c r="C527" t="s">
        <v>11054</v>
      </c>
      <c r="D527" t="s">
        <v>23</v>
      </c>
      <c r="E527" t="s">
        <v>11055</v>
      </c>
      <c r="F527" s="5">
        <v>5910000</v>
      </c>
      <c r="G527" s="5">
        <v>5910000</v>
      </c>
      <c r="H527" s="4">
        <v>4701000</v>
      </c>
      <c r="I527" s="2">
        <f t="shared" si="67"/>
        <v>0.79543147208121823</v>
      </c>
      <c r="J527" s="4">
        <v>4701000</v>
      </c>
      <c r="K527" s="2">
        <f t="shared" si="68"/>
        <v>0.79543147208121823</v>
      </c>
      <c r="L527" t="s">
        <v>9984</v>
      </c>
      <c r="M527" t="s">
        <v>165</v>
      </c>
      <c r="N527" t="b">
        <f t="shared" si="69"/>
        <v>0</v>
      </c>
    </row>
    <row r="528" spans="1:14" x14ac:dyDescent="0.15">
      <c r="A528" t="s">
        <v>9961</v>
      </c>
      <c r="B528" t="s">
        <v>9976</v>
      </c>
      <c r="C528" t="s">
        <v>11056</v>
      </c>
      <c r="D528" t="s">
        <v>23</v>
      </c>
      <c r="E528" t="s">
        <v>11057</v>
      </c>
      <c r="F528" s="5">
        <v>6400000</v>
      </c>
      <c r="G528" s="5">
        <v>6400000</v>
      </c>
      <c r="H528" s="4">
        <v>5092000</v>
      </c>
      <c r="I528" s="2">
        <f t="shared" si="67"/>
        <v>0.79562500000000003</v>
      </c>
      <c r="J528" s="4">
        <v>5092000</v>
      </c>
      <c r="K528" s="2">
        <f t="shared" si="68"/>
        <v>0.79562500000000003</v>
      </c>
      <c r="L528" t="s">
        <v>5415</v>
      </c>
      <c r="M528" t="s">
        <v>165</v>
      </c>
      <c r="N528" t="b">
        <f t="shared" si="69"/>
        <v>0</v>
      </c>
    </row>
    <row r="529" spans="1:14" x14ac:dyDescent="0.15">
      <c r="A529" t="s">
        <v>9961</v>
      </c>
      <c r="B529" t="s">
        <v>9976</v>
      </c>
      <c r="C529" t="s">
        <v>11058</v>
      </c>
      <c r="D529" t="s">
        <v>23</v>
      </c>
      <c r="E529" t="s">
        <v>11059</v>
      </c>
      <c r="F529" s="5">
        <v>6620000</v>
      </c>
      <c r="G529" s="5">
        <v>6620000</v>
      </c>
      <c r="H529" s="4">
        <v>5266000</v>
      </c>
      <c r="I529" s="2">
        <f t="shared" si="67"/>
        <v>0.79546827794561936</v>
      </c>
      <c r="J529" s="4">
        <v>5266000</v>
      </c>
      <c r="K529" s="2">
        <f t="shared" si="68"/>
        <v>0.79546827794561936</v>
      </c>
      <c r="L529" t="s">
        <v>10028</v>
      </c>
      <c r="M529" t="s">
        <v>165</v>
      </c>
      <c r="N529" t="b">
        <f t="shared" si="69"/>
        <v>0</v>
      </c>
    </row>
    <row r="530" spans="1:14" x14ac:dyDescent="0.15">
      <c r="A530" t="s">
        <v>9961</v>
      </c>
      <c r="B530" t="s">
        <v>9967</v>
      </c>
      <c r="C530" t="s">
        <v>11060</v>
      </c>
      <c r="D530" t="s">
        <v>118</v>
      </c>
      <c r="E530" t="s">
        <v>11061</v>
      </c>
      <c r="F530" s="5">
        <v>11260000</v>
      </c>
      <c r="G530" s="5">
        <v>11260000</v>
      </c>
      <c r="H530" s="4">
        <v>8899000</v>
      </c>
      <c r="I530" s="2">
        <f t="shared" si="67"/>
        <v>0.79031971580817051</v>
      </c>
      <c r="J530" s="4">
        <v>8914000</v>
      </c>
      <c r="K530" s="2">
        <f t="shared" si="68"/>
        <v>0.79165186500888096</v>
      </c>
      <c r="L530" t="s">
        <v>846</v>
      </c>
      <c r="M530" t="s">
        <v>216</v>
      </c>
      <c r="N530" t="b">
        <f t="shared" si="69"/>
        <v>0</v>
      </c>
    </row>
    <row r="531" spans="1:14" x14ac:dyDescent="0.15">
      <c r="A531" t="s">
        <v>9961</v>
      </c>
      <c r="B531" t="s">
        <v>9976</v>
      </c>
      <c r="C531" t="s">
        <v>11062</v>
      </c>
      <c r="D531" t="s">
        <v>23</v>
      </c>
      <c r="E531" t="s">
        <v>11063</v>
      </c>
      <c r="F531" s="5">
        <v>6700000</v>
      </c>
      <c r="G531" s="5">
        <v>6700000</v>
      </c>
      <c r="H531" s="4">
        <v>5329000</v>
      </c>
      <c r="I531" s="2">
        <f t="shared" si="67"/>
        <v>0.79537313432835821</v>
      </c>
      <c r="J531" s="4">
        <v>5329000</v>
      </c>
      <c r="K531" s="2">
        <f t="shared" si="68"/>
        <v>0.79537313432835821</v>
      </c>
      <c r="L531" t="s">
        <v>694</v>
      </c>
      <c r="M531" t="s">
        <v>165</v>
      </c>
      <c r="N531" t="b">
        <f t="shared" si="69"/>
        <v>0</v>
      </c>
    </row>
    <row r="532" spans="1:14" x14ac:dyDescent="0.15">
      <c r="A532" t="s">
        <v>9961</v>
      </c>
      <c r="B532" t="s">
        <v>9976</v>
      </c>
      <c r="C532" t="s">
        <v>11064</v>
      </c>
      <c r="D532" t="s">
        <v>23</v>
      </c>
      <c r="E532" t="s">
        <v>11065</v>
      </c>
      <c r="F532" s="5">
        <v>6840000</v>
      </c>
      <c r="G532" s="5">
        <v>6840000</v>
      </c>
      <c r="H532" s="4">
        <v>5442000</v>
      </c>
      <c r="I532" s="2">
        <f t="shared" si="67"/>
        <v>0.79561403508771933</v>
      </c>
      <c r="J532" s="4">
        <v>5442000</v>
      </c>
      <c r="K532" s="2">
        <f t="shared" si="68"/>
        <v>0.79561403508771933</v>
      </c>
      <c r="L532" t="s">
        <v>10322</v>
      </c>
      <c r="M532" t="s">
        <v>165</v>
      </c>
      <c r="N532" t="b">
        <f t="shared" si="69"/>
        <v>0</v>
      </c>
    </row>
    <row r="533" spans="1:14" x14ac:dyDescent="0.15">
      <c r="A533" t="s">
        <v>9961</v>
      </c>
      <c r="B533" t="s">
        <v>9967</v>
      </c>
      <c r="C533" t="s">
        <v>11066</v>
      </c>
      <c r="D533" t="s">
        <v>118</v>
      </c>
      <c r="E533" t="s">
        <v>11067</v>
      </c>
      <c r="F533" s="5">
        <v>11900000</v>
      </c>
      <c r="G533" s="5">
        <v>11900000</v>
      </c>
      <c r="H533" s="4">
        <v>9469000</v>
      </c>
      <c r="I533" s="2">
        <f t="shared" si="67"/>
        <v>0.79571428571428571</v>
      </c>
      <c r="J533" s="4">
        <v>9469000</v>
      </c>
      <c r="K533" s="2">
        <f t="shared" si="68"/>
        <v>0.79571428571428571</v>
      </c>
      <c r="L533" t="s">
        <v>239</v>
      </c>
      <c r="M533" t="s">
        <v>126</v>
      </c>
      <c r="N533" t="b">
        <f t="shared" si="69"/>
        <v>0</v>
      </c>
    </row>
    <row r="534" spans="1:14" x14ac:dyDescent="0.15">
      <c r="A534" t="s">
        <v>9961</v>
      </c>
      <c r="B534" t="s">
        <v>9976</v>
      </c>
      <c r="C534" t="s">
        <v>11068</v>
      </c>
      <c r="D534" t="s">
        <v>23</v>
      </c>
      <c r="E534" t="s">
        <v>11069</v>
      </c>
      <c r="F534" s="5">
        <v>6860000</v>
      </c>
      <c r="G534" s="5">
        <v>6860000</v>
      </c>
      <c r="H534" s="4">
        <v>5456000</v>
      </c>
      <c r="I534" s="2">
        <f t="shared" si="67"/>
        <v>0.79533527696793005</v>
      </c>
      <c r="J534" s="4">
        <v>5456000</v>
      </c>
      <c r="K534" s="2">
        <f t="shared" si="68"/>
        <v>0.79533527696793005</v>
      </c>
      <c r="L534" t="s">
        <v>694</v>
      </c>
      <c r="M534" t="s">
        <v>165</v>
      </c>
      <c r="N534" t="b">
        <f t="shared" si="69"/>
        <v>0</v>
      </c>
    </row>
    <row r="535" spans="1:14" x14ac:dyDescent="0.15">
      <c r="A535" t="s">
        <v>9961</v>
      </c>
      <c r="B535" t="s">
        <v>9976</v>
      </c>
      <c r="C535" t="s">
        <v>11070</v>
      </c>
      <c r="D535" t="s">
        <v>23</v>
      </c>
      <c r="E535" t="s">
        <v>11071</v>
      </c>
      <c r="F535" s="5">
        <v>7070000</v>
      </c>
      <c r="G535" s="5">
        <v>7070000</v>
      </c>
      <c r="H535" s="4">
        <v>5623000</v>
      </c>
      <c r="I535" s="2">
        <f t="shared" si="67"/>
        <v>0.79533239038189529</v>
      </c>
      <c r="J535" s="4">
        <v>5623000</v>
      </c>
      <c r="K535" s="2">
        <f t="shared" si="68"/>
        <v>0.79533239038189529</v>
      </c>
      <c r="L535" t="s">
        <v>687</v>
      </c>
      <c r="M535" t="s">
        <v>165</v>
      </c>
      <c r="N535" t="b">
        <f t="shared" si="69"/>
        <v>0</v>
      </c>
    </row>
    <row r="536" spans="1:14" x14ac:dyDescent="0.15">
      <c r="A536" t="s">
        <v>9961</v>
      </c>
      <c r="B536" t="s">
        <v>9967</v>
      </c>
      <c r="C536" t="s">
        <v>11072</v>
      </c>
      <c r="D536" t="s">
        <v>118</v>
      </c>
      <c r="E536" t="s">
        <v>11073</v>
      </c>
      <c r="F536" s="5">
        <v>12040000</v>
      </c>
      <c r="G536" s="5">
        <v>12040000</v>
      </c>
      <c r="H536" s="4">
        <v>9540000</v>
      </c>
      <c r="I536" s="2">
        <f t="shared" si="67"/>
        <v>0.79235880398671099</v>
      </c>
      <c r="J536" s="4">
        <v>10800000</v>
      </c>
      <c r="K536" s="2">
        <f t="shared" si="68"/>
        <v>0.89700996677740863</v>
      </c>
      <c r="L536" t="s">
        <v>1437</v>
      </c>
      <c r="M536" t="s">
        <v>216</v>
      </c>
      <c r="N536" t="b">
        <f t="shared" si="69"/>
        <v>0</v>
      </c>
    </row>
    <row r="537" spans="1:14" x14ac:dyDescent="0.15">
      <c r="A537" t="s">
        <v>9961</v>
      </c>
      <c r="B537" t="s">
        <v>9976</v>
      </c>
      <c r="C537" t="s">
        <v>11074</v>
      </c>
      <c r="D537" t="s">
        <v>23</v>
      </c>
      <c r="E537" t="s">
        <v>11075</v>
      </c>
      <c r="F537" s="5">
        <v>7140000</v>
      </c>
      <c r="G537" s="5">
        <v>7140000</v>
      </c>
      <c r="H537" s="4">
        <v>5678000</v>
      </c>
      <c r="I537" s="2">
        <f t="shared" si="67"/>
        <v>0.79523809523809519</v>
      </c>
      <c r="J537" s="4">
        <v>6800000</v>
      </c>
      <c r="K537" s="2">
        <f t="shared" si="68"/>
        <v>0.95238095238095233</v>
      </c>
      <c r="L537" t="s">
        <v>10644</v>
      </c>
      <c r="M537" t="s">
        <v>165</v>
      </c>
      <c r="N537" t="b">
        <f t="shared" si="69"/>
        <v>0</v>
      </c>
    </row>
    <row r="538" spans="1:14" x14ac:dyDescent="0.15">
      <c r="A538" t="s">
        <v>9961</v>
      </c>
      <c r="B538" t="s">
        <v>9976</v>
      </c>
      <c r="C538" t="s">
        <v>11076</v>
      </c>
      <c r="D538" t="s">
        <v>23</v>
      </c>
      <c r="E538" t="s">
        <v>11077</v>
      </c>
      <c r="F538" s="5">
        <v>7230000</v>
      </c>
      <c r="G538" s="5">
        <v>7230000</v>
      </c>
      <c r="H538" s="4">
        <v>5752000</v>
      </c>
      <c r="I538" s="2">
        <f t="shared" si="67"/>
        <v>0.79557399723374822</v>
      </c>
      <c r="J538" s="4">
        <v>5752000</v>
      </c>
      <c r="K538" s="2">
        <f t="shared" si="68"/>
        <v>0.79557399723374822</v>
      </c>
      <c r="L538" t="s">
        <v>2674</v>
      </c>
      <c r="M538" t="s">
        <v>165</v>
      </c>
      <c r="N538" t="b">
        <f t="shared" si="69"/>
        <v>0</v>
      </c>
    </row>
    <row r="539" spans="1:14" x14ac:dyDescent="0.15">
      <c r="A539" t="s">
        <v>9961</v>
      </c>
      <c r="B539" t="s">
        <v>9967</v>
      </c>
      <c r="C539" t="s">
        <v>11078</v>
      </c>
      <c r="D539" t="s">
        <v>118</v>
      </c>
      <c r="E539" t="s">
        <v>11079</v>
      </c>
      <c r="F539" s="5">
        <v>27540000</v>
      </c>
      <c r="G539" s="5">
        <v>27540000</v>
      </c>
      <c r="H539" s="4">
        <v>21909000</v>
      </c>
      <c r="I539" s="2">
        <f t="shared" si="67"/>
        <v>0.79553376906318085</v>
      </c>
      <c r="J539" s="4">
        <v>21909000</v>
      </c>
      <c r="K539" s="2">
        <f t="shared" si="68"/>
        <v>0.79553376906318085</v>
      </c>
      <c r="L539" t="s">
        <v>1541</v>
      </c>
      <c r="M539" t="s">
        <v>482</v>
      </c>
      <c r="N539" t="b">
        <f t="shared" si="69"/>
        <v>0</v>
      </c>
    </row>
    <row r="540" spans="1:14" x14ac:dyDescent="0.15">
      <c r="A540" t="s">
        <v>9961</v>
      </c>
      <c r="B540" t="s">
        <v>9976</v>
      </c>
      <c r="C540" t="s">
        <v>11080</v>
      </c>
      <c r="D540" t="s">
        <v>23</v>
      </c>
      <c r="E540" t="s">
        <v>11081</v>
      </c>
      <c r="F540" s="5">
        <v>7350000</v>
      </c>
      <c r="G540" s="5">
        <v>7350000</v>
      </c>
      <c r="H540" s="4">
        <v>5845000</v>
      </c>
      <c r="I540" s="2">
        <f t="shared" si="67"/>
        <v>0.79523809523809519</v>
      </c>
      <c r="J540" s="4">
        <v>5845000</v>
      </c>
      <c r="K540" s="2">
        <f t="shared" si="68"/>
        <v>0.79523809523809519</v>
      </c>
      <c r="L540" t="s">
        <v>1333</v>
      </c>
      <c r="M540" t="s">
        <v>165</v>
      </c>
      <c r="N540" t="b">
        <f t="shared" si="69"/>
        <v>0</v>
      </c>
    </row>
    <row r="541" spans="1:14" x14ac:dyDescent="0.15">
      <c r="A541" t="s">
        <v>9961</v>
      </c>
      <c r="B541" t="s">
        <v>9976</v>
      </c>
      <c r="C541" t="s">
        <v>11082</v>
      </c>
      <c r="D541" t="s">
        <v>23</v>
      </c>
      <c r="E541" t="s">
        <v>11083</v>
      </c>
      <c r="F541" s="5">
        <v>7850000</v>
      </c>
      <c r="G541" s="5">
        <v>7850000</v>
      </c>
      <c r="H541" s="4">
        <v>6243000</v>
      </c>
      <c r="I541" s="2">
        <f t="shared" si="67"/>
        <v>0.79528662420382168</v>
      </c>
      <c r="J541" s="4">
        <v>6243000</v>
      </c>
      <c r="K541" s="2">
        <f t="shared" si="68"/>
        <v>0.79528662420382168</v>
      </c>
      <c r="L541" t="s">
        <v>1333</v>
      </c>
      <c r="M541" t="s">
        <v>165</v>
      </c>
      <c r="N541" t="b">
        <f t="shared" si="69"/>
        <v>0</v>
      </c>
    </row>
    <row r="542" spans="1:14" x14ac:dyDescent="0.15">
      <c r="A542" t="s">
        <v>9961</v>
      </c>
      <c r="B542" t="s">
        <v>9976</v>
      </c>
      <c r="C542" t="s">
        <v>11084</v>
      </c>
      <c r="D542" t="s">
        <v>23</v>
      </c>
      <c r="E542" t="s">
        <v>11085</v>
      </c>
      <c r="F542" s="5">
        <v>7880000</v>
      </c>
      <c r="G542" s="5">
        <v>7880000</v>
      </c>
      <c r="H542" s="4">
        <v>6268000</v>
      </c>
      <c r="I542" s="2">
        <f t="shared" si="67"/>
        <v>0.79543147208121823</v>
      </c>
      <c r="J542" s="4">
        <v>7880000</v>
      </c>
      <c r="K542" s="2">
        <f t="shared" si="68"/>
        <v>1</v>
      </c>
      <c r="L542" t="s">
        <v>11086</v>
      </c>
      <c r="M542" t="s">
        <v>165</v>
      </c>
      <c r="N542" t="b">
        <f t="shared" si="69"/>
        <v>0</v>
      </c>
    </row>
    <row r="543" spans="1:14" x14ac:dyDescent="0.15">
      <c r="A543" t="s">
        <v>9961</v>
      </c>
      <c r="B543" t="s">
        <v>9976</v>
      </c>
      <c r="C543" t="s">
        <v>11087</v>
      </c>
      <c r="D543" t="s">
        <v>23</v>
      </c>
      <c r="E543" t="s">
        <v>11088</v>
      </c>
      <c r="F543" s="5">
        <v>8130000</v>
      </c>
      <c r="G543" s="5">
        <v>8130000</v>
      </c>
      <c r="H543" s="4">
        <v>6468000</v>
      </c>
      <c r="I543" s="2">
        <f t="shared" si="67"/>
        <v>0.79557195571955719</v>
      </c>
      <c r="J543" s="4">
        <v>7770000</v>
      </c>
      <c r="K543" s="2">
        <f t="shared" si="68"/>
        <v>0.955719557195572</v>
      </c>
      <c r="L543" t="s">
        <v>10393</v>
      </c>
      <c r="M543" t="s">
        <v>165</v>
      </c>
      <c r="N543" t="b">
        <f t="shared" si="69"/>
        <v>0</v>
      </c>
    </row>
    <row r="544" spans="1:14" x14ac:dyDescent="0.15">
      <c r="A544" t="s">
        <v>9961</v>
      </c>
      <c r="B544" t="s">
        <v>9976</v>
      </c>
      <c r="C544" t="s">
        <v>11089</v>
      </c>
      <c r="D544" t="s">
        <v>23</v>
      </c>
      <c r="E544" t="s">
        <v>11090</v>
      </c>
      <c r="F544" s="5">
        <v>8420000</v>
      </c>
      <c r="G544" s="5">
        <v>8420000</v>
      </c>
      <c r="H544" s="4">
        <v>6697000</v>
      </c>
      <c r="I544" s="2">
        <f t="shared" si="67"/>
        <v>0.79536817102137769</v>
      </c>
      <c r="J544" s="4">
        <v>6697000</v>
      </c>
      <c r="K544" s="2">
        <f t="shared" si="68"/>
        <v>0.79536817102137769</v>
      </c>
      <c r="L544" t="s">
        <v>10322</v>
      </c>
      <c r="M544" t="s">
        <v>165</v>
      </c>
      <c r="N544" t="b">
        <f t="shared" si="69"/>
        <v>0</v>
      </c>
    </row>
    <row r="545" spans="1:14" x14ac:dyDescent="0.15">
      <c r="A545" t="s">
        <v>9961</v>
      </c>
      <c r="B545" t="s">
        <v>9976</v>
      </c>
      <c r="C545" t="s">
        <v>11091</v>
      </c>
      <c r="D545" t="s">
        <v>23</v>
      </c>
      <c r="E545" t="s">
        <v>11092</v>
      </c>
      <c r="F545" s="5">
        <v>8240000</v>
      </c>
      <c r="G545" s="5">
        <v>8240000</v>
      </c>
      <c r="H545" s="4">
        <v>6500000</v>
      </c>
      <c r="I545" s="2">
        <f t="shared" si="67"/>
        <v>0.78883495145631066</v>
      </c>
      <c r="J545" s="4">
        <v>6500000</v>
      </c>
      <c r="K545" s="2">
        <f t="shared" si="68"/>
        <v>0.78883495145631066</v>
      </c>
      <c r="L545" t="s">
        <v>2037</v>
      </c>
      <c r="M545" t="s">
        <v>165</v>
      </c>
      <c r="N545" t="b">
        <f t="shared" si="69"/>
        <v>0</v>
      </c>
    </row>
    <row r="546" spans="1:14" x14ac:dyDescent="0.15">
      <c r="A546" t="s">
        <v>9961</v>
      </c>
      <c r="B546" t="s">
        <v>9967</v>
      </c>
      <c r="C546" t="s">
        <v>11093</v>
      </c>
      <c r="D546" t="s">
        <v>23</v>
      </c>
      <c r="E546" t="s">
        <v>11094</v>
      </c>
      <c r="F546" s="5">
        <v>4150000</v>
      </c>
      <c r="G546" s="5">
        <v>4150000</v>
      </c>
      <c r="H546" s="4">
        <v>3280000</v>
      </c>
      <c r="I546" s="2">
        <f t="shared" si="67"/>
        <v>0.7903614457831325</v>
      </c>
      <c r="J546" s="4">
        <v>3280000</v>
      </c>
      <c r="K546" s="2">
        <f t="shared" si="68"/>
        <v>0.7903614457831325</v>
      </c>
      <c r="L546" t="s">
        <v>10054</v>
      </c>
      <c r="M546" t="s">
        <v>432</v>
      </c>
      <c r="N546" t="b">
        <f t="shared" si="69"/>
        <v>0</v>
      </c>
    </row>
    <row r="547" spans="1:14" x14ac:dyDescent="0.15">
      <c r="A547" t="s">
        <v>9961</v>
      </c>
      <c r="B547" t="s">
        <v>9967</v>
      </c>
      <c r="C547" t="s">
        <v>11095</v>
      </c>
      <c r="D547" t="s">
        <v>23</v>
      </c>
      <c r="E547" t="s">
        <v>11096</v>
      </c>
      <c r="F547" s="5">
        <v>8470000</v>
      </c>
      <c r="G547" s="5">
        <v>8470000</v>
      </c>
      <c r="H547" s="4">
        <v>6739000</v>
      </c>
      <c r="I547" s="2">
        <f t="shared" si="67"/>
        <v>0.79563164108618656</v>
      </c>
      <c r="J547" s="4">
        <v>6739000</v>
      </c>
      <c r="K547" s="2">
        <f t="shared" si="68"/>
        <v>0.79563164108618656</v>
      </c>
      <c r="L547" t="s">
        <v>1139</v>
      </c>
      <c r="M547" t="s">
        <v>165</v>
      </c>
      <c r="N547" t="b">
        <f t="shared" si="69"/>
        <v>0</v>
      </c>
    </row>
    <row r="548" spans="1:14" x14ac:dyDescent="0.15">
      <c r="A548" t="s">
        <v>9961</v>
      </c>
      <c r="B548" t="s">
        <v>9967</v>
      </c>
      <c r="C548" t="s">
        <v>11097</v>
      </c>
      <c r="D548" t="s">
        <v>23</v>
      </c>
      <c r="E548" t="s">
        <v>11098</v>
      </c>
      <c r="F548" s="5">
        <v>6770000</v>
      </c>
      <c r="G548" s="5">
        <v>6770000</v>
      </c>
      <c r="H548" s="4">
        <v>5345000</v>
      </c>
      <c r="I548" s="2">
        <f t="shared" si="67"/>
        <v>0.78951255539143284</v>
      </c>
      <c r="J548" s="4">
        <v>5345000</v>
      </c>
      <c r="K548" s="2">
        <f t="shared" si="68"/>
        <v>0.78951255539143284</v>
      </c>
      <c r="L548" t="s">
        <v>2667</v>
      </c>
      <c r="M548" t="s">
        <v>165</v>
      </c>
      <c r="N548" t="b">
        <f t="shared" si="69"/>
        <v>0</v>
      </c>
    </row>
    <row r="549" spans="1:14" x14ac:dyDescent="0.15">
      <c r="A549" t="s">
        <v>9961</v>
      </c>
      <c r="B549" t="s">
        <v>9967</v>
      </c>
      <c r="C549" t="s">
        <v>11099</v>
      </c>
      <c r="D549" t="s">
        <v>23</v>
      </c>
      <c r="E549" t="s">
        <v>11100</v>
      </c>
      <c r="F549" s="5">
        <v>9050000</v>
      </c>
      <c r="G549" s="5">
        <v>9050000</v>
      </c>
      <c r="H549" s="4">
        <v>7144000</v>
      </c>
      <c r="I549" s="2">
        <f t="shared" si="67"/>
        <v>0.78939226519337014</v>
      </c>
      <c r="J549" s="4">
        <v>7144000</v>
      </c>
      <c r="K549" s="2">
        <f t="shared" si="68"/>
        <v>0.78939226519337014</v>
      </c>
      <c r="L549" t="s">
        <v>5068</v>
      </c>
      <c r="M549" t="s">
        <v>165</v>
      </c>
      <c r="N549" t="b">
        <f t="shared" si="69"/>
        <v>0</v>
      </c>
    </row>
    <row r="550" spans="1:14" x14ac:dyDescent="0.15">
      <c r="A550" t="s">
        <v>9961</v>
      </c>
      <c r="B550" t="s">
        <v>9967</v>
      </c>
      <c r="C550" t="s">
        <v>11101</v>
      </c>
      <c r="D550" t="s">
        <v>118</v>
      </c>
      <c r="E550" t="s">
        <v>11102</v>
      </c>
      <c r="F550" s="5">
        <v>13460000</v>
      </c>
      <c r="G550" s="5">
        <v>13460000</v>
      </c>
      <c r="H550" s="4">
        <v>10678000</v>
      </c>
      <c r="I550" s="2">
        <f t="shared" si="67"/>
        <v>0.79331352154531942</v>
      </c>
      <c r="J550" s="4">
        <v>10679000</v>
      </c>
      <c r="K550" s="2">
        <f t="shared" si="68"/>
        <v>0.79338781575037143</v>
      </c>
      <c r="L550" t="s">
        <v>263</v>
      </c>
      <c r="M550" t="s">
        <v>174</v>
      </c>
      <c r="N550" t="b">
        <f t="shared" si="69"/>
        <v>0</v>
      </c>
    </row>
    <row r="551" spans="1:14" x14ac:dyDescent="0.15">
      <c r="A551" t="s">
        <v>9961</v>
      </c>
      <c r="B551" t="s">
        <v>9967</v>
      </c>
      <c r="C551" t="s">
        <v>11103</v>
      </c>
      <c r="D551" t="s">
        <v>118</v>
      </c>
      <c r="E551" t="s">
        <v>11104</v>
      </c>
      <c r="F551" s="5">
        <v>48000000</v>
      </c>
      <c r="G551" s="5">
        <v>48000000</v>
      </c>
      <c r="H551" s="4">
        <v>38235000</v>
      </c>
      <c r="I551" s="2">
        <f t="shared" si="67"/>
        <v>0.79656249999999995</v>
      </c>
      <c r="J551" s="4">
        <v>38235000</v>
      </c>
      <c r="K551" s="2">
        <f t="shared" si="68"/>
        <v>0.79656249999999995</v>
      </c>
      <c r="L551" t="s">
        <v>256</v>
      </c>
      <c r="M551" t="s">
        <v>174</v>
      </c>
      <c r="N551" t="b">
        <f t="shared" si="69"/>
        <v>0</v>
      </c>
    </row>
    <row r="552" spans="1:14" x14ac:dyDescent="0.15">
      <c r="A552" t="s">
        <v>9961</v>
      </c>
      <c r="B552" t="s">
        <v>10227</v>
      </c>
      <c r="C552" t="s">
        <v>11105</v>
      </c>
      <c r="D552" t="s">
        <v>23</v>
      </c>
      <c r="E552" t="s">
        <v>11106</v>
      </c>
      <c r="F552" s="5" t="str">
        <f>G552</f>
        <v>********</v>
      </c>
      <c r="G552" s="5" t="s">
        <v>145</v>
      </c>
      <c r="H552" t="s">
        <v>145</v>
      </c>
      <c r="I552" s="2" t="e">
        <f t="shared" si="67"/>
        <v>#VALUE!</v>
      </c>
      <c r="J552" s="4">
        <v>6300000</v>
      </c>
      <c r="K552" s="2" t="e">
        <f t="shared" si="68"/>
        <v>#VALUE!</v>
      </c>
      <c r="L552" t="s">
        <v>1783</v>
      </c>
      <c r="M552" t="s">
        <v>80</v>
      </c>
      <c r="N552" t="b">
        <f t="shared" si="69"/>
        <v>0</v>
      </c>
    </row>
    <row r="553" spans="1:14" x14ac:dyDescent="0.15">
      <c r="A553" t="s">
        <v>9961</v>
      </c>
      <c r="B553" t="s">
        <v>11109</v>
      </c>
      <c r="C553" t="s">
        <v>11107</v>
      </c>
      <c r="D553" t="s">
        <v>23</v>
      </c>
      <c r="E553" t="s">
        <v>11108</v>
      </c>
      <c r="F553" s="5" t="s">
        <v>145</v>
      </c>
      <c r="G553" s="5" t="s">
        <v>145</v>
      </c>
      <c r="H553" t="s">
        <v>145</v>
      </c>
      <c r="I553" s="2" t="e">
        <f t="shared" si="67"/>
        <v>#VALUE!</v>
      </c>
      <c r="J553" s="4">
        <v>20970000</v>
      </c>
      <c r="K553" s="2" t="e">
        <f t="shared" si="68"/>
        <v>#VALUE!</v>
      </c>
      <c r="L553" t="s">
        <v>215</v>
      </c>
      <c r="M553" t="s">
        <v>174</v>
      </c>
      <c r="N553" t="b">
        <f t="shared" si="69"/>
        <v>0</v>
      </c>
    </row>
    <row r="554" spans="1:14" x14ac:dyDescent="0.15">
      <c r="A554" t="s">
        <v>9961</v>
      </c>
      <c r="B554" t="s">
        <v>9967</v>
      </c>
      <c r="C554" t="s">
        <v>11110</v>
      </c>
      <c r="D554" t="s">
        <v>23</v>
      </c>
      <c r="E554" t="s">
        <v>11111</v>
      </c>
      <c r="F554" s="5">
        <v>5690000</v>
      </c>
      <c r="G554" s="5">
        <v>5690000</v>
      </c>
      <c r="H554" s="4">
        <v>4529000</v>
      </c>
      <c r="I554" s="2">
        <f t="shared" si="67"/>
        <v>0.79595782073813703</v>
      </c>
      <c r="J554" s="4">
        <v>5400000</v>
      </c>
      <c r="K554" s="2">
        <f t="shared" si="68"/>
        <v>0.94903339191564151</v>
      </c>
      <c r="L554" t="s">
        <v>239</v>
      </c>
      <c r="M554" t="s">
        <v>165</v>
      </c>
      <c r="N554" t="b">
        <f t="shared" si="69"/>
        <v>0</v>
      </c>
    </row>
    <row r="555" spans="1:14" x14ac:dyDescent="0.15">
      <c r="A555" t="s">
        <v>9961</v>
      </c>
      <c r="B555" t="s">
        <v>9967</v>
      </c>
      <c r="C555" t="s">
        <v>11112</v>
      </c>
      <c r="D555" t="s">
        <v>23</v>
      </c>
      <c r="E555" t="s">
        <v>11113</v>
      </c>
      <c r="F555" s="5">
        <v>7450000</v>
      </c>
      <c r="G555" s="5">
        <v>7450000</v>
      </c>
      <c r="H555" s="4">
        <v>5837000</v>
      </c>
      <c r="I555" s="2">
        <f t="shared" si="67"/>
        <v>0.78348993288590607</v>
      </c>
      <c r="J555" s="4">
        <v>7060000</v>
      </c>
      <c r="K555" s="2">
        <f t="shared" si="68"/>
        <v>0.94765100671140945</v>
      </c>
      <c r="L555" t="s">
        <v>687</v>
      </c>
      <c r="M555" t="s">
        <v>165</v>
      </c>
      <c r="N555" t="b">
        <f t="shared" si="69"/>
        <v>0</v>
      </c>
    </row>
    <row r="556" spans="1:14" x14ac:dyDescent="0.15">
      <c r="A556" t="s">
        <v>9961</v>
      </c>
      <c r="B556" t="s">
        <v>9967</v>
      </c>
      <c r="C556" t="s">
        <v>11114</v>
      </c>
      <c r="D556" t="s">
        <v>23</v>
      </c>
      <c r="E556" t="s">
        <v>11115</v>
      </c>
      <c r="F556" s="5">
        <v>9020000</v>
      </c>
      <c r="G556" s="5">
        <v>9020000</v>
      </c>
      <c r="H556" s="4">
        <v>7175000</v>
      </c>
      <c r="I556" s="2">
        <f t="shared" si="67"/>
        <v>0.79545454545454541</v>
      </c>
      <c r="J556" s="4">
        <v>7176000</v>
      </c>
      <c r="K556" s="2">
        <f t="shared" si="68"/>
        <v>0.79556541019955651</v>
      </c>
      <c r="L556" t="s">
        <v>6388</v>
      </c>
      <c r="M556" t="s">
        <v>165</v>
      </c>
      <c r="N556" t="b">
        <f t="shared" si="69"/>
        <v>0</v>
      </c>
    </row>
    <row r="557" spans="1:14" x14ac:dyDescent="0.15">
      <c r="A557" t="s">
        <v>9961</v>
      </c>
      <c r="B557" t="s">
        <v>9976</v>
      </c>
      <c r="C557" t="s">
        <v>11116</v>
      </c>
      <c r="D557" t="s">
        <v>23</v>
      </c>
      <c r="E557" t="s">
        <v>11117</v>
      </c>
      <c r="F557" s="5">
        <v>5400000</v>
      </c>
      <c r="G557" s="5">
        <v>5400000</v>
      </c>
      <c r="H557" s="4">
        <v>4295000</v>
      </c>
      <c r="I557" s="2">
        <f t="shared" si="67"/>
        <v>0.79537037037037039</v>
      </c>
      <c r="J557" s="4">
        <v>4295000</v>
      </c>
      <c r="K557" s="2">
        <f t="shared" si="68"/>
        <v>0.79537037037037039</v>
      </c>
      <c r="L557" t="s">
        <v>687</v>
      </c>
      <c r="M557" t="s">
        <v>165</v>
      </c>
      <c r="N557" t="b">
        <f t="shared" si="69"/>
        <v>0</v>
      </c>
    </row>
    <row r="558" spans="1:14" x14ac:dyDescent="0.15">
      <c r="A558" t="s">
        <v>9961</v>
      </c>
      <c r="B558" t="s">
        <v>9976</v>
      </c>
      <c r="C558" t="s">
        <v>10507</v>
      </c>
      <c r="D558" t="s">
        <v>23</v>
      </c>
      <c r="E558" t="s">
        <v>11118</v>
      </c>
      <c r="F558" s="5">
        <v>4590000</v>
      </c>
      <c r="G558" s="5">
        <v>4590000</v>
      </c>
      <c r="H558" s="4">
        <v>3600000</v>
      </c>
      <c r="I558" s="2">
        <f t="shared" si="67"/>
        <v>0.78431372549019607</v>
      </c>
      <c r="J558" s="4">
        <v>3600000</v>
      </c>
      <c r="K558" s="2">
        <f t="shared" si="68"/>
        <v>0.78431372549019607</v>
      </c>
      <c r="L558" t="s">
        <v>10054</v>
      </c>
      <c r="M558" t="s">
        <v>165</v>
      </c>
      <c r="N558" t="b">
        <f t="shared" si="69"/>
        <v>0</v>
      </c>
    </row>
    <row r="559" spans="1:14" x14ac:dyDescent="0.15">
      <c r="A559" t="s">
        <v>9961</v>
      </c>
      <c r="B559" t="s">
        <v>9976</v>
      </c>
      <c r="C559" t="s">
        <v>11119</v>
      </c>
      <c r="D559" t="s">
        <v>23</v>
      </c>
      <c r="E559" t="s">
        <v>11120</v>
      </c>
      <c r="F559" s="5">
        <v>4130000</v>
      </c>
      <c r="G559" s="5">
        <v>4130000</v>
      </c>
      <c r="H559" s="4">
        <v>3286000</v>
      </c>
      <c r="I559" s="2">
        <f t="shared" si="67"/>
        <v>0.79564164648910407</v>
      </c>
      <c r="J559" s="4">
        <v>3286000</v>
      </c>
      <c r="K559" s="2">
        <f t="shared" si="68"/>
        <v>0.79564164648910407</v>
      </c>
      <c r="L559" t="s">
        <v>10105</v>
      </c>
      <c r="M559" t="s">
        <v>216</v>
      </c>
      <c r="N559" t="b">
        <f t="shared" si="69"/>
        <v>0</v>
      </c>
    </row>
    <row r="560" spans="1:14" x14ac:dyDescent="0.15">
      <c r="A560" t="s">
        <v>9961</v>
      </c>
      <c r="B560" t="s">
        <v>9976</v>
      </c>
      <c r="C560" t="s">
        <v>11121</v>
      </c>
      <c r="D560" t="s">
        <v>23</v>
      </c>
      <c r="E560" t="s">
        <v>11122</v>
      </c>
      <c r="F560" s="5">
        <v>5130000</v>
      </c>
      <c r="G560" s="5">
        <v>5130000</v>
      </c>
      <c r="H560" s="4">
        <v>4081000</v>
      </c>
      <c r="I560" s="2">
        <f t="shared" si="67"/>
        <v>0.79551656920077973</v>
      </c>
      <c r="J560" s="4">
        <v>4081000</v>
      </c>
      <c r="K560" s="2">
        <f t="shared" si="68"/>
        <v>0.79551656920077973</v>
      </c>
      <c r="L560" t="s">
        <v>1783</v>
      </c>
      <c r="M560" t="s">
        <v>165</v>
      </c>
      <c r="N560" t="b">
        <f t="shared" si="69"/>
        <v>0</v>
      </c>
    </row>
    <row r="561" spans="1:14" x14ac:dyDescent="0.15">
      <c r="A561" t="s">
        <v>9961</v>
      </c>
      <c r="B561" t="s">
        <v>9976</v>
      </c>
      <c r="C561" t="s">
        <v>11123</v>
      </c>
      <c r="D561" t="s">
        <v>23</v>
      </c>
      <c r="E561" t="s">
        <v>11124</v>
      </c>
      <c r="F561" s="5">
        <v>5930000</v>
      </c>
      <c r="G561" s="5">
        <v>5930000</v>
      </c>
      <c r="H561" s="4">
        <v>4718000</v>
      </c>
      <c r="I561" s="2">
        <f t="shared" si="67"/>
        <v>0.79561551433389543</v>
      </c>
      <c r="J561" s="4">
        <v>5500000</v>
      </c>
      <c r="K561" s="2">
        <f t="shared" si="68"/>
        <v>0.92748735244519398</v>
      </c>
      <c r="L561" t="s">
        <v>10385</v>
      </c>
      <c r="M561" t="s">
        <v>165</v>
      </c>
      <c r="N561" t="b">
        <f t="shared" si="69"/>
        <v>0</v>
      </c>
    </row>
    <row r="562" spans="1:14" x14ac:dyDescent="0.15">
      <c r="A562" t="s">
        <v>9961</v>
      </c>
      <c r="B562" t="s">
        <v>9976</v>
      </c>
      <c r="C562" t="s">
        <v>11125</v>
      </c>
      <c r="D562" t="s">
        <v>23</v>
      </c>
      <c r="E562" t="s">
        <v>11126</v>
      </c>
      <c r="F562" s="5">
        <v>6300000</v>
      </c>
      <c r="G562" s="5">
        <v>6300000</v>
      </c>
      <c r="H562" s="4">
        <v>5012000</v>
      </c>
      <c r="I562" s="2">
        <f t="shared" si="67"/>
        <v>0.79555555555555557</v>
      </c>
      <c r="J562" s="4">
        <v>5012000</v>
      </c>
      <c r="K562" s="2">
        <f t="shared" si="68"/>
        <v>0.79555555555555557</v>
      </c>
      <c r="L562" t="s">
        <v>2037</v>
      </c>
      <c r="M562" t="s">
        <v>165</v>
      </c>
      <c r="N562" t="b">
        <f t="shared" si="69"/>
        <v>0</v>
      </c>
    </row>
    <row r="563" spans="1:14" x14ac:dyDescent="0.15">
      <c r="A563" t="s">
        <v>9961</v>
      </c>
      <c r="B563" t="s">
        <v>9976</v>
      </c>
      <c r="C563" t="s">
        <v>11127</v>
      </c>
      <c r="D563" t="s">
        <v>23</v>
      </c>
      <c r="E563" t="s">
        <v>11128</v>
      </c>
      <c r="F563" s="5">
        <v>6670000</v>
      </c>
      <c r="G563" s="5">
        <v>6670000</v>
      </c>
      <c r="H563" s="4">
        <v>5306000</v>
      </c>
      <c r="I563" s="2">
        <f t="shared" si="67"/>
        <v>0.7955022488755622</v>
      </c>
      <c r="J563" s="4">
        <v>5306000</v>
      </c>
      <c r="K563" s="2">
        <f t="shared" si="68"/>
        <v>0.7955022488755622</v>
      </c>
      <c r="L563" t="s">
        <v>1384</v>
      </c>
      <c r="M563" t="s">
        <v>165</v>
      </c>
      <c r="N563" t="b">
        <f t="shared" si="69"/>
        <v>0</v>
      </c>
    </row>
    <row r="564" spans="1:14" x14ac:dyDescent="0.15">
      <c r="A564" t="s">
        <v>9961</v>
      </c>
      <c r="B564" t="s">
        <v>9976</v>
      </c>
      <c r="C564" t="s">
        <v>11129</v>
      </c>
      <c r="D564" t="s">
        <v>23</v>
      </c>
      <c r="E564" t="s">
        <v>11130</v>
      </c>
      <c r="F564" s="5">
        <v>6680000</v>
      </c>
      <c r="G564" s="5">
        <v>6680000</v>
      </c>
      <c r="H564" s="4">
        <v>5314000</v>
      </c>
      <c r="I564" s="2">
        <f t="shared" si="67"/>
        <v>0.79550898203592812</v>
      </c>
      <c r="J564" s="4">
        <v>5314000</v>
      </c>
      <c r="K564" s="2">
        <f t="shared" si="68"/>
        <v>0.79550898203592812</v>
      </c>
      <c r="L564" t="s">
        <v>10277</v>
      </c>
      <c r="M564" t="s">
        <v>165</v>
      </c>
      <c r="N564" t="b">
        <f t="shared" si="69"/>
        <v>0</v>
      </c>
    </row>
    <row r="565" spans="1:14" x14ac:dyDescent="0.15">
      <c r="A565" t="s">
        <v>9961</v>
      </c>
      <c r="B565" t="s">
        <v>9976</v>
      </c>
      <c r="C565" t="s">
        <v>11131</v>
      </c>
      <c r="D565" t="s">
        <v>23</v>
      </c>
      <c r="E565" t="s">
        <v>11132</v>
      </c>
      <c r="F565" s="5">
        <v>6840000</v>
      </c>
      <c r="G565" s="5">
        <v>6840000</v>
      </c>
      <c r="H565" s="4">
        <v>5442000</v>
      </c>
      <c r="I565" s="2">
        <f t="shared" si="67"/>
        <v>0.79561403508771933</v>
      </c>
      <c r="J565" s="4">
        <v>5442000</v>
      </c>
      <c r="K565" s="2">
        <f t="shared" si="68"/>
        <v>0.79561403508771933</v>
      </c>
      <c r="L565" t="s">
        <v>9367</v>
      </c>
      <c r="M565" t="s">
        <v>165</v>
      </c>
      <c r="N565" t="b">
        <f t="shared" si="69"/>
        <v>0</v>
      </c>
    </row>
    <row r="566" spans="1:14" x14ac:dyDescent="0.15">
      <c r="A566" t="s">
        <v>9961</v>
      </c>
      <c r="B566" t="s">
        <v>9976</v>
      </c>
      <c r="C566" t="s">
        <v>11133</v>
      </c>
      <c r="D566" t="s">
        <v>23</v>
      </c>
      <c r="E566" t="s">
        <v>11134</v>
      </c>
      <c r="F566" s="5">
        <v>6840000</v>
      </c>
      <c r="G566" s="5">
        <v>6840000</v>
      </c>
      <c r="H566" s="4">
        <v>5442000</v>
      </c>
      <c r="I566" s="2">
        <f t="shared" si="67"/>
        <v>0.79561403508771933</v>
      </c>
      <c r="J566" s="4">
        <v>5442000</v>
      </c>
      <c r="K566" s="2">
        <f t="shared" si="68"/>
        <v>0.79561403508771933</v>
      </c>
      <c r="L566" t="s">
        <v>10326</v>
      </c>
      <c r="M566" t="s">
        <v>165</v>
      </c>
      <c r="N566" t="b">
        <f t="shared" si="69"/>
        <v>0</v>
      </c>
    </row>
    <row r="567" spans="1:14" x14ac:dyDescent="0.15">
      <c r="A567" t="s">
        <v>9961</v>
      </c>
      <c r="B567" t="s">
        <v>9976</v>
      </c>
      <c r="C567" t="s">
        <v>11135</v>
      </c>
      <c r="D567" t="s">
        <v>23</v>
      </c>
      <c r="E567" t="s">
        <v>11136</v>
      </c>
      <c r="F567" s="5">
        <v>6990000</v>
      </c>
      <c r="G567" s="5">
        <v>6990000</v>
      </c>
      <c r="H567" s="4">
        <v>5560000</v>
      </c>
      <c r="I567" s="2">
        <f t="shared" si="67"/>
        <v>0.79542203147353363</v>
      </c>
      <c r="J567" s="4">
        <v>5560000</v>
      </c>
      <c r="K567" s="2">
        <f t="shared" si="68"/>
        <v>0.79542203147353363</v>
      </c>
      <c r="L567" t="s">
        <v>10084</v>
      </c>
      <c r="M567" t="s">
        <v>165</v>
      </c>
      <c r="N567" t="b">
        <f t="shared" si="69"/>
        <v>0</v>
      </c>
    </row>
    <row r="568" spans="1:14" x14ac:dyDescent="0.15">
      <c r="A568" t="s">
        <v>9961</v>
      </c>
      <c r="B568" t="s">
        <v>9976</v>
      </c>
      <c r="C568" t="s">
        <v>11137</v>
      </c>
      <c r="D568" t="s">
        <v>23</v>
      </c>
      <c r="E568" t="s">
        <v>11138</v>
      </c>
      <c r="F568" s="5">
        <v>7320000</v>
      </c>
      <c r="G568" s="5">
        <v>7320000</v>
      </c>
      <c r="H568" s="4">
        <v>5822000</v>
      </c>
      <c r="I568" s="2">
        <f t="shared" si="67"/>
        <v>0.79535519125683063</v>
      </c>
      <c r="J568" s="4">
        <v>5823000</v>
      </c>
      <c r="K568" s="2">
        <f t="shared" si="68"/>
        <v>0.79549180327868851</v>
      </c>
      <c r="L568" t="s">
        <v>1262</v>
      </c>
      <c r="M568" t="s">
        <v>165</v>
      </c>
      <c r="N568" t="b">
        <f t="shared" si="69"/>
        <v>0</v>
      </c>
    </row>
    <row r="569" spans="1:14" x14ac:dyDescent="0.15">
      <c r="A569" t="s">
        <v>9961</v>
      </c>
      <c r="B569" t="s">
        <v>9976</v>
      </c>
      <c r="C569" t="s">
        <v>11139</v>
      </c>
      <c r="D569" t="s">
        <v>23</v>
      </c>
      <c r="E569" t="s">
        <v>11140</v>
      </c>
      <c r="F569" s="5">
        <v>7500000</v>
      </c>
      <c r="G569" s="5">
        <v>7500000</v>
      </c>
      <c r="H569" s="4">
        <v>5965000</v>
      </c>
      <c r="I569" s="2">
        <f t="shared" si="67"/>
        <v>0.79533333333333334</v>
      </c>
      <c r="J569" s="4">
        <v>5965000</v>
      </c>
      <c r="K569" s="2">
        <f t="shared" si="68"/>
        <v>0.79533333333333334</v>
      </c>
      <c r="L569" t="s">
        <v>10390</v>
      </c>
      <c r="M569" t="s">
        <v>165</v>
      </c>
      <c r="N569" t="b">
        <f t="shared" si="69"/>
        <v>0</v>
      </c>
    </row>
    <row r="570" spans="1:14" x14ac:dyDescent="0.15">
      <c r="A570" t="s">
        <v>9961</v>
      </c>
      <c r="B570" t="s">
        <v>9976</v>
      </c>
      <c r="C570" t="s">
        <v>11141</v>
      </c>
      <c r="D570" t="s">
        <v>23</v>
      </c>
      <c r="E570" t="s">
        <v>11142</v>
      </c>
      <c r="F570" s="5">
        <v>7910000</v>
      </c>
      <c r="G570" s="5">
        <v>7910000</v>
      </c>
      <c r="H570" s="4">
        <v>6291000</v>
      </c>
      <c r="I570" s="2">
        <f t="shared" si="67"/>
        <v>0.79532237673830597</v>
      </c>
      <c r="J570" s="4">
        <v>6291000</v>
      </c>
      <c r="K570" s="2">
        <f t="shared" si="68"/>
        <v>0.79532237673830597</v>
      </c>
      <c r="L570" t="s">
        <v>3258</v>
      </c>
      <c r="M570" t="s">
        <v>165</v>
      </c>
      <c r="N570" t="b">
        <f t="shared" si="69"/>
        <v>0</v>
      </c>
    </row>
    <row r="571" spans="1:14" x14ac:dyDescent="0.15">
      <c r="A571" t="s">
        <v>9961</v>
      </c>
      <c r="B571" t="s">
        <v>9976</v>
      </c>
      <c r="C571" t="s">
        <v>11143</v>
      </c>
      <c r="D571" t="s">
        <v>23</v>
      </c>
      <c r="E571" t="s">
        <v>11144</v>
      </c>
      <c r="F571" s="5">
        <v>7910000</v>
      </c>
      <c r="G571" s="5">
        <v>7910000</v>
      </c>
      <c r="H571" s="4">
        <v>6291000</v>
      </c>
      <c r="I571" s="2">
        <f t="shared" si="67"/>
        <v>0.79532237673830597</v>
      </c>
      <c r="J571" s="4">
        <v>7390000</v>
      </c>
      <c r="K571" s="2">
        <f t="shared" si="68"/>
        <v>0.93426042983565105</v>
      </c>
      <c r="L571" t="s">
        <v>10393</v>
      </c>
      <c r="M571" t="s">
        <v>165</v>
      </c>
      <c r="N571" t="b">
        <f t="shared" si="69"/>
        <v>0</v>
      </c>
    </row>
    <row r="572" spans="1:14" x14ac:dyDescent="0.15">
      <c r="A572" t="s">
        <v>9961</v>
      </c>
      <c r="B572" t="s">
        <v>9976</v>
      </c>
      <c r="C572" t="s">
        <v>11145</v>
      </c>
      <c r="D572" t="s">
        <v>23</v>
      </c>
      <c r="E572" t="s">
        <v>11146</v>
      </c>
      <c r="F572" s="5">
        <v>7970000</v>
      </c>
      <c r="G572" s="5">
        <v>7970000</v>
      </c>
      <c r="H572" s="4">
        <v>6338000</v>
      </c>
      <c r="I572" s="2">
        <f t="shared" si="67"/>
        <v>0.79523212045169389</v>
      </c>
      <c r="J572" s="4">
        <v>6338000</v>
      </c>
      <c r="K572" s="2">
        <f t="shared" si="68"/>
        <v>0.79523212045169389</v>
      </c>
      <c r="L572" t="s">
        <v>1783</v>
      </c>
      <c r="M572" t="s">
        <v>165</v>
      </c>
      <c r="N572" t="b">
        <f t="shared" si="69"/>
        <v>0</v>
      </c>
    </row>
    <row r="573" spans="1:14" x14ac:dyDescent="0.15">
      <c r="A573" t="s">
        <v>9961</v>
      </c>
      <c r="B573" t="s">
        <v>9976</v>
      </c>
      <c r="C573" t="s">
        <v>11147</v>
      </c>
      <c r="D573" t="s">
        <v>23</v>
      </c>
      <c r="E573" t="s">
        <v>11148</v>
      </c>
      <c r="F573" s="5">
        <v>7980000</v>
      </c>
      <c r="G573" s="5">
        <v>7980000</v>
      </c>
      <c r="H573" s="4">
        <v>6348000</v>
      </c>
      <c r="I573" s="2">
        <f t="shared" si="67"/>
        <v>0.79548872180451125</v>
      </c>
      <c r="J573" s="4">
        <v>7500000</v>
      </c>
      <c r="K573" s="2">
        <f t="shared" si="68"/>
        <v>0.93984962406015038</v>
      </c>
      <c r="L573" t="s">
        <v>39</v>
      </c>
      <c r="M573" t="s">
        <v>165</v>
      </c>
      <c r="N573" t="b">
        <f t="shared" si="69"/>
        <v>0</v>
      </c>
    </row>
    <row r="574" spans="1:14" x14ac:dyDescent="0.15">
      <c r="A574" t="s">
        <v>9961</v>
      </c>
      <c r="B574" t="s">
        <v>9976</v>
      </c>
      <c r="C574" t="s">
        <v>11149</v>
      </c>
      <c r="D574" t="s">
        <v>23</v>
      </c>
      <c r="E574" t="s">
        <v>8411</v>
      </c>
      <c r="F574" s="5">
        <v>7990000</v>
      </c>
      <c r="G574" s="5">
        <v>7990000</v>
      </c>
      <c r="H574" s="4">
        <v>6356000</v>
      </c>
      <c r="I574" s="2">
        <f t="shared" si="67"/>
        <v>0.79549436795994999</v>
      </c>
      <c r="J574" s="4">
        <v>6356000</v>
      </c>
      <c r="K574" s="2">
        <f t="shared" si="68"/>
        <v>0.79549436795994999</v>
      </c>
      <c r="L574" t="s">
        <v>9984</v>
      </c>
      <c r="M574" t="s">
        <v>165</v>
      </c>
      <c r="N574" t="b">
        <f t="shared" si="69"/>
        <v>0</v>
      </c>
    </row>
    <row r="575" spans="1:14" x14ac:dyDescent="0.15">
      <c r="A575" t="s">
        <v>9961</v>
      </c>
      <c r="B575" t="s">
        <v>10063</v>
      </c>
      <c r="C575" t="s">
        <v>11150</v>
      </c>
      <c r="D575" t="s">
        <v>23</v>
      </c>
      <c r="E575" t="s">
        <v>11151</v>
      </c>
      <c r="F575" s="5" t="str">
        <f t="shared" ref="F575:F581" si="71">G575</f>
        <v>********</v>
      </c>
      <c r="G575" s="5" t="s">
        <v>145</v>
      </c>
      <c r="H575" t="s">
        <v>145</v>
      </c>
      <c r="I575" s="2" t="e">
        <f t="shared" si="67"/>
        <v>#VALUE!</v>
      </c>
      <c r="J575" s="4">
        <v>4990000</v>
      </c>
      <c r="K575" s="2" t="e">
        <f t="shared" si="68"/>
        <v>#VALUE!</v>
      </c>
      <c r="L575" t="s">
        <v>332</v>
      </c>
      <c r="M575" t="s">
        <v>192</v>
      </c>
      <c r="N575" t="b">
        <f t="shared" si="69"/>
        <v>0</v>
      </c>
    </row>
    <row r="576" spans="1:14" x14ac:dyDescent="0.15">
      <c r="A576" t="s">
        <v>9961</v>
      </c>
      <c r="B576" t="s">
        <v>10177</v>
      </c>
      <c r="C576" t="s">
        <v>11152</v>
      </c>
      <c r="D576" t="s">
        <v>23</v>
      </c>
      <c r="E576" t="s">
        <v>11153</v>
      </c>
      <c r="F576" s="5" t="str">
        <f t="shared" si="71"/>
        <v>********</v>
      </c>
      <c r="G576" s="5" t="s">
        <v>145</v>
      </c>
      <c r="H576" t="s">
        <v>145</v>
      </c>
      <c r="I576" s="2" t="e">
        <f t="shared" si="67"/>
        <v>#VALUE!</v>
      </c>
      <c r="J576" s="4">
        <v>4100000</v>
      </c>
      <c r="K576" s="2" t="e">
        <f t="shared" si="68"/>
        <v>#VALUE!</v>
      </c>
      <c r="L576" t="s">
        <v>4042</v>
      </c>
      <c r="M576" t="s">
        <v>432</v>
      </c>
      <c r="N576" t="b">
        <f t="shared" si="69"/>
        <v>0</v>
      </c>
    </row>
    <row r="577" spans="1:14" x14ac:dyDescent="0.15">
      <c r="A577" t="s">
        <v>9961</v>
      </c>
      <c r="B577" t="s">
        <v>10304</v>
      </c>
      <c r="C577" t="s">
        <v>11154</v>
      </c>
      <c r="D577" t="s">
        <v>23</v>
      </c>
      <c r="E577" t="s">
        <v>11155</v>
      </c>
      <c r="F577" s="5" t="str">
        <f t="shared" si="71"/>
        <v>********</v>
      </c>
      <c r="G577" s="5" t="s">
        <v>145</v>
      </c>
      <c r="H577" t="s">
        <v>145</v>
      </c>
      <c r="I577" s="2" t="e">
        <f t="shared" si="67"/>
        <v>#VALUE!</v>
      </c>
      <c r="J577" s="4">
        <v>11298000</v>
      </c>
      <c r="K577" s="2" t="e">
        <f t="shared" si="68"/>
        <v>#VALUE!</v>
      </c>
      <c r="L577" t="s">
        <v>239</v>
      </c>
      <c r="M577" t="s">
        <v>80</v>
      </c>
      <c r="N577" t="b">
        <f t="shared" si="69"/>
        <v>0</v>
      </c>
    </row>
    <row r="578" spans="1:14" x14ac:dyDescent="0.15">
      <c r="A578" t="s">
        <v>9961</v>
      </c>
      <c r="B578" t="s">
        <v>10304</v>
      </c>
      <c r="C578" t="s">
        <v>11156</v>
      </c>
      <c r="D578" t="s">
        <v>23</v>
      </c>
      <c r="E578" t="s">
        <v>11157</v>
      </c>
      <c r="F578" s="5" t="str">
        <f t="shared" si="71"/>
        <v>********</v>
      </c>
      <c r="G578" s="5" t="s">
        <v>145</v>
      </c>
      <c r="H578" t="s">
        <v>145</v>
      </c>
      <c r="I578" s="2" t="e">
        <f t="shared" si="67"/>
        <v>#VALUE!</v>
      </c>
      <c r="J578" s="4">
        <v>12624000</v>
      </c>
      <c r="K578" s="2" t="e">
        <f t="shared" si="68"/>
        <v>#VALUE!</v>
      </c>
      <c r="L578" t="s">
        <v>239</v>
      </c>
      <c r="M578" t="s">
        <v>80</v>
      </c>
      <c r="N578" t="b">
        <f t="shared" si="69"/>
        <v>0</v>
      </c>
    </row>
    <row r="579" spans="1:14" x14ac:dyDescent="0.15">
      <c r="A579" t="s">
        <v>9961</v>
      </c>
      <c r="B579" t="s">
        <v>10304</v>
      </c>
      <c r="C579" t="s">
        <v>11158</v>
      </c>
      <c r="D579" t="s">
        <v>23</v>
      </c>
      <c r="E579" t="s">
        <v>11159</v>
      </c>
      <c r="F579" s="5" t="str">
        <f t="shared" si="71"/>
        <v>********</v>
      </c>
      <c r="G579" s="5" t="s">
        <v>145</v>
      </c>
      <c r="H579" t="s">
        <v>145</v>
      </c>
      <c r="I579" s="2" t="e">
        <f t="shared" si="67"/>
        <v>#VALUE!</v>
      </c>
      <c r="J579" s="4">
        <v>9094000</v>
      </c>
      <c r="K579" s="2" t="e">
        <f t="shared" si="68"/>
        <v>#VALUE!</v>
      </c>
      <c r="L579" t="s">
        <v>10639</v>
      </c>
      <c r="M579" t="s">
        <v>80</v>
      </c>
      <c r="N579" t="b">
        <f t="shared" si="69"/>
        <v>0</v>
      </c>
    </row>
    <row r="580" spans="1:14" x14ac:dyDescent="0.15">
      <c r="A580" t="s">
        <v>9961</v>
      </c>
      <c r="B580" t="s">
        <v>10356</v>
      </c>
      <c r="C580" t="s">
        <v>11160</v>
      </c>
      <c r="D580" t="s">
        <v>23</v>
      </c>
      <c r="E580" t="s">
        <v>11161</v>
      </c>
      <c r="F580" s="5" t="str">
        <f t="shared" si="71"/>
        <v>********</v>
      </c>
      <c r="G580" s="5" t="s">
        <v>145</v>
      </c>
      <c r="H580" t="s">
        <v>145</v>
      </c>
      <c r="I580" s="2" t="e">
        <f t="shared" ref="I580:I643" si="72">H580/G580</f>
        <v>#VALUE!</v>
      </c>
      <c r="J580" s="4">
        <v>4200000</v>
      </c>
      <c r="K580" s="2" t="e">
        <f t="shared" ref="K580:K643" si="73">J580/G580</f>
        <v>#VALUE!</v>
      </c>
      <c r="L580" t="s">
        <v>5068</v>
      </c>
      <c r="M580" t="s">
        <v>192</v>
      </c>
      <c r="N580" t="b">
        <f t="shared" ref="N580:N643" si="74">F580&lt;&gt;G580</f>
        <v>0</v>
      </c>
    </row>
    <row r="581" spans="1:14" x14ac:dyDescent="0.15">
      <c r="A581" t="s">
        <v>9961</v>
      </c>
      <c r="B581" t="s">
        <v>10356</v>
      </c>
      <c r="C581" t="s">
        <v>11162</v>
      </c>
      <c r="D581" t="s">
        <v>23</v>
      </c>
      <c r="E581" t="s">
        <v>11163</v>
      </c>
      <c r="F581" s="5" t="str">
        <f t="shared" si="71"/>
        <v>********</v>
      </c>
      <c r="G581" s="5" t="s">
        <v>145</v>
      </c>
      <c r="H581" t="s">
        <v>145</v>
      </c>
      <c r="I581" s="2" t="e">
        <f t="shared" si="72"/>
        <v>#VALUE!</v>
      </c>
      <c r="J581" s="4">
        <v>4270000</v>
      </c>
      <c r="K581" s="2" t="e">
        <f t="shared" si="73"/>
        <v>#VALUE!</v>
      </c>
      <c r="L581" t="s">
        <v>1783</v>
      </c>
      <c r="M581" t="s">
        <v>192</v>
      </c>
      <c r="N581" t="b">
        <f t="shared" si="74"/>
        <v>0</v>
      </c>
    </row>
    <row r="582" spans="1:14" x14ac:dyDescent="0.15">
      <c r="A582" t="s">
        <v>9961</v>
      </c>
      <c r="B582" t="s">
        <v>9967</v>
      </c>
      <c r="C582" t="s">
        <v>11164</v>
      </c>
      <c r="D582" t="s">
        <v>23</v>
      </c>
      <c r="E582" t="s">
        <v>11165</v>
      </c>
      <c r="F582" s="5">
        <v>9030000</v>
      </c>
      <c r="G582" s="5">
        <v>9030000</v>
      </c>
      <c r="H582" s="4">
        <v>7186000</v>
      </c>
      <c r="I582" s="2">
        <f t="shared" si="72"/>
        <v>0.79579180509413072</v>
      </c>
      <c r="J582" s="4">
        <v>7188000</v>
      </c>
      <c r="K582" s="2">
        <f t="shared" si="73"/>
        <v>0.79601328903654489</v>
      </c>
      <c r="L582" t="s">
        <v>271</v>
      </c>
      <c r="M582" t="s">
        <v>165</v>
      </c>
      <c r="N582" t="b">
        <f t="shared" si="74"/>
        <v>0</v>
      </c>
    </row>
    <row r="583" spans="1:14" x14ac:dyDescent="0.15">
      <c r="A583" t="s">
        <v>9961</v>
      </c>
      <c r="B583" t="s">
        <v>9967</v>
      </c>
      <c r="C583" t="s">
        <v>11166</v>
      </c>
      <c r="D583" t="s">
        <v>23</v>
      </c>
      <c r="E583" t="s">
        <v>11167</v>
      </c>
      <c r="F583" s="5">
        <v>4950000</v>
      </c>
      <c r="G583" s="5">
        <v>4950000</v>
      </c>
      <c r="H583" s="4">
        <v>3897000</v>
      </c>
      <c r="I583" s="2">
        <f t="shared" si="72"/>
        <v>0.78727272727272724</v>
      </c>
      <c r="J583" s="4">
        <v>4650000</v>
      </c>
      <c r="K583" s="2">
        <f t="shared" si="73"/>
        <v>0.93939393939393945</v>
      </c>
      <c r="L583" t="s">
        <v>10028</v>
      </c>
      <c r="M583" t="s">
        <v>174</v>
      </c>
      <c r="N583" t="b">
        <f t="shared" si="74"/>
        <v>0</v>
      </c>
    </row>
    <row r="584" spans="1:14" x14ac:dyDescent="0.15">
      <c r="A584" t="s">
        <v>9961</v>
      </c>
      <c r="B584" t="s">
        <v>9967</v>
      </c>
      <c r="C584" t="s">
        <v>11168</v>
      </c>
      <c r="D584" t="s">
        <v>23</v>
      </c>
      <c r="E584" t="s">
        <v>11169</v>
      </c>
      <c r="F584" s="5">
        <v>5790000</v>
      </c>
      <c r="G584" s="5">
        <v>5790000</v>
      </c>
      <c r="H584" s="4">
        <v>4607000</v>
      </c>
      <c r="I584" s="2">
        <f t="shared" si="72"/>
        <v>0.7956822107081174</v>
      </c>
      <c r="J584" s="4">
        <v>5500000</v>
      </c>
      <c r="K584" s="2">
        <f t="shared" si="73"/>
        <v>0.94991364421416236</v>
      </c>
      <c r="L584" t="s">
        <v>10100</v>
      </c>
      <c r="M584" t="s">
        <v>174</v>
      </c>
      <c r="N584" t="b">
        <f t="shared" si="74"/>
        <v>0</v>
      </c>
    </row>
    <row r="585" spans="1:14" x14ac:dyDescent="0.15">
      <c r="A585" t="s">
        <v>9961</v>
      </c>
      <c r="B585" t="s">
        <v>9964</v>
      </c>
      <c r="C585" t="s">
        <v>11170</v>
      </c>
      <c r="D585" t="s">
        <v>23</v>
      </c>
      <c r="E585" t="s">
        <v>11171</v>
      </c>
      <c r="F585" s="5" t="str">
        <f t="shared" ref="F585:F598" si="75">G585</f>
        <v>********</v>
      </c>
      <c r="G585" s="5" t="s">
        <v>145</v>
      </c>
      <c r="H585" t="s">
        <v>145</v>
      </c>
      <c r="I585" s="2" t="e">
        <f t="shared" si="72"/>
        <v>#VALUE!</v>
      </c>
      <c r="J585" s="4">
        <v>10550000</v>
      </c>
      <c r="K585" s="2" t="e">
        <f t="shared" si="73"/>
        <v>#VALUE!</v>
      </c>
      <c r="L585" t="s">
        <v>215</v>
      </c>
      <c r="M585" t="s">
        <v>192</v>
      </c>
      <c r="N585" t="b">
        <f t="shared" si="74"/>
        <v>0</v>
      </c>
    </row>
    <row r="586" spans="1:14" x14ac:dyDescent="0.15">
      <c r="A586" t="s">
        <v>9961</v>
      </c>
      <c r="B586" t="s">
        <v>9964</v>
      </c>
      <c r="C586" t="s">
        <v>11172</v>
      </c>
      <c r="D586" t="s">
        <v>15</v>
      </c>
      <c r="E586" t="s">
        <v>11173</v>
      </c>
      <c r="F586" s="5" t="str">
        <f t="shared" si="75"/>
        <v>********</v>
      </c>
      <c r="G586" s="5" t="s">
        <v>145</v>
      </c>
      <c r="I586" s="2" t="e">
        <f t="shared" si="72"/>
        <v>#VALUE!</v>
      </c>
      <c r="K586" s="2" t="e">
        <f t="shared" si="73"/>
        <v>#VALUE!</v>
      </c>
      <c r="M586" t="s">
        <v>21</v>
      </c>
      <c r="N586" t="b">
        <f t="shared" si="74"/>
        <v>0</v>
      </c>
    </row>
    <row r="587" spans="1:14" x14ac:dyDescent="0.15">
      <c r="A587" t="s">
        <v>9961</v>
      </c>
      <c r="B587" t="s">
        <v>10051</v>
      </c>
      <c r="C587" t="s">
        <v>11174</v>
      </c>
      <c r="D587" t="s">
        <v>23</v>
      </c>
      <c r="E587" t="s">
        <v>11175</v>
      </c>
      <c r="F587" s="5" t="str">
        <f t="shared" si="75"/>
        <v>********</v>
      </c>
      <c r="G587" s="5" t="s">
        <v>145</v>
      </c>
      <c r="H587" t="s">
        <v>145</v>
      </c>
      <c r="I587" s="2" t="e">
        <f t="shared" si="72"/>
        <v>#VALUE!</v>
      </c>
      <c r="J587" s="4">
        <v>14000000</v>
      </c>
      <c r="K587" s="2" t="e">
        <f t="shared" si="73"/>
        <v>#VALUE!</v>
      </c>
      <c r="L587" t="s">
        <v>832</v>
      </c>
      <c r="M587" t="s">
        <v>80</v>
      </c>
      <c r="N587" t="b">
        <f t="shared" si="74"/>
        <v>0</v>
      </c>
    </row>
    <row r="588" spans="1:14" x14ac:dyDescent="0.15">
      <c r="A588" t="s">
        <v>9961</v>
      </c>
      <c r="B588" t="s">
        <v>10063</v>
      </c>
      <c r="C588" t="s">
        <v>11176</v>
      </c>
      <c r="D588" t="s">
        <v>23</v>
      </c>
      <c r="E588" t="s">
        <v>11177</v>
      </c>
      <c r="F588" s="5" t="str">
        <f t="shared" si="75"/>
        <v>********</v>
      </c>
      <c r="G588" s="5" t="s">
        <v>145</v>
      </c>
      <c r="H588" t="s">
        <v>145</v>
      </c>
      <c r="I588" s="2" t="e">
        <f t="shared" si="72"/>
        <v>#VALUE!</v>
      </c>
      <c r="J588" s="4">
        <v>23700000</v>
      </c>
      <c r="K588" s="2" t="e">
        <f t="shared" si="73"/>
        <v>#VALUE!</v>
      </c>
      <c r="L588" t="s">
        <v>431</v>
      </c>
      <c r="M588" t="s">
        <v>80</v>
      </c>
      <c r="N588" t="b">
        <f t="shared" si="74"/>
        <v>0</v>
      </c>
    </row>
    <row r="589" spans="1:14" x14ac:dyDescent="0.15">
      <c r="A589" t="s">
        <v>9961</v>
      </c>
      <c r="B589" t="s">
        <v>10063</v>
      </c>
      <c r="C589" t="s">
        <v>11178</v>
      </c>
      <c r="D589" t="s">
        <v>23</v>
      </c>
      <c r="E589" t="s">
        <v>8502</v>
      </c>
      <c r="F589" s="5" t="str">
        <f t="shared" si="75"/>
        <v>********</v>
      </c>
      <c r="G589" s="5" t="s">
        <v>145</v>
      </c>
      <c r="H589" t="s">
        <v>145</v>
      </c>
      <c r="I589" s="2" t="e">
        <f t="shared" si="72"/>
        <v>#VALUE!</v>
      </c>
      <c r="J589" s="4">
        <v>9100000</v>
      </c>
      <c r="K589" s="2" t="e">
        <f t="shared" si="73"/>
        <v>#VALUE!</v>
      </c>
      <c r="L589" t="s">
        <v>239</v>
      </c>
      <c r="M589" t="s">
        <v>80</v>
      </c>
      <c r="N589" t="b">
        <f t="shared" si="74"/>
        <v>0</v>
      </c>
    </row>
    <row r="590" spans="1:14" x14ac:dyDescent="0.15">
      <c r="A590" t="s">
        <v>9961</v>
      </c>
      <c r="B590" t="s">
        <v>10063</v>
      </c>
      <c r="C590" t="s">
        <v>11179</v>
      </c>
      <c r="D590" t="s">
        <v>23</v>
      </c>
      <c r="E590" t="s">
        <v>11180</v>
      </c>
      <c r="F590" s="5" t="str">
        <f t="shared" si="75"/>
        <v>********</v>
      </c>
      <c r="G590" s="5" t="s">
        <v>145</v>
      </c>
      <c r="H590" t="s">
        <v>145</v>
      </c>
      <c r="I590" s="2" t="e">
        <f t="shared" si="72"/>
        <v>#VALUE!</v>
      </c>
      <c r="J590" s="4">
        <v>10400000</v>
      </c>
      <c r="K590" s="2" t="e">
        <f t="shared" si="73"/>
        <v>#VALUE!</v>
      </c>
      <c r="L590" t="s">
        <v>1333</v>
      </c>
      <c r="M590" t="s">
        <v>80</v>
      </c>
      <c r="N590" t="b">
        <f t="shared" si="74"/>
        <v>0</v>
      </c>
    </row>
    <row r="591" spans="1:14" x14ac:dyDescent="0.15">
      <c r="A591" t="s">
        <v>9961</v>
      </c>
      <c r="B591" t="s">
        <v>10063</v>
      </c>
      <c r="C591" t="s">
        <v>11181</v>
      </c>
      <c r="D591" t="s">
        <v>23</v>
      </c>
      <c r="E591" t="s">
        <v>11182</v>
      </c>
      <c r="F591" s="5" t="str">
        <f t="shared" si="75"/>
        <v>********</v>
      </c>
      <c r="G591" s="5" t="s">
        <v>145</v>
      </c>
      <c r="H591" t="s">
        <v>145</v>
      </c>
      <c r="I591" s="2" t="e">
        <f t="shared" si="72"/>
        <v>#VALUE!</v>
      </c>
      <c r="J591" s="4">
        <v>4800000</v>
      </c>
      <c r="K591" s="2" t="e">
        <f t="shared" si="73"/>
        <v>#VALUE!</v>
      </c>
      <c r="L591" t="s">
        <v>263</v>
      </c>
      <c r="M591" t="s">
        <v>126</v>
      </c>
      <c r="N591" t="b">
        <f t="shared" si="74"/>
        <v>0</v>
      </c>
    </row>
    <row r="592" spans="1:14" x14ac:dyDescent="0.15">
      <c r="A592" t="s">
        <v>9961</v>
      </c>
      <c r="B592" t="s">
        <v>10063</v>
      </c>
      <c r="C592" t="s">
        <v>11183</v>
      </c>
      <c r="D592" t="s">
        <v>23</v>
      </c>
      <c r="E592" t="s">
        <v>11184</v>
      </c>
      <c r="F592" s="5" t="str">
        <f t="shared" si="75"/>
        <v>********</v>
      </c>
      <c r="G592" s="5" t="s">
        <v>145</v>
      </c>
      <c r="H592" t="s">
        <v>145</v>
      </c>
      <c r="I592" s="2" t="e">
        <f t="shared" si="72"/>
        <v>#VALUE!</v>
      </c>
      <c r="J592" s="4">
        <v>8938000</v>
      </c>
      <c r="K592" s="2" t="e">
        <f t="shared" si="73"/>
        <v>#VALUE!</v>
      </c>
      <c r="L592" t="s">
        <v>633</v>
      </c>
      <c r="M592" t="s">
        <v>80</v>
      </c>
      <c r="N592" t="b">
        <f t="shared" si="74"/>
        <v>0</v>
      </c>
    </row>
    <row r="593" spans="1:14" x14ac:dyDescent="0.15">
      <c r="A593" t="s">
        <v>9961</v>
      </c>
      <c r="B593" t="s">
        <v>10177</v>
      </c>
      <c r="C593" t="s">
        <v>11185</v>
      </c>
      <c r="D593" t="s">
        <v>23</v>
      </c>
      <c r="E593" t="s">
        <v>11186</v>
      </c>
      <c r="F593" s="5" t="str">
        <f t="shared" si="75"/>
        <v>********</v>
      </c>
      <c r="G593" s="5" t="s">
        <v>145</v>
      </c>
      <c r="H593" t="s">
        <v>145</v>
      </c>
      <c r="I593" s="2" t="e">
        <f t="shared" si="72"/>
        <v>#VALUE!</v>
      </c>
      <c r="J593" s="4">
        <v>2360000</v>
      </c>
      <c r="K593" s="2" t="e">
        <f t="shared" si="73"/>
        <v>#VALUE!</v>
      </c>
      <c r="L593" t="s">
        <v>10022</v>
      </c>
      <c r="M593" t="s">
        <v>432</v>
      </c>
      <c r="N593" t="b">
        <f t="shared" si="74"/>
        <v>0</v>
      </c>
    </row>
    <row r="594" spans="1:14" x14ac:dyDescent="0.15">
      <c r="A594" t="s">
        <v>9961</v>
      </c>
      <c r="B594" t="s">
        <v>10021</v>
      </c>
      <c r="C594" t="s">
        <v>11187</v>
      </c>
      <c r="D594" t="s">
        <v>15</v>
      </c>
      <c r="E594" t="s">
        <v>11188</v>
      </c>
      <c r="F594" s="5" t="str">
        <f t="shared" si="75"/>
        <v>********</v>
      </c>
      <c r="G594" s="5" t="s">
        <v>145</v>
      </c>
      <c r="I594" s="2" t="e">
        <f t="shared" si="72"/>
        <v>#VALUE!</v>
      </c>
      <c r="K594" s="2" t="e">
        <f t="shared" si="73"/>
        <v>#VALUE!</v>
      </c>
      <c r="M594" t="s">
        <v>139</v>
      </c>
      <c r="N594" t="b">
        <f t="shared" si="74"/>
        <v>0</v>
      </c>
    </row>
    <row r="595" spans="1:14" x14ac:dyDescent="0.15">
      <c r="A595" t="s">
        <v>9961</v>
      </c>
      <c r="B595" t="s">
        <v>10051</v>
      </c>
      <c r="C595" t="s">
        <v>11189</v>
      </c>
      <c r="D595" t="s">
        <v>23</v>
      </c>
      <c r="E595" t="s">
        <v>11190</v>
      </c>
      <c r="F595" s="5" t="str">
        <f t="shared" si="75"/>
        <v>********</v>
      </c>
      <c r="G595" s="5" t="s">
        <v>145</v>
      </c>
      <c r="H595" t="s">
        <v>145</v>
      </c>
      <c r="I595" s="2" t="e">
        <f t="shared" si="72"/>
        <v>#VALUE!</v>
      </c>
      <c r="J595" s="4">
        <v>12000000</v>
      </c>
      <c r="K595" s="2" t="e">
        <f t="shared" si="73"/>
        <v>#VALUE!</v>
      </c>
      <c r="L595" t="s">
        <v>1078</v>
      </c>
      <c r="M595" t="s">
        <v>80</v>
      </c>
      <c r="N595" t="b">
        <f t="shared" si="74"/>
        <v>0</v>
      </c>
    </row>
    <row r="596" spans="1:14" x14ac:dyDescent="0.15">
      <c r="A596" t="s">
        <v>9961</v>
      </c>
      <c r="B596" t="s">
        <v>10764</v>
      </c>
      <c r="C596" t="s">
        <v>11191</v>
      </c>
      <c r="D596" t="s">
        <v>15</v>
      </c>
      <c r="E596" t="s">
        <v>11192</v>
      </c>
      <c r="F596" s="5" t="str">
        <f t="shared" si="75"/>
        <v>********</v>
      </c>
      <c r="G596" s="5" t="s">
        <v>145</v>
      </c>
      <c r="I596" s="2" t="e">
        <f t="shared" si="72"/>
        <v>#VALUE!</v>
      </c>
      <c r="K596" s="2" t="e">
        <f t="shared" si="73"/>
        <v>#VALUE!</v>
      </c>
      <c r="M596" t="s">
        <v>139</v>
      </c>
      <c r="N596" t="b">
        <f t="shared" si="74"/>
        <v>0</v>
      </c>
    </row>
    <row r="597" spans="1:14" x14ac:dyDescent="0.15">
      <c r="A597" t="s">
        <v>9961</v>
      </c>
      <c r="B597" t="s">
        <v>10227</v>
      </c>
      <c r="C597" t="s">
        <v>11193</v>
      </c>
      <c r="D597" t="s">
        <v>23</v>
      </c>
      <c r="E597" t="s">
        <v>11194</v>
      </c>
      <c r="F597" s="5" t="str">
        <f t="shared" si="75"/>
        <v>********</v>
      </c>
      <c r="G597" s="5" t="s">
        <v>145</v>
      </c>
      <c r="H597" t="s">
        <v>145</v>
      </c>
      <c r="I597" s="2" t="e">
        <f t="shared" si="72"/>
        <v>#VALUE!</v>
      </c>
      <c r="J597" s="4">
        <v>4200000</v>
      </c>
      <c r="K597" s="2" t="e">
        <f t="shared" si="73"/>
        <v>#VALUE!</v>
      </c>
      <c r="L597" t="s">
        <v>1541</v>
      </c>
      <c r="M597" t="s">
        <v>192</v>
      </c>
      <c r="N597" t="b">
        <f t="shared" si="74"/>
        <v>0</v>
      </c>
    </row>
    <row r="598" spans="1:14" x14ac:dyDescent="0.15">
      <c r="A598" t="s">
        <v>9961</v>
      </c>
      <c r="B598" t="s">
        <v>10227</v>
      </c>
      <c r="C598" t="s">
        <v>11195</v>
      </c>
      <c r="D598" t="s">
        <v>23</v>
      </c>
      <c r="E598" t="s">
        <v>11196</v>
      </c>
      <c r="F598" s="5" t="str">
        <f t="shared" si="75"/>
        <v>********</v>
      </c>
      <c r="G598" s="5" t="s">
        <v>145</v>
      </c>
      <c r="H598" t="s">
        <v>145</v>
      </c>
      <c r="I598" s="2" t="e">
        <f t="shared" si="72"/>
        <v>#VALUE!</v>
      </c>
      <c r="J598" s="4">
        <v>4200000</v>
      </c>
      <c r="K598" s="2" t="e">
        <f t="shared" si="73"/>
        <v>#VALUE!</v>
      </c>
      <c r="L598" t="s">
        <v>5068</v>
      </c>
      <c r="M598" t="s">
        <v>192</v>
      </c>
      <c r="N598" t="b">
        <f t="shared" si="74"/>
        <v>0</v>
      </c>
    </row>
    <row r="599" spans="1:14" x14ac:dyDescent="0.15">
      <c r="A599" t="s">
        <v>9961</v>
      </c>
      <c r="B599" t="s">
        <v>9967</v>
      </c>
      <c r="C599" t="s">
        <v>11197</v>
      </c>
      <c r="D599" t="s">
        <v>23</v>
      </c>
      <c r="E599" t="s">
        <v>11198</v>
      </c>
      <c r="F599" s="5">
        <v>7060000</v>
      </c>
      <c r="G599" s="5">
        <v>7060000</v>
      </c>
      <c r="H599" s="4">
        <v>5592000</v>
      </c>
      <c r="I599" s="2">
        <f t="shared" si="72"/>
        <v>0.79206798866855521</v>
      </c>
      <c r="J599" s="4">
        <v>6500000</v>
      </c>
      <c r="K599" s="2">
        <f t="shared" si="73"/>
        <v>0.92067988668555245</v>
      </c>
      <c r="L599" t="s">
        <v>9984</v>
      </c>
      <c r="M599" t="s">
        <v>165</v>
      </c>
      <c r="N599" t="b">
        <f t="shared" si="74"/>
        <v>0</v>
      </c>
    </row>
    <row r="600" spans="1:14" x14ac:dyDescent="0.15">
      <c r="A600" t="s">
        <v>9961</v>
      </c>
      <c r="B600" t="s">
        <v>9964</v>
      </c>
      <c r="C600" t="s">
        <v>11199</v>
      </c>
      <c r="D600" t="s">
        <v>23</v>
      </c>
      <c r="E600" t="s">
        <v>11200</v>
      </c>
      <c r="F600" s="5" t="str">
        <f>G600</f>
        <v>********</v>
      </c>
      <c r="G600" s="5" t="s">
        <v>145</v>
      </c>
      <c r="H600" t="s">
        <v>145</v>
      </c>
      <c r="I600" s="2" t="e">
        <f t="shared" si="72"/>
        <v>#VALUE!</v>
      </c>
      <c r="J600" s="4">
        <v>3950000</v>
      </c>
      <c r="K600" s="2" t="e">
        <f t="shared" si="73"/>
        <v>#VALUE!</v>
      </c>
      <c r="L600" t="s">
        <v>215</v>
      </c>
      <c r="M600" t="s">
        <v>432</v>
      </c>
      <c r="N600" t="b">
        <f t="shared" si="74"/>
        <v>0</v>
      </c>
    </row>
    <row r="601" spans="1:14" x14ac:dyDescent="0.15">
      <c r="A601" t="s">
        <v>9961</v>
      </c>
      <c r="B601" t="s">
        <v>9967</v>
      </c>
      <c r="C601" t="s">
        <v>11201</v>
      </c>
      <c r="D601" t="s">
        <v>23</v>
      </c>
      <c r="E601" t="s">
        <v>11202</v>
      </c>
      <c r="F601" s="5">
        <v>8650000</v>
      </c>
      <c r="G601" s="5">
        <v>8650000</v>
      </c>
      <c r="H601" s="4">
        <v>6856000</v>
      </c>
      <c r="I601" s="2">
        <f t="shared" si="72"/>
        <v>0.79260115606936421</v>
      </c>
      <c r="J601" s="4">
        <v>8180000</v>
      </c>
      <c r="K601" s="2">
        <f t="shared" si="73"/>
        <v>0.94566473988439304</v>
      </c>
      <c r="L601" t="s">
        <v>11203</v>
      </c>
      <c r="M601" t="s">
        <v>165</v>
      </c>
      <c r="N601" t="b">
        <f t="shared" si="74"/>
        <v>0</v>
      </c>
    </row>
    <row r="602" spans="1:14" x14ac:dyDescent="0.15">
      <c r="A602" t="s">
        <v>9961</v>
      </c>
      <c r="B602" t="s">
        <v>9967</v>
      </c>
      <c r="C602" t="s">
        <v>11204</v>
      </c>
      <c r="D602" t="s">
        <v>118</v>
      </c>
      <c r="E602" t="s">
        <v>11205</v>
      </c>
      <c r="F602" s="5">
        <v>11900000</v>
      </c>
      <c r="G602" s="5">
        <v>11900000</v>
      </c>
      <c r="H602" s="4">
        <v>9490000</v>
      </c>
      <c r="I602" s="2">
        <f t="shared" si="72"/>
        <v>0.79747899159663871</v>
      </c>
      <c r="J602" s="4">
        <v>9630000</v>
      </c>
      <c r="K602" s="2">
        <f t="shared" si="73"/>
        <v>0.80924369747899161</v>
      </c>
      <c r="L602" t="s">
        <v>215</v>
      </c>
      <c r="M602" t="s">
        <v>183</v>
      </c>
      <c r="N602" t="b">
        <f t="shared" si="74"/>
        <v>0</v>
      </c>
    </row>
    <row r="603" spans="1:14" x14ac:dyDescent="0.15">
      <c r="A603" t="s">
        <v>9961</v>
      </c>
      <c r="B603" t="s">
        <v>9967</v>
      </c>
      <c r="C603" t="s">
        <v>11206</v>
      </c>
      <c r="D603" t="s">
        <v>118</v>
      </c>
      <c r="E603" t="s">
        <v>11207</v>
      </c>
      <c r="F603" s="5">
        <v>13550000</v>
      </c>
      <c r="G603" s="5">
        <v>13550000</v>
      </c>
      <c r="H603" s="4">
        <v>10733000</v>
      </c>
      <c r="I603" s="2">
        <f t="shared" si="72"/>
        <v>0.79210332103321035</v>
      </c>
      <c r="J603" s="4">
        <v>10733000</v>
      </c>
      <c r="K603" s="2">
        <f t="shared" si="73"/>
        <v>0.79210332103321035</v>
      </c>
      <c r="L603" t="s">
        <v>64</v>
      </c>
      <c r="M603" t="s">
        <v>216</v>
      </c>
      <c r="N603" t="b">
        <f t="shared" si="74"/>
        <v>0</v>
      </c>
    </row>
    <row r="604" spans="1:14" x14ac:dyDescent="0.15">
      <c r="A604" t="s">
        <v>9961</v>
      </c>
      <c r="B604" t="s">
        <v>9967</v>
      </c>
      <c r="C604" t="s">
        <v>11208</v>
      </c>
      <c r="D604" t="s">
        <v>118</v>
      </c>
      <c r="E604" t="s">
        <v>11209</v>
      </c>
      <c r="F604" s="5">
        <v>22400000</v>
      </c>
      <c r="G604" s="5">
        <v>22400000</v>
      </c>
      <c r="H604" s="4">
        <v>17770000</v>
      </c>
      <c r="I604" s="2">
        <f t="shared" si="72"/>
        <v>0.79330357142857144</v>
      </c>
      <c r="J604" s="4">
        <v>17770000</v>
      </c>
      <c r="K604" s="2">
        <f t="shared" si="73"/>
        <v>0.79330357142857144</v>
      </c>
      <c r="L604" t="s">
        <v>10084</v>
      </c>
      <c r="M604" t="s">
        <v>361</v>
      </c>
      <c r="N604" t="b">
        <f t="shared" si="74"/>
        <v>0</v>
      </c>
    </row>
    <row r="605" spans="1:14" x14ac:dyDescent="0.15">
      <c r="A605" t="s">
        <v>9961</v>
      </c>
      <c r="B605" t="s">
        <v>9967</v>
      </c>
      <c r="C605" t="s">
        <v>11210</v>
      </c>
      <c r="D605" t="s">
        <v>118</v>
      </c>
      <c r="E605" t="s">
        <v>11211</v>
      </c>
      <c r="F605" s="5">
        <v>25980000</v>
      </c>
      <c r="G605" s="5">
        <v>25980000</v>
      </c>
      <c r="H605" s="4">
        <v>20668000</v>
      </c>
      <c r="I605" s="2">
        <f t="shared" si="72"/>
        <v>0.79553502694380296</v>
      </c>
      <c r="J605" s="4">
        <v>20668000</v>
      </c>
      <c r="K605" s="2">
        <f t="shared" si="73"/>
        <v>0.79553502694380296</v>
      </c>
      <c r="L605" t="s">
        <v>839</v>
      </c>
      <c r="M605" t="s">
        <v>290</v>
      </c>
      <c r="N605" t="b">
        <f t="shared" si="74"/>
        <v>0</v>
      </c>
    </row>
    <row r="606" spans="1:14" x14ac:dyDescent="0.15">
      <c r="A606" t="s">
        <v>9961</v>
      </c>
      <c r="B606" t="s">
        <v>10675</v>
      </c>
      <c r="C606" t="s">
        <v>11212</v>
      </c>
      <c r="D606" t="s">
        <v>23</v>
      </c>
      <c r="E606" t="s">
        <v>11213</v>
      </c>
      <c r="F606" s="5" t="str">
        <f t="shared" ref="F606:F607" si="76">G606</f>
        <v>********</v>
      </c>
      <c r="G606" s="5" t="s">
        <v>145</v>
      </c>
      <c r="H606" t="s">
        <v>145</v>
      </c>
      <c r="I606" s="2" t="e">
        <f t="shared" si="72"/>
        <v>#VALUE!</v>
      </c>
      <c r="J606" s="4">
        <v>3980000</v>
      </c>
      <c r="K606" s="2" t="e">
        <f t="shared" si="73"/>
        <v>#VALUE!</v>
      </c>
      <c r="L606" t="s">
        <v>10028</v>
      </c>
      <c r="M606" t="s">
        <v>192</v>
      </c>
      <c r="N606" t="b">
        <f t="shared" si="74"/>
        <v>0</v>
      </c>
    </row>
    <row r="607" spans="1:14" x14ac:dyDescent="0.15">
      <c r="A607" t="s">
        <v>9961</v>
      </c>
      <c r="B607" t="s">
        <v>10045</v>
      </c>
      <c r="C607" t="s">
        <v>11214</v>
      </c>
      <c r="D607" t="s">
        <v>23</v>
      </c>
      <c r="E607" t="s">
        <v>11215</v>
      </c>
      <c r="F607" s="5" t="str">
        <f t="shared" si="76"/>
        <v>********</v>
      </c>
      <c r="G607" s="5" t="s">
        <v>145</v>
      </c>
      <c r="H607" t="s">
        <v>145</v>
      </c>
      <c r="I607" s="2" t="e">
        <f t="shared" si="72"/>
        <v>#VALUE!</v>
      </c>
      <c r="J607" s="4">
        <v>14300000</v>
      </c>
      <c r="K607" s="2" t="e">
        <f t="shared" si="73"/>
        <v>#VALUE!</v>
      </c>
      <c r="L607" t="s">
        <v>903</v>
      </c>
      <c r="M607" t="s">
        <v>80</v>
      </c>
      <c r="N607" t="b">
        <f t="shared" si="74"/>
        <v>0</v>
      </c>
    </row>
    <row r="608" spans="1:14" x14ac:dyDescent="0.15">
      <c r="A608" t="s">
        <v>9961</v>
      </c>
      <c r="B608" t="s">
        <v>9967</v>
      </c>
      <c r="C608" t="s">
        <v>11216</v>
      </c>
      <c r="D608" t="s">
        <v>23</v>
      </c>
      <c r="E608" t="s">
        <v>11217</v>
      </c>
      <c r="F608" s="5">
        <v>6500000</v>
      </c>
      <c r="G608" s="5">
        <v>6500000</v>
      </c>
      <c r="H608" s="4">
        <v>5174000</v>
      </c>
      <c r="I608" s="2">
        <f t="shared" si="72"/>
        <v>0.79600000000000004</v>
      </c>
      <c r="J608" s="4">
        <v>5655000</v>
      </c>
      <c r="K608" s="2">
        <f t="shared" si="73"/>
        <v>0.87</v>
      </c>
      <c r="L608" t="s">
        <v>271</v>
      </c>
      <c r="M608" t="s">
        <v>165</v>
      </c>
      <c r="N608" t="b">
        <f t="shared" si="74"/>
        <v>0</v>
      </c>
    </row>
    <row r="609" spans="1:14" x14ac:dyDescent="0.15">
      <c r="A609" t="s">
        <v>9961</v>
      </c>
      <c r="B609" t="s">
        <v>9967</v>
      </c>
      <c r="C609" t="s">
        <v>11218</v>
      </c>
      <c r="D609" t="s">
        <v>23</v>
      </c>
      <c r="E609" t="s">
        <v>11219</v>
      </c>
      <c r="F609" s="5">
        <v>8540000</v>
      </c>
      <c r="G609" s="5">
        <v>8540000</v>
      </c>
      <c r="H609" s="4">
        <v>6744000</v>
      </c>
      <c r="I609" s="2">
        <f t="shared" si="72"/>
        <v>0.78969555035128802</v>
      </c>
      <c r="J609" s="4">
        <v>6744000</v>
      </c>
      <c r="K609" s="2">
        <f t="shared" si="73"/>
        <v>0.78969555035128802</v>
      </c>
      <c r="L609" t="s">
        <v>1541</v>
      </c>
      <c r="M609" t="s">
        <v>165</v>
      </c>
      <c r="N609" t="b">
        <f t="shared" si="74"/>
        <v>0</v>
      </c>
    </row>
    <row r="610" spans="1:14" x14ac:dyDescent="0.15">
      <c r="A610" t="s">
        <v>9961</v>
      </c>
      <c r="B610" t="s">
        <v>9967</v>
      </c>
      <c r="C610" t="s">
        <v>11220</v>
      </c>
      <c r="D610" t="s">
        <v>118</v>
      </c>
      <c r="E610" t="s">
        <v>11221</v>
      </c>
      <c r="F610" s="5">
        <v>25640000</v>
      </c>
      <c r="G610" s="5">
        <v>25640000</v>
      </c>
      <c r="H610" s="4">
        <v>20303000</v>
      </c>
      <c r="I610" s="2">
        <f t="shared" si="72"/>
        <v>0.7918486739469579</v>
      </c>
      <c r="J610" s="4">
        <v>20303000</v>
      </c>
      <c r="K610" s="2">
        <f t="shared" si="73"/>
        <v>0.7918486739469579</v>
      </c>
      <c r="L610" t="s">
        <v>819</v>
      </c>
      <c r="M610" t="s">
        <v>3944</v>
      </c>
      <c r="N610" t="b">
        <f t="shared" si="74"/>
        <v>0</v>
      </c>
    </row>
    <row r="611" spans="1:14" x14ac:dyDescent="0.15">
      <c r="A611" t="s">
        <v>9961</v>
      </c>
      <c r="B611" t="s">
        <v>9967</v>
      </c>
      <c r="C611" t="s">
        <v>11222</v>
      </c>
      <c r="D611" t="s">
        <v>118</v>
      </c>
      <c r="E611" t="s">
        <v>11223</v>
      </c>
      <c r="F611" s="5">
        <v>66070000</v>
      </c>
      <c r="G611" s="5">
        <v>66070000</v>
      </c>
      <c r="H611" s="4">
        <v>52566000</v>
      </c>
      <c r="I611" s="2">
        <f t="shared" si="72"/>
        <v>0.79561071590737098</v>
      </c>
      <c r="J611" s="4">
        <v>52566000</v>
      </c>
      <c r="K611" s="2">
        <f t="shared" si="73"/>
        <v>0.79561071590737098</v>
      </c>
      <c r="L611" t="s">
        <v>5422</v>
      </c>
      <c r="M611" t="s">
        <v>773</v>
      </c>
      <c r="N611" t="b">
        <f t="shared" si="74"/>
        <v>0</v>
      </c>
    </row>
    <row r="612" spans="1:14" x14ac:dyDescent="0.15">
      <c r="A612" t="s">
        <v>9961</v>
      </c>
      <c r="B612" t="s">
        <v>9967</v>
      </c>
      <c r="C612" t="s">
        <v>11224</v>
      </c>
      <c r="D612" t="s">
        <v>118</v>
      </c>
      <c r="E612" t="s">
        <v>11225</v>
      </c>
      <c r="F612" s="5">
        <v>13360000</v>
      </c>
      <c r="G612" s="5">
        <v>13360000</v>
      </c>
      <c r="H612" s="4">
        <v>10629000</v>
      </c>
      <c r="I612" s="2">
        <f t="shared" si="72"/>
        <v>0.79558383233532937</v>
      </c>
      <c r="J612" s="4">
        <v>10629000</v>
      </c>
      <c r="K612" s="2">
        <f t="shared" si="73"/>
        <v>0.79558383233532937</v>
      </c>
      <c r="L612" t="s">
        <v>3258</v>
      </c>
      <c r="M612" t="s">
        <v>104</v>
      </c>
      <c r="N612" t="b">
        <f t="shared" si="74"/>
        <v>0</v>
      </c>
    </row>
    <row r="613" spans="1:14" x14ac:dyDescent="0.15">
      <c r="A613" t="s">
        <v>9961</v>
      </c>
      <c r="B613" t="s">
        <v>9967</v>
      </c>
      <c r="C613" t="s">
        <v>11226</v>
      </c>
      <c r="D613" t="s">
        <v>118</v>
      </c>
      <c r="E613" t="s">
        <v>11227</v>
      </c>
      <c r="F613" s="5">
        <v>13400000</v>
      </c>
      <c r="G613" s="5">
        <v>13400000</v>
      </c>
      <c r="H613" s="4">
        <v>10660000</v>
      </c>
      <c r="I613" s="2">
        <f t="shared" si="72"/>
        <v>0.79552238805970155</v>
      </c>
      <c r="J613" s="4">
        <v>10660000</v>
      </c>
      <c r="K613" s="2">
        <f t="shared" si="73"/>
        <v>0.79552238805970155</v>
      </c>
      <c r="L613" t="s">
        <v>10105</v>
      </c>
      <c r="M613" t="s">
        <v>41</v>
      </c>
      <c r="N613" t="b">
        <f t="shared" si="74"/>
        <v>0</v>
      </c>
    </row>
    <row r="614" spans="1:14" x14ac:dyDescent="0.15">
      <c r="A614" t="s">
        <v>9961</v>
      </c>
      <c r="B614" t="s">
        <v>9967</v>
      </c>
      <c r="C614" t="s">
        <v>11228</v>
      </c>
      <c r="D614" t="s">
        <v>118</v>
      </c>
      <c r="E614" t="s">
        <v>11229</v>
      </c>
      <c r="F614" s="5">
        <v>13420000</v>
      </c>
      <c r="G614" s="5">
        <v>13420000</v>
      </c>
      <c r="H614" s="4">
        <v>10677000</v>
      </c>
      <c r="I614" s="2">
        <f t="shared" si="72"/>
        <v>0.7956035767511177</v>
      </c>
      <c r="J614" s="4">
        <v>10677000</v>
      </c>
      <c r="K614" s="2">
        <f t="shared" si="73"/>
        <v>0.7956035767511177</v>
      </c>
      <c r="L614" t="s">
        <v>263</v>
      </c>
      <c r="M614" t="s">
        <v>104</v>
      </c>
      <c r="N614" t="b">
        <f t="shared" si="74"/>
        <v>0</v>
      </c>
    </row>
    <row r="615" spans="1:14" x14ac:dyDescent="0.15">
      <c r="A615" t="s">
        <v>9961</v>
      </c>
      <c r="B615" t="s">
        <v>9967</v>
      </c>
      <c r="C615" t="s">
        <v>11230</v>
      </c>
      <c r="D615" t="s">
        <v>118</v>
      </c>
      <c r="E615" t="s">
        <v>11231</v>
      </c>
      <c r="F615" s="5">
        <v>28890000</v>
      </c>
      <c r="G615" s="5">
        <v>28890000</v>
      </c>
      <c r="H615" s="4">
        <v>22972000</v>
      </c>
      <c r="I615" s="2">
        <f t="shared" si="72"/>
        <v>0.79515403253721006</v>
      </c>
      <c r="J615" s="4">
        <v>22972000</v>
      </c>
      <c r="K615" s="2">
        <f t="shared" si="73"/>
        <v>0.79515403253721006</v>
      </c>
      <c r="L615" t="s">
        <v>2674</v>
      </c>
      <c r="M615" t="s">
        <v>104</v>
      </c>
      <c r="N615" t="b">
        <f t="shared" si="74"/>
        <v>0</v>
      </c>
    </row>
    <row r="616" spans="1:14" x14ac:dyDescent="0.15">
      <c r="A616" t="s">
        <v>9961</v>
      </c>
      <c r="B616" t="s">
        <v>9967</v>
      </c>
      <c r="C616" t="s">
        <v>11232</v>
      </c>
      <c r="D616" t="s">
        <v>118</v>
      </c>
      <c r="E616" t="s">
        <v>11233</v>
      </c>
      <c r="F616" s="5">
        <v>19400000</v>
      </c>
      <c r="G616" s="5">
        <v>19400000</v>
      </c>
      <c r="H616" s="4">
        <v>15435000</v>
      </c>
      <c r="I616" s="2">
        <f t="shared" si="72"/>
        <v>0.79561855670103088</v>
      </c>
      <c r="J616" s="4">
        <v>15435000</v>
      </c>
      <c r="K616" s="2">
        <f t="shared" si="73"/>
        <v>0.79561855670103088</v>
      </c>
      <c r="L616" t="s">
        <v>39</v>
      </c>
      <c r="M616" t="s">
        <v>361</v>
      </c>
      <c r="N616" t="b">
        <f t="shared" si="74"/>
        <v>0</v>
      </c>
    </row>
    <row r="617" spans="1:14" x14ac:dyDescent="0.15">
      <c r="A617" t="s">
        <v>9961</v>
      </c>
      <c r="B617" t="s">
        <v>9967</v>
      </c>
      <c r="C617" t="s">
        <v>11234</v>
      </c>
      <c r="D617" t="s">
        <v>118</v>
      </c>
      <c r="E617" t="s">
        <v>11235</v>
      </c>
      <c r="F617" s="5">
        <v>71400000</v>
      </c>
      <c r="G617" s="5">
        <v>71400000</v>
      </c>
      <c r="H617" s="4">
        <v>56709000</v>
      </c>
      <c r="I617" s="2">
        <f t="shared" si="72"/>
        <v>0.79424369747899159</v>
      </c>
      <c r="J617" s="4">
        <v>56709000</v>
      </c>
      <c r="K617" s="2">
        <f t="shared" si="73"/>
        <v>0.79424369747899159</v>
      </c>
      <c r="L617" t="s">
        <v>4816</v>
      </c>
      <c r="M617" t="s">
        <v>41</v>
      </c>
      <c r="N617" t="b">
        <f t="shared" si="74"/>
        <v>0</v>
      </c>
    </row>
    <row r="618" spans="1:14" x14ac:dyDescent="0.15">
      <c r="A618" t="s">
        <v>9961</v>
      </c>
      <c r="B618" t="s">
        <v>10177</v>
      </c>
      <c r="C618" t="s">
        <v>11236</v>
      </c>
      <c r="D618" t="s">
        <v>23</v>
      </c>
      <c r="E618" t="s">
        <v>11237</v>
      </c>
      <c r="F618" s="5" t="str">
        <f>G618</f>
        <v>********</v>
      </c>
      <c r="G618" s="5" t="s">
        <v>145</v>
      </c>
      <c r="H618" t="s">
        <v>145</v>
      </c>
      <c r="I618" s="2" t="e">
        <f t="shared" si="72"/>
        <v>#VALUE!</v>
      </c>
      <c r="J618" s="4">
        <v>4340000</v>
      </c>
      <c r="K618" s="2" t="e">
        <f t="shared" si="73"/>
        <v>#VALUE!</v>
      </c>
      <c r="L618" t="s">
        <v>298</v>
      </c>
      <c r="M618" t="s">
        <v>432</v>
      </c>
      <c r="N618" t="b">
        <f t="shared" si="74"/>
        <v>0</v>
      </c>
    </row>
    <row r="619" spans="1:14" x14ac:dyDescent="0.15">
      <c r="A619" t="s">
        <v>9961</v>
      </c>
      <c r="B619" t="s">
        <v>9976</v>
      </c>
      <c r="C619" t="s">
        <v>11238</v>
      </c>
      <c r="D619" t="s">
        <v>118</v>
      </c>
      <c r="E619" t="s">
        <v>11239</v>
      </c>
      <c r="F619" s="5">
        <v>94710000</v>
      </c>
      <c r="G619" s="5">
        <v>94710000</v>
      </c>
      <c r="H619" s="4">
        <v>75317000</v>
      </c>
      <c r="I619" s="2">
        <f t="shared" si="72"/>
        <v>0.79523809523809519</v>
      </c>
      <c r="J619" s="4">
        <v>75317000</v>
      </c>
      <c r="K619" s="2">
        <f t="shared" si="73"/>
        <v>0.79523809523809519</v>
      </c>
      <c r="L619" t="s">
        <v>853</v>
      </c>
      <c r="M619" t="s">
        <v>432</v>
      </c>
      <c r="N619" t="b">
        <f t="shared" si="74"/>
        <v>0</v>
      </c>
    </row>
    <row r="620" spans="1:14" x14ac:dyDescent="0.15">
      <c r="A620" t="s">
        <v>9961</v>
      </c>
      <c r="B620" t="s">
        <v>10177</v>
      </c>
      <c r="C620" t="s">
        <v>11240</v>
      </c>
      <c r="D620" t="s">
        <v>23</v>
      </c>
      <c r="E620" t="s">
        <v>11241</v>
      </c>
      <c r="F620" s="5" t="str">
        <f t="shared" ref="F620:F621" si="77">G620</f>
        <v>********</v>
      </c>
      <c r="G620" s="5" t="s">
        <v>145</v>
      </c>
      <c r="H620" t="s">
        <v>145</v>
      </c>
      <c r="I620" s="2" t="e">
        <f t="shared" si="72"/>
        <v>#VALUE!</v>
      </c>
      <c r="J620" s="4">
        <v>4100000</v>
      </c>
      <c r="K620" s="2" t="e">
        <f t="shared" si="73"/>
        <v>#VALUE!</v>
      </c>
      <c r="L620" t="s">
        <v>903</v>
      </c>
      <c r="M620" t="s">
        <v>432</v>
      </c>
      <c r="N620" t="b">
        <f t="shared" si="74"/>
        <v>0</v>
      </c>
    </row>
    <row r="621" spans="1:14" x14ac:dyDescent="0.15">
      <c r="A621" t="s">
        <v>9961</v>
      </c>
      <c r="B621" t="s">
        <v>10037</v>
      </c>
      <c r="C621" t="s">
        <v>11242</v>
      </c>
      <c r="D621" t="s">
        <v>23</v>
      </c>
      <c r="E621" t="s">
        <v>11243</v>
      </c>
      <c r="F621" s="5" t="str">
        <f t="shared" si="77"/>
        <v>********</v>
      </c>
      <c r="G621" s="5" t="s">
        <v>145</v>
      </c>
      <c r="H621" t="s">
        <v>145</v>
      </c>
      <c r="I621" s="2" t="e">
        <f t="shared" si="72"/>
        <v>#VALUE!</v>
      </c>
      <c r="J621" s="4">
        <v>6265000</v>
      </c>
      <c r="K621" s="2" t="e">
        <f t="shared" si="73"/>
        <v>#VALUE!</v>
      </c>
      <c r="L621" t="s">
        <v>256</v>
      </c>
      <c r="M621" t="s">
        <v>80</v>
      </c>
      <c r="N621" t="b">
        <f t="shared" si="74"/>
        <v>0</v>
      </c>
    </row>
    <row r="622" spans="1:14" x14ac:dyDescent="0.15">
      <c r="A622" t="s">
        <v>9961</v>
      </c>
      <c r="B622" t="s">
        <v>9967</v>
      </c>
      <c r="C622" t="s">
        <v>11244</v>
      </c>
      <c r="D622" t="s">
        <v>15</v>
      </c>
      <c r="E622" t="s">
        <v>11245</v>
      </c>
      <c r="F622" s="5">
        <v>4520000</v>
      </c>
      <c r="G622" s="5">
        <v>4520000</v>
      </c>
      <c r="I622" s="2">
        <f t="shared" si="72"/>
        <v>0</v>
      </c>
      <c r="K622" s="2">
        <f t="shared" si="73"/>
        <v>0</v>
      </c>
      <c r="M622" t="s">
        <v>139</v>
      </c>
      <c r="N622" t="b">
        <f t="shared" si="74"/>
        <v>0</v>
      </c>
    </row>
    <row r="623" spans="1:14" x14ac:dyDescent="0.15">
      <c r="A623" t="s">
        <v>9961</v>
      </c>
      <c r="B623" t="s">
        <v>10257</v>
      </c>
      <c r="C623" t="s">
        <v>11246</v>
      </c>
      <c r="D623" t="s">
        <v>23</v>
      </c>
      <c r="E623" t="s">
        <v>11247</v>
      </c>
      <c r="F623" s="5" t="str">
        <f t="shared" ref="F623:F626" si="78">G623</f>
        <v>********</v>
      </c>
      <c r="G623" s="5" t="s">
        <v>145</v>
      </c>
      <c r="H623" s="4">
        <v>2897000</v>
      </c>
      <c r="I623" s="2" t="e">
        <f t="shared" si="72"/>
        <v>#VALUE!</v>
      </c>
      <c r="J623" s="4">
        <v>3500000</v>
      </c>
      <c r="K623" s="2" t="e">
        <f t="shared" si="73"/>
        <v>#VALUE!</v>
      </c>
      <c r="L623" t="s">
        <v>215</v>
      </c>
      <c r="M623" t="s">
        <v>432</v>
      </c>
      <c r="N623" t="b">
        <f t="shared" si="74"/>
        <v>0</v>
      </c>
    </row>
    <row r="624" spans="1:14" x14ac:dyDescent="0.15">
      <c r="A624" t="s">
        <v>9961</v>
      </c>
      <c r="B624" t="s">
        <v>10675</v>
      </c>
      <c r="C624" t="s">
        <v>11248</v>
      </c>
      <c r="D624" t="s">
        <v>23</v>
      </c>
      <c r="E624" t="s">
        <v>11249</v>
      </c>
      <c r="F624" s="5" t="str">
        <f t="shared" si="78"/>
        <v>********</v>
      </c>
      <c r="G624" s="5" t="s">
        <v>145</v>
      </c>
      <c r="H624" t="s">
        <v>145</v>
      </c>
      <c r="I624" s="2" t="e">
        <f t="shared" si="72"/>
        <v>#VALUE!</v>
      </c>
      <c r="J624" s="4">
        <v>3700000</v>
      </c>
      <c r="K624" s="2" t="e">
        <f t="shared" si="73"/>
        <v>#VALUE!</v>
      </c>
      <c r="L624" t="s">
        <v>10028</v>
      </c>
      <c r="M624" t="s">
        <v>192</v>
      </c>
      <c r="N624" t="b">
        <f t="shared" si="74"/>
        <v>0</v>
      </c>
    </row>
    <row r="625" spans="1:14" x14ac:dyDescent="0.15">
      <c r="A625" t="s">
        <v>9961</v>
      </c>
      <c r="B625" t="s">
        <v>10027</v>
      </c>
      <c r="C625" t="s">
        <v>11250</v>
      </c>
      <c r="D625" t="s">
        <v>23</v>
      </c>
      <c r="E625" t="s">
        <v>11251</v>
      </c>
      <c r="F625" s="5" t="str">
        <f t="shared" si="78"/>
        <v>********</v>
      </c>
      <c r="G625" s="5" t="s">
        <v>145</v>
      </c>
      <c r="H625" t="s">
        <v>145</v>
      </c>
      <c r="I625" s="2" t="e">
        <f t="shared" si="72"/>
        <v>#VALUE!</v>
      </c>
      <c r="J625" s="4">
        <v>7200000</v>
      </c>
      <c r="K625" s="2" t="e">
        <f t="shared" si="73"/>
        <v>#VALUE!</v>
      </c>
      <c r="L625" t="s">
        <v>4816</v>
      </c>
      <c r="M625" t="s">
        <v>80</v>
      </c>
      <c r="N625" t="b">
        <f t="shared" si="74"/>
        <v>0</v>
      </c>
    </row>
    <row r="626" spans="1:14" x14ac:dyDescent="0.15">
      <c r="A626" t="s">
        <v>9961</v>
      </c>
      <c r="B626" t="s">
        <v>10141</v>
      </c>
      <c r="C626" t="s">
        <v>11252</v>
      </c>
      <c r="D626" t="s">
        <v>23</v>
      </c>
      <c r="E626" t="s">
        <v>11253</v>
      </c>
      <c r="F626" s="5" t="str">
        <f t="shared" si="78"/>
        <v>********</v>
      </c>
      <c r="G626" s="5" t="s">
        <v>145</v>
      </c>
      <c r="H626" t="s">
        <v>145</v>
      </c>
      <c r="I626" s="2" t="e">
        <f t="shared" si="72"/>
        <v>#VALUE!</v>
      </c>
      <c r="J626" s="4">
        <v>7208000</v>
      </c>
      <c r="K626" s="2" t="e">
        <f t="shared" si="73"/>
        <v>#VALUE!</v>
      </c>
      <c r="L626" t="s">
        <v>540</v>
      </c>
      <c r="M626" t="s">
        <v>80</v>
      </c>
      <c r="N626" t="b">
        <f t="shared" si="74"/>
        <v>0</v>
      </c>
    </row>
    <row r="627" spans="1:14" x14ac:dyDescent="0.15">
      <c r="A627" t="s">
        <v>9961</v>
      </c>
      <c r="B627" t="s">
        <v>9987</v>
      </c>
      <c r="C627" t="s">
        <v>11254</v>
      </c>
      <c r="D627" t="s">
        <v>23</v>
      </c>
      <c r="E627" t="s">
        <v>11255</v>
      </c>
      <c r="F627" s="5" t="s">
        <v>145</v>
      </c>
      <c r="G627" s="5" t="s">
        <v>145</v>
      </c>
      <c r="H627" t="s">
        <v>145</v>
      </c>
      <c r="I627" s="2" t="e">
        <f t="shared" si="72"/>
        <v>#VALUE!</v>
      </c>
      <c r="J627" s="4">
        <v>3200000</v>
      </c>
      <c r="K627" s="2" t="e">
        <f t="shared" si="73"/>
        <v>#VALUE!</v>
      </c>
      <c r="L627" t="s">
        <v>9988</v>
      </c>
      <c r="M627" t="s">
        <v>192</v>
      </c>
      <c r="N627" t="b">
        <f t="shared" si="74"/>
        <v>0</v>
      </c>
    </row>
    <row r="628" spans="1:14" x14ac:dyDescent="0.15">
      <c r="A628" t="s">
        <v>9961</v>
      </c>
      <c r="B628" t="s">
        <v>9964</v>
      </c>
      <c r="C628" t="s">
        <v>11256</v>
      </c>
      <c r="D628" t="s">
        <v>23</v>
      </c>
      <c r="E628" t="s">
        <v>11257</v>
      </c>
      <c r="F628" s="5" t="str">
        <f>G628</f>
        <v>********</v>
      </c>
      <c r="G628" s="5" t="s">
        <v>145</v>
      </c>
      <c r="H628" t="s">
        <v>145</v>
      </c>
      <c r="I628" s="2" t="e">
        <f t="shared" si="72"/>
        <v>#VALUE!</v>
      </c>
      <c r="J628" s="4">
        <v>1050000</v>
      </c>
      <c r="K628" s="2" t="e">
        <f t="shared" si="73"/>
        <v>#VALUE!</v>
      </c>
      <c r="L628" t="s">
        <v>5636</v>
      </c>
      <c r="M628" t="s">
        <v>432</v>
      </c>
      <c r="N628" t="b">
        <f t="shared" si="74"/>
        <v>0</v>
      </c>
    </row>
    <row r="629" spans="1:14" x14ac:dyDescent="0.15">
      <c r="A629" t="s">
        <v>9961</v>
      </c>
      <c r="B629" t="s">
        <v>9967</v>
      </c>
      <c r="C629" t="s">
        <v>11258</v>
      </c>
      <c r="D629" t="s">
        <v>23</v>
      </c>
      <c r="E629" t="s">
        <v>11259</v>
      </c>
      <c r="F629" s="5">
        <v>3650000</v>
      </c>
      <c r="G629" s="5">
        <v>3650000</v>
      </c>
      <c r="H629" s="4">
        <v>2906000</v>
      </c>
      <c r="I629" s="2">
        <f t="shared" si="72"/>
        <v>0.79616438356164387</v>
      </c>
      <c r="J629" s="4">
        <v>3420000</v>
      </c>
      <c r="K629" s="2">
        <f t="shared" si="73"/>
        <v>0.93698630136986305</v>
      </c>
      <c r="L629" t="s">
        <v>10028</v>
      </c>
      <c r="M629" t="s">
        <v>432</v>
      </c>
      <c r="N629" t="b">
        <f t="shared" si="74"/>
        <v>0</v>
      </c>
    </row>
    <row r="630" spans="1:14" x14ac:dyDescent="0.15">
      <c r="A630" t="s">
        <v>9961</v>
      </c>
      <c r="B630" t="s">
        <v>9967</v>
      </c>
      <c r="C630" t="s">
        <v>11260</v>
      </c>
      <c r="D630" t="s">
        <v>23</v>
      </c>
      <c r="E630" t="s">
        <v>11261</v>
      </c>
      <c r="F630" s="5">
        <v>8310000</v>
      </c>
      <c r="G630" s="5">
        <v>8310000</v>
      </c>
      <c r="H630" s="4">
        <v>6613000</v>
      </c>
      <c r="I630" s="2">
        <f t="shared" si="72"/>
        <v>0.79578820697954267</v>
      </c>
      <c r="J630" s="4">
        <v>6613000</v>
      </c>
      <c r="K630" s="2">
        <f t="shared" si="73"/>
        <v>0.79578820697954267</v>
      </c>
      <c r="L630" t="s">
        <v>5068</v>
      </c>
      <c r="M630" t="s">
        <v>165</v>
      </c>
      <c r="N630" t="b">
        <f t="shared" si="74"/>
        <v>0</v>
      </c>
    </row>
    <row r="631" spans="1:14" x14ac:dyDescent="0.15">
      <c r="A631" t="s">
        <v>9961</v>
      </c>
      <c r="B631" t="s">
        <v>9967</v>
      </c>
      <c r="C631" t="s">
        <v>11262</v>
      </c>
      <c r="D631" t="s">
        <v>15</v>
      </c>
      <c r="E631" t="s">
        <v>11263</v>
      </c>
      <c r="F631" s="5">
        <v>2060000</v>
      </c>
      <c r="G631" s="5">
        <v>2060000</v>
      </c>
      <c r="I631" s="2">
        <f t="shared" si="72"/>
        <v>0</v>
      </c>
      <c r="K631" s="2">
        <f t="shared" si="73"/>
        <v>0</v>
      </c>
      <c r="M631" t="s">
        <v>139</v>
      </c>
      <c r="N631" t="b">
        <f t="shared" si="74"/>
        <v>0</v>
      </c>
    </row>
    <row r="632" spans="1:14" x14ac:dyDescent="0.15">
      <c r="A632" t="s">
        <v>9961</v>
      </c>
      <c r="B632" t="s">
        <v>10051</v>
      </c>
      <c r="C632" t="s">
        <v>11264</v>
      </c>
      <c r="D632" t="s">
        <v>23</v>
      </c>
      <c r="E632" t="s">
        <v>8997</v>
      </c>
      <c r="F632" s="5" t="str">
        <f>G632</f>
        <v>********</v>
      </c>
      <c r="G632" s="5" t="s">
        <v>145</v>
      </c>
      <c r="H632" t="s">
        <v>145</v>
      </c>
      <c r="I632" s="2" t="e">
        <f t="shared" si="72"/>
        <v>#VALUE!</v>
      </c>
      <c r="J632" s="4">
        <v>14380000</v>
      </c>
      <c r="K632" s="2" t="e">
        <f t="shared" si="73"/>
        <v>#VALUE!</v>
      </c>
      <c r="L632" t="s">
        <v>1458</v>
      </c>
      <c r="M632" t="s">
        <v>80</v>
      </c>
      <c r="N632" t="b">
        <f t="shared" si="74"/>
        <v>0</v>
      </c>
    </row>
    <row r="633" spans="1:14" x14ac:dyDescent="0.15">
      <c r="A633" t="s">
        <v>9961</v>
      </c>
      <c r="B633" t="s">
        <v>9967</v>
      </c>
      <c r="C633" t="s">
        <v>11265</v>
      </c>
      <c r="D633" t="s">
        <v>118</v>
      </c>
      <c r="E633" t="s">
        <v>11266</v>
      </c>
      <c r="F633" s="5">
        <v>15440000</v>
      </c>
      <c r="G633" s="5">
        <v>15440000</v>
      </c>
      <c r="H633" s="4">
        <v>12274000</v>
      </c>
      <c r="I633" s="2">
        <f t="shared" si="72"/>
        <v>0.79494818652849741</v>
      </c>
      <c r="J633" s="4">
        <v>12274000</v>
      </c>
      <c r="K633" s="2">
        <f t="shared" si="73"/>
        <v>0.79494818652849741</v>
      </c>
      <c r="L633" t="s">
        <v>9984</v>
      </c>
      <c r="M633" t="s">
        <v>353</v>
      </c>
      <c r="N633" t="b">
        <f t="shared" si="74"/>
        <v>0</v>
      </c>
    </row>
    <row r="634" spans="1:14" x14ac:dyDescent="0.15">
      <c r="A634" t="s">
        <v>9961</v>
      </c>
      <c r="B634" t="s">
        <v>9967</v>
      </c>
      <c r="C634" t="s">
        <v>11267</v>
      </c>
      <c r="D634" t="s">
        <v>118</v>
      </c>
      <c r="E634" t="s">
        <v>9003</v>
      </c>
      <c r="F634" s="5">
        <v>12500000</v>
      </c>
      <c r="G634" s="5">
        <v>12500000</v>
      </c>
      <c r="H634" s="4">
        <v>9945000</v>
      </c>
      <c r="I634" s="2">
        <f t="shared" si="72"/>
        <v>0.79559999999999997</v>
      </c>
      <c r="J634" s="4">
        <v>9945000</v>
      </c>
      <c r="K634" s="2">
        <f t="shared" si="73"/>
        <v>0.79559999999999997</v>
      </c>
      <c r="L634" t="s">
        <v>2667</v>
      </c>
      <c r="M634" t="s">
        <v>104</v>
      </c>
      <c r="N634" t="b">
        <f t="shared" si="74"/>
        <v>0</v>
      </c>
    </row>
    <row r="635" spans="1:14" x14ac:dyDescent="0.15">
      <c r="A635" t="s">
        <v>9961</v>
      </c>
      <c r="B635" t="s">
        <v>9967</v>
      </c>
      <c r="C635" t="s">
        <v>11268</v>
      </c>
      <c r="D635" t="s">
        <v>118</v>
      </c>
      <c r="E635" t="s">
        <v>11269</v>
      </c>
      <c r="F635" s="5">
        <v>23320000</v>
      </c>
      <c r="G635" s="5">
        <v>23320000</v>
      </c>
      <c r="H635" s="4">
        <v>18542000</v>
      </c>
      <c r="I635" s="2">
        <f t="shared" si="72"/>
        <v>0.79511149228130362</v>
      </c>
      <c r="J635" s="4">
        <v>18542000</v>
      </c>
      <c r="K635" s="2">
        <f t="shared" si="73"/>
        <v>0.79511149228130362</v>
      </c>
      <c r="L635" t="s">
        <v>271</v>
      </c>
      <c r="M635" t="s">
        <v>104</v>
      </c>
      <c r="N635" t="b">
        <f t="shared" si="74"/>
        <v>0</v>
      </c>
    </row>
    <row r="636" spans="1:14" x14ac:dyDescent="0.15">
      <c r="A636" t="s">
        <v>9961</v>
      </c>
      <c r="B636" t="s">
        <v>10063</v>
      </c>
      <c r="C636" t="s">
        <v>11270</v>
      </c>
      <c r="D636" t="s">
        <v>23</v>
      </c>
      <c r="E636" t="s">
        <v>11271</v>
      </c>
      <c r="F636" s="5" t="str">
        <f t="shared" ref="F636:F642" si="79">G636</f>
        <v>********</v>
      </c>
      <c r="G636" s="5" t="s">
        <v>145</v>
      </c>
      <c r="H636" t="s">
        <v>145</v>
      </c>
      <c r="I636" s="2" t="e">
        <f t="shared" si="72"/>
        <v>#VALUE!</v>
      </c>
      <c r="J636" s="4">
        <v>10970000</v>
      </c>
      <c r="K636" s="2" t="e">
        <f t="shared" si="73"/>
        <v>#VALUE!</v>
      </c>
      <c r="L636" t="s">
        <v>298</v>
      </c>
      <c r="M636" t="s">
        <v>80</v>
      </c>
      <c r="N636" t="b">
        <f t="shared" si="74"/>
        <v>0</v>
      </c>
    </row>
    <row r="637" spans="1:14" x14ac:dyDescent="0.15">
      <c r="A637" t="s">
        <v>9961</v>
      </c>
      <c r="B637" t="s">
        <v>10063</v>
      </c>
      <c r="C637" t="s">
        <v>11272</v>
      </c>
      <c r="D637" t="s">
        <v>23</v>
      </c>
      <c r="E637" t="s">
        <v>11273</v>
      </c>
      <c r="F637" s="5" t="str">
        <f t="shared" si="79"/>
        <v>********</v>
      </c>
      <c r="G637" s="5" t="s">
        <v>145</v>
      </c>
      <c r="H637" t="s">
        <v>145</v>
      </c>
      <c r="I637" s="2" t="e">
        <f t="shared" si="72"/>
        <v>#VALUE!</v>
      </c>
      <c r="J637" s="4">
        <v>13900000</v>
      </c>
      <c r="K637" s="2" t="e">
        <f t="shared" si="73"/>
        <v>#VALUE!</v>
      </c>
      <c r="L637" t="s">
        <v>1800</v>
      </c>
      <c r="M637" t="s">
        <v>80</v>
      </c>
      <c r="N637" t="b">
        <f t="shared" si="74"/>
        <v>0</v>
      </c>
    </row>
    <row r="638" spans="1:14" x14ac:dyDescent="0.15">
      <c r="A638" t="s">
        <v>9961</v>
      </c>
      <c r="B638" t="s">
        <v>10063</v>
      </c>
      <c r="C638" t="s">
        <v>11274</v>
      </c>
      <c r="D638" t="s">
        <v>23</v>
      </c>
      <c r="E638" t="s">
        <v>11275</v>
      </c>
      <c r="F638" s="5" t="str">
        <f t="shared" si="79"/>
        <v>********</v>
      </c>
      <c r="G638" s="5" t="s">
        <v>145</v>
      </c>
      <c r="H638" t="s">
        <v>145</v>
      </c>
      <c r="I638" s="2" t="e">
        <f t="shared" si="72"/>
        <v>#VALUE!</v>
      </c>
      <c r="J638" s="4">
        <v>6250000</v>
      </c>
      <c r="K638" s="2" t="e">
        <f t="shared" si="73"/>
        <v>#VALUE!</v>
      </c>
      <c r="L638" t="s">
        <v>9405</v>
      </c>
      <c r="M638" t="s">
        <v>80</v>
      </c>
      <c r="N638" t="b">
        <f t="shared" si="74"/>
        <v>0</v>
      </c>
    </row>
    <row r="639" spans="1:14" x14ac:dyDescent="0.15">
      <c r="A639" t="s">
        <v>9961</v>
      </c>
      <c r="B639" t="s">
        <v>10063</v>
      </c>
      <c r="C639" t="s">
        <v>11276</v>
      </c>
      <c r="D639" t="s">
        <v>23</v>
      </c>
      <c r="E639" t="s">
        <v>11277</v>
      </c>
      <c r="F639" s="5" t="str">
        <f t="shared" si="79"/>
        <v>********</v>
      </c>
      <c r="G639" s="5" t="s">
        <v>145</v>
      </c>
      <c r="H639" t="s">
        <v>145</v>
      </c>
      <c r="I639" s="2" t="e">
        <f t="shared" si="72"/>
        <v>#VALUE!</v>
      </c>
      <c r="J639" s="4">
        <v>5848000</v>
      </c>
      <c r="K639" s="2" t="e">
        <f t="shared" si="73"/>
        <v>#VALUE!</v>
      </c>
      <c r="L639" t="s">
        <v>903</v>
      </c>
      <c r="M639" t="s">
        <v>80</v>
      </c>
      <c r="N639" t="b">
        <f t="shared" si="74"/>
        <v>0</v>
      </c>
    </row>
    <row r="640" spans="1:14" x14ac:dyDescent="0.15">
      <c r="A640" t="s">
        <v>9961</v>
      </c>
      <c r="B640" t="s">
        <v>10063</v>
      </c>
      <c r="C640" t="s">
        <v>11278</v>
      </c>
      <c r="D640" t="s">
        <v>23</v>
      </c>
      <c r="E640" t="s">
        <v>11279</v>
      </c>
      <c r="F640" s="5" t="str">
        <f t="shared" si="79"/>
        <v>********</v>
      </c>
      <c r="G640" s="5" t="s">
        <v>145</v>
      </c>
      <c r="H640" t="s">
        <v>145</v>
      </c>
      <c r="I640" s="2" t="e">
        <f t="shared" si="72"/>
        <v>#VALUE!</v>
      </c>
      <c r="J640" s="4">
        <v>24195000</v>
      </c>
      <c r="K640" s="2" t="e">
        <f t="shared" si="73"/>
        <v>#VALUE!</v>
      </c>
      <c r="L640" t="s">
        <v>263</v>
      </c>
      <c r="M640" t="s">
        <v>80</v>
      </c>
      <c r="N640" t="b">
        <f t="shared" si="74"/>
        <v>0</v>
      </c>
    </row>
    <row r="641" spans="1:14" x14ac:dyDescent="0.15">
      <c r="A641" t="s">
        <v>9961</v>
      </c>
      <c r="B641" t="s">
        <v>10021</v>
      </c>
      <c r="C641" t="s">
        <v>11280</v>
      </c>
      <c r="D641" t="s">
        <v>23</v>
      </c>
      <c r="E641" t="s">
        <v>11281</v>
      </c>
      <c r="F641" s="5" t="str">
        <f t="shared" si="79"/>
        <v>********</v>
      </c>
      <c r="G641" s="5" t="s">
        <v>145</v>
      </c>
      <c r="H641" t="s">
        <v>145</v>
      </c>
      <c r="I641" s="2" t="e">
        <f t="shared" si="72"/>
        <v>#VALUE!</v>
      </c>
      <c r="J641" s="4">
        <v>2800000</v>
      </c>
      <c r="K641" s="2" t="e">
        <f t="shared" si="73"/>
        <v>#VALUE!</v>
      </c>
      <c r="L641" t="s">
        <v>10829</v>
      </c>
      <c r="M641" t="s">
        <v>432</v>
      </c>
      <c r="N641" t="b">
        <f t="shared" si="74"/>
        <v>0</v>
      </c>
    </row>
    <row r="642" spans="1:14" x14ac:dyDescent="0.15">
      <c r="A642" t="s">
        <v>9961</v>
      </c>
      <c r="B642" t="s">
        <v>10257</v>
      </c>
      <c r="C642" t="s">
        <v>11282</v>
      </c>
      <c r="D642" t="s">
        <v>23</v>
      </c>
      <c r="E642" t="s">
        <v>11283</v>
      </c>
      <c r="F642" s="5" t="str">
        <f t="shared" si="79"/>
        <v>********</v>
      </c>
      <c r="G642" s="5" t="s">
        <v>145</v>
      </c>
      <c r="H642" s="4">
        <v>11640000</v>
      </c>
      <c r="I642" s="2" t="e">
        <f t="shared" si="72"/>
        <v>#VALUE!</v>
      </c>
      <c r="J642" s="4">
        <v>14350000</v>
      </c>
      <c r="K642" s="2" t="e">
        <f t="shared" si="73"/>
        <v>#VALUE!</v>
      </c>
      <c r="L642" t="s">
        <v>832</v>
      </c>
      <c r="M642" t="s">
        <v>192</v>
      </c>
      <c r="N642" t="b">
        <f t="shared" si="74"/>
        <v>0</v>
      </c>
    </row>
    <row r="643" spans="1:14" x14ac:dyDescent="0.15">
      <c r="A643" t="s">
        <v>9961</v>
      </c>
      <c r="B643" t="s">
        <v>9967</v>
      </c>
      <c r="C643" t="s">
        <v>11284</v>
      </c>
      <c r="D643" t="s">
        <v>23</v>
      </c>
      <c r="E643" t="s">
        <v>11285</v>
      </c>
      <c r="F643" s="5">
        <v>5810000</v>
      </c>
      <c r="G643" s="5">
        <v>5810000</v>
      </c>
      <c r="H643" s="4">
        <v>4624000</v>
      </c>
      <c r="I643" s="2">
        <f t="shared" si="72"/>
        <v>0.79586919104991394</v>
      </c>
      <c r="J643" s="4">
        <v>4624000</v>
      </c>
      <c r="K643" s="2">
        <f t="shared" si="73"/>
        <v>0.79586919104991394</v>
      </c>
      <c r="L643" t="s">
        <v>263</v>
      </c>
      <c r="M643" t="s">
        <v>165</v>
      </c>
      <c r="N643" t="b">
        <f t="shared" si="74"/>
        <v>0</v>
      </c>
    </row>
    <row r="644" spans="1:14" x14ac:dyDescent="0.15">
      <c r="A644" t="s">
        <v>9961</v>
      </c>
      <c r="B644" t="s">
        <v>9967</v>
      </c>
      <c r="C644" t="s">
        <v>11286</v>
      </c>
      <c r="D644" t="s">
        <v>23</v>
      </c>
      <c r="E644" t="s">
        <v>9061</v>
      </c>
      <c r="F644" s="5">
        <v>2438686</v>
      </c>
      <c r="G644" s="5">
        <v>2438686</v>
      </c>
      <c r="H644" s="4">
        <v>1464000</v>
      </c>
      <c r="I644" s="2">
        <f t="shared" ref="I644:I707" si="80">H644/G644</f>
        <v>0.60032328885309549</v>
      </c>
      <c r="J644" s="4">
        <v>2300000</v>
      </c>
      <c r="K644" s="2">
        <f t="shared" ref="K644:K707" si="81">J644/G644</f>
        <v>0.94313084997412544</v>
      </c>
      <c r="L644" t="s">
        <v>271</v>
      </c>
      <c r="M644" t="s">
        <v>165</v>
      </c>
      <c r="N644" t="b">
        <f t="shared" ref="N644:N707" si="82">F644&lt;&gt;G644</f>
        <v>0</v>
      </c>
    </row>
    <row r="645" spans="1:14" x14ac:dyDescent="0.15">
      <c r="A645" t="s">
        <v>9961</v>
      </c>
      <c r="B645" t="s">
        <v>9967</v>
      </c>
      <c r="C645" t="s">
        <v>11287</v>
      </c>
      <c r="D645" t="s">
        <v>15</v>
      </c>
      <c r="E645" t="s">
        <v>11288</v>
      </c>
      <c r="F645" s="5">
        <v>3490000</v>
      </c>
      <c r="G645" s="5">
        <v>3490000</v>
      </c>
      <c r="I645" s="2">
        <f t="shared" si="80"/>
        <v>0</v>
      </c>
      <c r="K645" s="2">
        <f t="shared" si="81"/>
        <v>0</v>
      </c>
      <c r="M645" t="s">
        <v>139</v>
      </c>
      <c r="N645" t="b">
        <f t="shared" si="82"/>
        <v>0</v>
      </c>
    </row>
    <row r="646" spans="1:14" x14ac:dyDescent="0.15">
      <c r="A646" t="s">
        <v>9961</v>
      </c>
      <c r="B646" t="s">
        <v>9967</v>
      </c>
      <c r="C646" t="s">
        <v>11289</v>
      </c>
      <c r="D646" t="s">
        <v>15</v>
      </c>
      <c r="E646" t="s">
        <v>11290</v>
      </c>
      <c r="F646" s="5">
        <v>4490000</v>
      </c>
      <c r="G646" s="5">
        <v>4490000</v>
      </c>
      <c r="I646" s="2">
        <f t="shared" si="80"/>
        <v>0</v>
      </c>
      <c r="K646" s="2">
        <f t="shared" si="81"/>
        <v>0</v>
      </c>
      <c r="M646" t="s">
        <v>139</v>
      </c>
      <c r="N646" t="b">
        <f t="shared" si="82"/>
        <v>0</v>
      </c>
    </row>
    <row r="647" spans="1:14" x14ac:dyDescent="0.15">
      <c r="A647" t="s">
        <v>9961</v>
      </c>
      <c r="B647" t="s">
        <v>9976</v>
      </c>
      <c r="C647" t="s">
        <v>9974</v>
      </c>
      <c r="D647" t="s">
        <v>23</v>
      </c>
      <c r="E647" t="s">
        <v>11291</v>
      </c>
      <c r="F647" s="5">
        <v>4060000</v>
      </c>
      <c r="G647" s="5">
        <v>4060000</v>
      </c>
      <c r="H647" s="4">
        <v>3179000</v>
      </c>
      <c r="I647" s="2">
        <f t="shared" si="80"/>
        <v>0.78300492610837436</v>
      </c>
      <c r="J647" s="4">
        <v>3750000</v>
      </c>
      <c r="K647" s="2">
        <f t="shared" si="81"/>
        <v>0.92364532019704437</v>
      </c>
      <c r="L647" t="s">
        <v>5068</v>
      </c>
      <c r="M647" t="s">
        <v>432</v>
      </c>
      <c r="N647" t="b">
        <f t="shared" si="82"/>
        <v>0</v>
      </c>
    </row>
    <row r="648" spans="1:14" x14ac:dyDescent="0.15">
      <c r="A648" t="s">
        <v>9961</v>
      </c>
      <c r="B648" t="s">
        <v>9976</v>
      </c>
      <c r="C648" t="s">
        <v>11292</v>
      </c>
      <c r="D648" t="s">
        <v>23</v>
      </c>
      <c r="E648" t="s">
        <v>11293</v>
      </c>
      <c r="F648" s="5">
        <v>4710000</v>
      </c>
      <c r="G648" s="5">
        <v>4710000</v>
      </c>
      <c r="H648" s="4">
        <v>3745000</v>
      </c>
      <c r="I648" s="2">
        <f t="shared" si="80"/>
        <v>0.79511677282377924</v>
      </c>
      <c r="J648" s="4">
        <v>3745000</v>
      </c>
      <c r="K648" s="2">
        <f t="shared" si="81"/>
        <v>0.79511677282377924</v>
      </c>
      <c r="L648" t="s">
        <v>694</v>
      </c>
      <c r="M648" t="s">
        <v>165</v>
      </c>
      <c r="N648" t="b">
        <f t="shared" si="82"/>
        <v>0</v>
      </c>
    </row>
    <row r="649" spans="1:14" x14ac:dyDescent="0.15">
      <c r="A649" t="s">
        <v>9961</v>
      </c>
      <c r="B649" t="s">
        <v>10177</v>
      </c>
      <c r="C649" t="s">
        <v>11294</v>
      </c>
      <c r="D649" t="s">
        <v>23</v>
      </c>
      <c r="E649" t="s">
        <v>11295</v>
      </c>
      <c r="F649" s="5" t="str">
        <f t="shared" ref="F649:F653" si="83">G649</f>
        <v>********</v>
      </c>
      <c r="G649" s="5" t="s">
        <v>145</v>
      </c>
      <c r="H649" t="s">
        <v>145</v>
      </c>
      <c r="I649" s="2" t="e">
        <f t="shared" si="80"/>
        <v>#VALUE!</v>
      </c>
      <c r="J649" s="4">
        <v>9975000</v>
      </c>
      <c r="K649" s="2" t="e">
        <f t="shared" si="81"/>
        <v>#VALUE!</v>
      </c>
      <c r="L649" t="s">
        <v>30</v>
      </c>
      <c r="M649" t="s">
        <v>192</v>
      </c>
      <c r="N649" t="b">
        <f t="shared" si="82"/>
        <v>0</v>
      </c>
    </row>
    <row r="650" spans="1:14" x14ac:dyDescent="0.15">
      <c r="A650" t="s">
        <v>9961</v>
      </c>
      <c r="B650" t="s">
        <v>10177</v>
      </c>
      <c r="C650" t="s">
        <v>11296</v>
      </c>
      <c r="D650" t="s">
        <v>23</v>
      </c>
      <c r="E650" t="s">
        <v>11297</v>
      </c>
      <c r="F650" s="5" t="str">
        <f t="shared" si="83"/>
        <v>********</v>
      </c>
      <c r="G650" s="5" t="s">
        <v>145</v>
      </c>
      <c r="H650" t="s">
        <v>145</v>
      </c>
      <c r="I650" s="2" t="e">
        <f t="shared" si="80"/>
        <v>#VALUE!</v>
      </c>
      <c r="J650" s="4">
        <v>19980000</v>
      </c>
      <c r="K650" s="2" t="e">
        <f t="shared" si="81"/>
        <v>#VALUE!</v>
      </c>
      <c r="L650" t="s">
        <v>10954</v>
      </c>
      <c r="M650" t="s">
        <v>126</v>
      </c>
      <c r="N650" t="b">
        <f t="shared" si="82"/>
        <v>0</v>
      </c>
    </row>
    <row r="651" spans="1:14" x14ac:dyDescent="0.15">
      <c r="A651" t="s">
        <v>9961</v>
      </c>
      <c r="B651" t="s">
        <v>10027</v>
      </c>
      <c r="C651" t="s">
        <v>11298</v>
      </c>
      <c r="D651" t="s">
        <v>23</v>
      </c>
      <c r="E651" t="s">
        <v>11299</v>
      </c>
      <c r="F651" s="5" t="str">
        <f t="shared" si="83"/>
        <v>********</v>
      </c>
      <c r="G651" s="5" t="s">
        <v>145</v>
      </c>
      <c r="H651" t="s">
        <v>145</v>
      </c>
      <c r="I651" s="2" t="e">
        <f t="shared" si="80"/>
        <v>#VALUE!</v>
      </c>
      <c r="J651" s="4">
        <v>3420000</v>
      </c>
      <c r="K651" s="2" t="e">
        <f t="shared" si="81"/>
        <v>#VALUE!</v>
      </c>
      <c r="L651" t="s">
        <v>271</v>
      </c>
      <c r="M651" t="s">
        <v>192</v>
      </c>
      <c r="N651" t="b">
        <f t="shared" si="82"/>
        <v>0</v>
      </c>
    </row>
    <row r="652" spans="1:14" x14ac:dyDescent="0.15">
      <c r="A652" t="s">
        <v>9961</v>
      </c>
      <c r="B652" t="s">
        <v>9964</v>
      </c>
      <c r="C652" t="s">
        <v>11300</v>
      </c>
      <c r="D652" t="s">
        <v>23</v>
      </c>
      <c r="E652" t="s">
        <v>11301</v>
      </c>
      <c r="F652" s="5" t="str">
        <f t="shared" si="83"/>
        <v>********</v>
      </c>
      <c r="G652" s="5" t="s">
        <v>145</v>
      </c>
      <c r="H652" t="s">
        <v>145</v>
      </c>
      <c r="I652" s="2" t="e">
        <f t="shared" si="80"/>
        <v>#VALUE!</v>
      </c>
      <c r="J652" s="4">
        <v>1840000</v>
      </c>
      <c r="K652" s="2" t="e">
        <f t="shared" si="81"/>
        <v>#VALUE!</v>
      </c>
      <c r="L652" t="s">
        <v>1139</v>
      </c>
      <c r="M652" t="s">
        <v>432</v>
      </c>
      <c r="N652" t="b">
        <f t="shared" si="82"/>
        <v>0</v>
      </c>
    </row>
    <row r="653" spans="1:14" x14ac:dyDescent="0.15">
      <c r="A653" t="s">
        <v>9961</v>
      </c>
      <c r="B653" t="s">
        <v>9964</v>
      </c>
      <c r="C653" t="s">
        <v>11302</v>
      </c>
      <c r="D653" t="s">
        <v>23</v>
      </c>
      <c r="E653" t="s">
        <v>11303</v>
      </c>
      <c r="F653" s="5" t="str">
        <f t="shared" si="83"/>
        <v>********</v>
      </c>
      <c r="G653" s="5" t="s">
        <v>145</v>
      </c>
      <c r="H653" t="s">
        <v>145</v>
      </c>
      <c r="I653" s="2" t="e">
        <f t="shared" si="80"/>
        <v>#VALUE!</v>
      </c>
      <c r="J653" s="4">
        <v>5465000</v>
      </c>
      <c r="K653" s="2" t="e">
        <f t="shared" si="81"/>
        <v>#VALUE!</v>
      </c>
      <c r="L653" t="s">
        <v>1001</v>
      </c>
      <c r="M653" t="s">
        <v>192</v>
      </c>
      <c r="N653" t="b">
        <f t="shared" si="82"/>
        <v>0</v>
      </c>
    </row>
    <row r="654" spans="1:14" x14ac:dyDescent="0.15">
      <c r="A654" t="s">
        <v>9961</v>
      </c>
      <c r="B654" t="s">
        <v>9967</v>
      </c>
      <c r="C654" t="s">
        <v>11304</v>
      </c>
      <c r="D654" t="s">
        <v>23</v>
      </c>
      <c r="E654" t="s">
        <v>11305</v>
      </c>
      <c r="F654" s="5">
        <v>7920000</v>
      </c>
      <c r="G654" s="5">
        <v>7920000</v>
      </c>
      <c r="H654" s="4">
        <v>6258000</v>
      </c>
      <c r="I654" s="2">
        <f t="shared" si="80"/>
        <v>0.79015151515151516</v>
      </c>
      <c r="J654" s="4">
        <v>7450000</v>
      </c>
      <c r="K654" s="2">
        <f t="shared" si="81"/>
        <v>0.94065656565656564</v>
      </c>
      <c r="L654" t="s">
        <v>1170</v>
      </c>
      <c r="M654" t="s">
        <v>165</v>
      </c>
      <c r="N654" t="b">
        <f t="shared" si="82"/>
        <v>0</v>
      </c>
    </row>
    <row r="655" spans="1:14" x14ac:dyDescent="0.15">
      <c r="A655" t="s">
        <v>9961</v>
      </c>
      <c r="B655" t="s">
        <v>9967</v>
      </c>
      <c r="C655" t="s">
        <v>11306</v>
      </c>
      <c r="D655" t="s">
        <v>23</v>
      </c>
      <c r="E655" t="s">
        <v>11307</v>
      </c>
      <c r="F655" s="5">
        <v>392979</v>
      </c>
      <c r="G655" s="5">
        <v>392979</v>
      </c>
      <c r="I655" s="2">
        <f t="shared" si="80"/>
        <v>0</v>
      </c>
      <c r="J655" s="4">
        <v>330000</v>
      </c>
      <c r="K655" s="2">
        <f t="shared" si="81"/>
        <v>0.83973952806638519</v>
      </c>
      <c r="L655" t="s">
        <v>6388</v>
      </c>
      <c r="M655" t="s">
        <v>165</v>
      </c>
      <c r="N655" t="b">
        <f t="shared" si="82"/>
        <v>0</v>
      </c>
    </row>
    <row r="656" spans="1:14" x14ac:dyDescent="0.15">
      <c r="A656" t="s">
        <v>9961</v>
      </c>
      <c r="B656" t="s">
        <v>9967</v>
      </c>
      <c r="C656" t="s">
        <v>11308</v>
      </c>
      <c r="D656" t="s">
        <v>15</v>
      </c>
      <c r="E656" t="s">
        <v>11309</v>
      </c>
      <c r="F656" s="5">
        <v>2060000</v>
      </c>
      <c r="G656" s="5">
        <v>2060000</v>
      </c>
      <c r="I656" s="2">
        <f t="shared" si="80"/>
        <v>0</v>
      </c>
      <c r="K656" s="2">
        <f t="shared" si="81"/>
        <v>0</v>
      </c>
      <c r="M656" t="s">
        <v>139</v>
      </c>
      <c r="N656" t="b">
        <f t="shared" si="82"/>
        <v>0</v>
      </c>
    </row>
    <row r="657" spans="1:14" x14ac:dyDescent="0.15">
      <c r="A657" t="s">
        <v>9961</v>
      </c>
      <c r="B657" t="s">
        <v>10257</v>
      </c>
      <c r="C657" t="s">
        <v>11310</v>
      </c>
      <c r="D657" t="s">
        <v>23</v>
      </c>
      <c r="E657" t="s">
        <v>11311</v>
      </c>
      <c r="F657" s="5" t="str">
        <f>G657</f>
        <v>********</v>
      </c>
      <c r="G657" s="5" t="s">
        <v>145</v>
      </c>
      <c r="H657" s="4">
        <v>5298000</v>
      </c>
      <c r="I657" s="2" t="e">
        <f t="shared" si="80"/>
        <v>#VALUE!</v>
      </c>
      <c r="J657" s="4">
        <v>5560000</v>
      </c>
      <c r="K657" s="2" t="e">
        <f t="shared" si="81"/>
        <v>#VALUE!</v>
      </c>
      <c r="L657" t="s">
        <v>4042</v>
      </c>
      <c r="M657" t="s">
        <v>192</v>
      </c>
      <c r="N657" t="b">
        <f t="shared" si="82"/>
        <v>0</v>
      </c>
    </row>
    <row r="658" spans="1:14" x14ac:dyDescent="0.15">
      <c r="A658" t="s">
        <v>9961</v>
      </c>
      <c r="B658" t="s">
        <v>9976</v>
      </c>
      <c r="C658" t="s">
        <v>11312</v>
      </c>
      <c r="D658" t="s">
        <v>118</v>
      </c>
      <c r="E658" t="s">
        <v>11313</v>
      </c>
      <c r="F658" s="5">
        <v>10080000</v>
      </c>
      <c r="G658" s="5">
        <v>10080000</v>
      </c>
      <c r="H658" s="4">
        <v>8019000</v>
      </c>
      <c r="I658" s="2">
        <f t="shared" si="80"/>
        <v>0.79553571428571423</v>
      </c>
      <c r="J658" s="4">
        <v>9520000</v>
      </c>
      <c r="K658" s="2">
        <f t="shared" si="81"/>
        <v>0.94444444444444442</v>
      </c>
      <c r="L658" t="s">
        <v>4415</v>
      </c>
      <c r="M658" t="s">
        <v>432</v>
      </c>
      <c r="N658" t="b">
        <f t="shared" si="82"/>
        <v>0</v>
      </c>
    </row>
    <row r="659" spans="1:14" x14ac:dyDescent="0.15">
      <c r="A659" t="s">
        <v>9961</v>
      </c>
      <c r="B659" t="s">
        <v>9976</v>
      </c>
      <c r="C659" t="s">
        <v>11314</v>
      </c>
      <c r="D659" t="s">
        <v>118</v>
      </c>
      <c r="E659" t="s">
        <v>11315</v>
      </c>
      <c r="F659" s="5">
        <v>12450000</v>
      </c>
      <c r="G659" s="5">
        <v>12450000</v>
      </c>
      <c r="H659" s="4">
        <v>9901000</v>
      </c>
      <c r="I659" s="2">
        <f t="shared" si="80"/>
        <v>0.79526104417670684</v>
      </c>
      <c r="J659" s="4">
        <v>9902000</v>
      </c>
      <c r="K659" s="2">
        <f t="shared" si="81"/>
        <v>0.79534136546184742</v>
      </c>
      <c r="L659" t="s">
        <v>4415</v>
      </c>
      <c r="M659" t="s">
        <v>126</v>
      </c>
      <c r="N659" t="b">
        <f t="shared" si="82"/>
        <v>0</v>
      </c>
    </row>
    <row r="660" spans="1:14" x14ac:dyDescent="0.15">
      <c r="A660" t="s">
        <v>9961</v>
      </c>
      <c r="B660" t="s">
        <v>9976</v>
      </c>
      <c r="C660" t="s">
        <v>11316</v>
      </c>
      <c r="D660" t="s">
        <v>118</v>
      </c>
      <c r="E660" t="s">
        <v>11317</v>
      </c>
      <c r="F660" s="5">
        <v>13090000</v>
      </c>
      <c r="G660" s="5">
        <v>13090000</v>
      </c>
      <c r="H660" s="4">
        <v>10327000</v>
      </c>
      <c r="I660" s="2">
        <f t="shared" si="80"/>
        <v>0.78892284186401829</v>
      </c>
      <c r="J660" s="4">
        <v>10327000</v>
      </c>
      <c r="K660" s="2">
        <f t="shared" si="81"/>
        <v>0.78892284186401829</v>
      </c>
      <c r="L660" t="s">
        <v>30</v>
      </c>
      <c r="M660" t="s">
        <v>41</v>
      </c>
      <c r="N660" t="b">
        <f t="shared" si="82"/>
        <v>0</v>
      </c>
    </row>
    <row r="661" spans="1:14" x14ac:dyDescent="0.15">
      <c r="A661" t="s">
        <v>9961</v>
      </c>
      <c r="B661" t="s">
        <v>10304</v>
      </c>
      <c r="C661" t="s">
        <v>11318</v>
      </c>
      <c r="D661" t="s">
        <v>23</v>
      </c>
      <c r="E661" t="s">
        <v>11319</v>
      </c>
      <c r="F661" s="5" t="str">
        <f t="shared" ref="F661:F668" si="84">G661</f>
        <v>********</v>
      </c>
      <c r="G661" s="5" t="s">
        <v>145</v>
      </c>
      <c r="H661" t="s">
        <v>145</v>
      </c>
      <c r="I661" s="2" t="e">
        <f t="shared" si="80"/>
        <v>#VALUE!</v>
      </c>
      <c r="J661" s="4">
        <v>10307000</v>
      </c>
      <c r="K661" s="2" t="e">
        <f t="shared" si="81"/>
        <v>#VALUE!</v>
      </c>
      <c r="L661" t="s">
        <v>173</v>
      </c>
      <c r="M661" t="s">
        <v>80</v>
      </c>
      <c r="N661" t="b">
        <f t="shared" si="82"/>
        <v>0</v>
      </c>
    </row>
    <row r="662" spans="1:14" x14ac:dyDescent="0.15">
      <c r="A662" t="s">
        <v>9961</v>
      </c>
      <c r="B662" t="s">
        <v>10304</v>
      </c>
      <c r="C662" t="s">
        <v>11320</v>
      </c>
      <c r="D662" t="s">
        <v>23</v>
      </c>
      <c r="E662" t="s">
        <v>11321</v>
      </c>
      <c r="F662" s="5" t="str">
        <f t="shared" si="84"/>
        <v>********</v>
      </c>
      <c r="G662" s="5" t="s">
        <v>145</v>
      </c>
      <c r="H662" t="s">
        <v>145</v>
      </c>
      <c r="I662" s="2" t="e">
        <f t="shared" si="80"/>
        <v>#VALUE!</v>
      </c>
      <c r="J662" s="4">
        <v>6118000</v>
      </c>
      <c r="K662" s="2" t="e">
        <f t="shared" si="81"/>
        <v>#VALUE!</v>
      </c>
      <c r="L662" t="s">
        <v>2674</v>
      </c>
      <c r="M662" t="s">
        <v>80</v>
      </c>
      <c r="N662" t="b">
        <f t="shared" si="82"/>
        <v>0</v>
      </c>
    </row>
    <row r="663" spans="1:14" x14ac:dyDescent="0.15">
      <c r="A663" t="s">
        <v>9961</v>
      </c>
      <c r="B663" t="s">
        <v>10304</v>
      </c>
      <c r="C663" t="s">
        <v>11322</v>
      </c>
      <c r="D663" t="s">
        <v>23</v>
      </c>
      <c r="E663" t="s">
        <v>11323</v>
      </c>
      <c r="F663" s="5" t="str">
        <f t="shared" si="84"/>
        <v>********</v>
      </c>
      <c r="G663" s="5" t="s">
        <v>145</v>
      </c>
      <c r="H663" t="s">
        <v>145</v>
      </c>
      <c r="I663" s="2" t="e">
        <f t="shared" si="80"/>
        <v>#VALUE!</v>
      </c>
      <c r="J663" s="4">
        <v>9932000</v>
      </c>
      <c r="K663" s="2" t="e">
        <f t="shared" si="81"/>
        <v>#VALUE!</v>
      </c>
      <c r="L663" t="s">
        <v>4816</v>
      </c>
      <c r="M663" t="s">
        <v>80</v>
      </c>
      <c r="N663" t="b">
        <f t="shared" si="82"/>
        <v>0</v>
      </c>
    </row>
    <row r="664" spans="1:14" x14ac:dyDescent="0.15">
      <c r="A664" t="s">
        <v>9961</v>
      </c>
      <c r="B664" t="s">
        <v>10304</v>
      </c>
      <c r="C664" t="s">
        <v>11324</v>
      </c>
      <c r="D664" t="s">
        <v>23</v>
      </c>
      <c r="E664" t="s">
        <v>11325</v>
      </c>
      <c r="F664" s="5" t="str">
        <f t="shared" si="84"/>
        <v>********</v>
      </c>
      <c r="G664" s="5" t="s">
        <v>145</v>
      </c>
      <c r="H664" t="s">
        <v>145</v>
      </c>
      <c r="I664" s="2" t="e">
        <f t="shared" si="80"/>
        <v>#VALUE!</v>
      </c>
      <c r="J664" s="4">
        <v>8808000</v>
      </c>
      <c r="K664" s="2" t="e">
        <f t="shared" si="81"/>
        <v>#VALUE!</v>
      </c>
      <c r="L664" t="s">
        <v>1541</v>
      </c>
      <c r="M664" t="s">
        <v>80</v>
      </c>
      <c r="N664" t="b">
        <f t="shared" si="82"/>
        <v>0</v>
      </c>
    </row>
    <row r="665" spans="1:14" x14ac:dyDescent="0.15">
      <c r="A665" t="s">
        <v>9961</v>
      </c>
      <c r="B665" t="s">
        <v>10021</v>
      </c>
      <c r="C665" t="s">
        <v>11326</v>
      </c>
      <c r="D665" t="s">
        <v>23</v>
      </c>
      <c r="E665" t="s">
        <v>11327</v>
      </c>
      <c r="F665" s="5" t="str">
        <f t="shared" si="84"/>
        <v>********</v>
      </c>
      <c r="G665" s="5" t="s">
        <v>145</v>
      </c>
      <c r="H665" t="s">
        <v>145</v>
      </c>
      <c r="I665" s="2" t="e">
        <f t="shared" si="80"/>
        <v>#VALUE!</v>
      </c>
      <c r="J665" s="4">
        <v>9800000</v>
      </c>
      <c r="K665" s="2" t="e">
        <f t="shared" si="81"/>
        <v>#VALUE!</v>
      </c>
      <c r="L665" t="s">
        <v>215</v>
      </c>
      <c r="M665" t="s">
        <v>80</v>
      </c>
      <c r="N665" t="b">
        <f t="shared" si="82"/>
        <v>0</v>
      </c>
    </row>
    <row r="666" spans="1:14" x14ac:dyDescent="0.15">
      <c r="A666" t="s">
        <v>9961</v>
      </c>
      <c r="B666" t="s">
        <v>10045</v>
      </c>
      <c r="C666" t="s">
        <v>11328</v>
      </c>
      <c r="D666" t="s">
        <v>23</v>
      </c>
      <c r="E666" t="s">
        <v>11329</v>
      </c>
      <c r="F666" s="5" t="str">
        <f t="shared" si="84"/>
        <v>********</v>
      </c>
      <c r="G666" s="5" t="s">
        <v>145</v>
      </c>
      <c r="H666" t="s">
        <v>145</v>
      </c>
      <c r="I666" s="2" t="e">
        <f t="shared" si="80"/>
        <v>#VALUE!</v>
      </c>
      <c r="J666" s="4">
        <v>8108000</v>
      </c>
      <c r="K666" s="2" t="e">
        <f t="shared" si="81"/>
        <v>#VALUE!</v>
      </c>
      <c r="L666" t="s">
        <v>256</v>
      </c>
      <c r="M666" t="s">
        <v>80</v>
      </c>
      <c r="N666" t="b">
        <f t="shared" si="82"/>
        <v>0</v>
      </c>
    </row>
    <row r="667" spans="1:14" x14ac:dyDescent="0.15">
      <c r="A667" t="s">
        <v>9961</v>
      </c>
      <c r="B667" t="s">
        <v>10141</v>
      </c>
      <c r="C667" t="s">
        <v>11330</v>
      </c>
      <c r="D667" t="s">
        <v>23</v>
      </c>
      <c r="E667" t="s">
        <v>11331</v>
      </c>
      <c r="F667" s="5" t="str">
        <f t="shared" si="84"/>
        <v>********</v>
      </c>
      <c r="G667" s="5" t="s">
        <v>145</v>
      </c>
      <c r="H667" t="s">
        <v>145</v>
      </c>
      <c r="I667" s="2" t="e">
        <f t="shared" si="80"/>
        <v>#VALUE!</v>
      </c>
      <c r="J667" s="4">
        <v>17000000</v>
      </c>
      <c r="K667" s="2" t="e">
        <f t="shared" si="81"/>
        <v>#VALUE!</v>
      </c>
      <c r="L667" t="s">
        <v>903</v>
      </c>
      <c r="M667" t="s">
        <v>80</v>
      </c>
      <c r="N667" t="b">
        <f t="shared" si="82"/>
        <v>0</v>
      </c>
    </row>
    <row r="668" spans="1:14" x14ac:dyDescent="0.15">
      <c r="A668" t="s">
        <v>9961</v>
      </c>
      <c r="B668" t="s">
        <v>10141</v>
      </c>
      <c r="C668" t="s">
        <v>11332</v>
      </c>
      <c r="D668" t="s">
        <v>23</v>
      </c>
      <c r="E668" t="s">
        <v>11333</v>
      </c>
      <c r="F668" s="5" t="str">
        <f t="shared" si="84"/>
        <v>********</v>
      </c>
      <c r="G668" s="5" t="s">
        <v>145</v>
      </c>
      <c r="H668" t="s">
        <v>145</v>
      </c>
      <c r="I668" s="2" t="e">
        <f t="shared" si="80"/>
        <v>#VALUE!</v>
      </c>
      <c r="J668" s="4">
        <v>4170000</v>
      </c>
      <c r="K668" s="2" t="e">
        <f t="shared" si="81"/>
        <v>#VALUE!</v>
      </c>
      <c r="L668" t="s">
        <v>540</v>
      </c>
      <c r="M668" t="s">
        <v>192</v>
      </c>
      <c r="N668" t="b">
        <f t="shared" si="82"/>
        <v>0</v>
      </c>
    </row>
    <row r="669" spans="1:14" x14ac:dyDescent="0.15">
      <c r="A669" t="s">
        <v>9961</v>
      </c>
      <c r="B669" t="s">
        <v>10150</v>
      </c>
      <c r="C669" t="s">
        <v>11334</v>
      </c>
      <c r="D669" t="s">
        <v>23</v>
      </c>
      <c r="E669" t="s">
        <v>11335</v>
      </c>
      <c r="F669" s="5" t="s">
        <v>145</v>
      </c>
      <c r="G669" s="5" t="s">
        <v>145</v>
      </c>
      <c r="H669" t="s">
        <v>145</v>
      </c>
      <c r="I669" s="2" t="e">
        <f t="shared" si="80"/>
        <v>#VALUE!</v>
      </c>
      <c r="J669" s="4">
        <v>21328000</v>
      </c>
      <c r="K669" s="2" t="e">
        <f t="shared" si="81"/>
        <v>#VALUE!</v>
      </c>
      <c r="L669" t="s">
        <v>5068</v>
      </c>
      <c r="M669" t="s">
        <v>80</v>
      </c>
      <c r="N669" t="b">
        <f t="shared" si="82"/>
        <v>0</v>
      </c>
    </row>
    <row r="670" spans="1:14" x14ac:dyDescent="0.15">
      <c r="A670" t="s">
        <v>9961</v>
      </c>
      <c r="B670" t="s">
        <v>10150</v>
      </c>
      <c r="C670" t="s">
        <v>11336</v>
      </c>
      <c r="D670" t="s">
        <v>23</v>
      </c>
      <c r="E670" t="s">
        <v>11337</v>
      </c>
      <c r="F670" s="5" t="s">
        <v>145</v>
      </c>
      <c r="G670" s="5" t="s">
        <v>145</v>
      </c>
      <c r="H670" t="s">
        <v>145</v>
      </c>
      <c r="I670" s="2" t="e">
        <f t="shared" si="80"/>
        <v>#VALUE!</v>
      </c>
      <c r="J670" s="4">
        <v>9690000</v>
      </c>
      <c r="K670" s="2" t="e">
        <f t="shared" si="81"/>
        <v>#VALUE!</v>
      </c>
      <c r="L670" t="s">
        <v>64</v>
      </c>
      <c r="M670" t="s">
        <v>80</v>
      </c>
      <c r="N670" t="b">
        <f t="shared" si="82"/>
        <v>0</v>
      </c>
    </row>
    <row r="671" spans="1:14" x14ac:dyDescent="0.15">
      <c r="A671" t="s">
        <v>9961</v>
      </c>
      <c r="B671" t="s">
        <v>10150</v>
      </c>
      <c r="C671" t="s">
        <v>11338</v>
      </c>
      <c r="D671" t="s">
        <v>23</v>
      </c>
      <c r="E671" t="s">
        <v>11339</v>
      </c>
      <c r="F671" s="5" t="s">
        <v>145</v>
      </c>
      <c r="G671" s="5" t="s">
        <v>145</v>
      </c>
      <c r="H671" t="s">
        <v>145</v>
      </c>
      <c r="I671" s="2" t="e">
        <f t="shared" si="80"/>
        <v>#VALUE!</v>
      </c>
      <c r="J671" s="4">
        <v>13760000</v>
      </c>
      <c r="K671" s="2" t="e">
        <f t="shared" si="81"/>
        <v>#VALUE!</v>
      </c>
      <c r="L671" t="s">
        <v>231</v>
      </c>
      <c r="M671" t="s">
        <v>80</v>
      </c>
      <c r="N671" t="b">
        <f t="shared" si="82"/>
        <v>0</v>
      </c>
    </row>
    <row r="672" spans="1:14" x14ac:dyDescent="0.15">
      <c r="A672" t="s">
        <v>9961</v>
      </c>
      <c r="B672" t="s">
        <v>10150</v>
      </c>
      <c r="C672" t="s">
        <v>11340</v>
      </c>
      <c r="D672" t="s">
        <v>23</v>
      </c>
      <c r="E672" t="s">
        <v>11341</v>
      </c>
      <c r="F672" s="5" t="s">
        <v>145</v>
      </c>
      <c r="G672" s="5" t="s">
        <v>145</v>
      </c>
      <c r="H672" t="s">
        <v>145</v>
      </c>
      <c r="I672" s="2" t="e">
        <f t="shared" si="80"/>
        <v>#VALUE!</v>
      </c>
      <c r="J672" s="4">
        <v>14961000</v>
      </c>
      <c r="K672" s="2" t="e">
        <f t="shared" si="81"/>
        <v>#VALUE!</v>
      </c>
      <c r="L672" t="s">
        <v>64</v>
      </c>
      <c r="M672" t="s">
        <v>80</v>
      </c>
      <c r="N672" t="b">
        <f t="shared" si="82"/>
        <v>0</v>
      </c>
    </row>
    <row r="673" spans="1:14" x14ac:dyDescent="0.15">
      <c r="A673" t="s">
        <v>9961</v>
      </c>
      <c r="B673" t="s">
        <v>10048</v>
      </c>
      <c r="C673" t="s">
        <v>11342</v>
      </c>
      <c r="D673" t="s">
        <v>23</v>
      </c>
      <c r="E673" t="s">
        <v>11343</v>
      </c>
      <c r="F673" s="5" t="s">
        <v>145</v>
      </c>
      <c r="G673" s="5" t="s">
        <v>145</v>
      </c>
      <c r="H673" t="s">
        <v>145</v>
      </c>
      <c r="I673" s="2" t="e">
        <f t="shared" si="80"/>
        <v>#VALUE!</v>
      </c>
      <c r="J673" s="4">
        <v>4900000</v>
      </c>
      <c r="K673" s="2" t="e">
        <f t="shared" si="81"/>
        <v>#VALUE!</v>
      </c>
      <c r="L673" t="s">
        <v>360</v>
      </c>
      <c r="M673" t="s">
        <v>80</v>
      </c>
      <c r="N673" t="b">
        <f t="shared" si="82"/>
        <v>0</v>
      </c>
    </row>
    <row r="674" spans="1:14" x14ac:dyDescent="0.15">
      <c r="A674" t="s">
        <v>9961</v>
      </c>
      <c r="B674" t="s">
        <v>9967</v>
      </c>
      <c r="C674" t="s">
        <v>11344</v>
      </c>
      <c r="D674" t="s">
        <v>23</v>
      </c>
      <c r="E674" t="s">
        <v>11345</v>
      </c>
      <c r="F674" s="5">
        <v>5940000</v>
      </c>
      <c r="G674" s="5">
        <v>5940000</v>
      </c>
      <c r="H674" s="4">
        <v>4661000</v>
      </c>
      <c r="I674" s="2">
        <f t="shared" si="80"/>
        <v>0.78468013468013464</v>
      </c>
      <c r="J674" s="4">
        <v>5500000</v>
      </c>
      <c r="K674" s="2">
        <f t="shared" si="81"/>
        <v>0.92592592592592593</v>
      </c>
      <c r="L674" t="s">
        <v>694</v>
      </c>
      <c r="M674" t="s">
        <v>165</v>
      </c>
      <c r="N674" t="b">
        <f t="shared" si="82"/>
        <v>0</v>
      </c>
    </row>
    <row r="675" spans="1:14" x14ac:dyDescent="0.15">
      <c r="A675" t="s">
        <v>9961</v>
      </c>
      <c r="B675" t="s">
        <v>9967</v>
      </c>
      <c r="C675" t="s">
        <v>11346</v>
      </c>
      <c r="D675" t="s">
        <v>23</v>
      </c>
      <c r="E675" t="s">
        <v>11347</v>
      </c>
      <c r="F675" s="5">
        <v>9030000</v>
      </c>
      <c r="G675" s="5">
        <v>9030000</v>
      </c>
      <c r="H675" s="4">
        <v>7131000</v>
      </c>
      <c r="I675" s="2">
        <f t="shared" si="80"/>
        <v>0.78970099667774085</v>
      </c>
      <c r="J675" s="4">
        <v>8400000</v>
      </c>
      <c r="K675" s="2">
        <f t="shared" si="81"/>
        <v>0.93023255813953487</v>
      </c>
      <c r="L675" t="s">
        <v>215</v>
      </c>
      <c r="M675" t="s">
        <v>165</v>
      </c>
      <c r="N675" t="b">
        <f t="shared" si="82"/>
        <v>0</v>
      </c>
    </row>
    <row r="676" spans="1:14" x14ac:dyDescent="0.15">
      <c r="A676" t="s">
        <v>9961</v>
      </c>
      <c r="B676" t="s">
        <v>10051</v>
      </c>
      <c r="C676" t="s">
        <v>11348</v>
      </c>
      <c r="D676" t="s">
        <v>23</v>
      </c>
      <c r="E676" t="s">
        <v>11349</v>
      </c>
      <c r="F676" s="5" t="str">
        <f t="shared" ref="F676:F677" si="85">G676</f>
        <v>********</v>
      </c>
      <c r="G676" s="5" t="s">
        <v>145</v>
      </c>
      <c r="H676" t="s">
        <v>145</v>
      </c>
      <c r="I676" s="2" t="e">
        <f t="shared" si="80"/>
        <v>#VALUE!</v>
      </c>
      <c r="J676" s="4">
        <v>11900000</v>
      </c>
      <c r="K676" s="2" t="e">
        <f t="shared" si="81"/>
        <v>#VALUE!</v>
      </c>
      <c r="L676" t="s">
        <v>4797</v>
      </c>
      <c r="M676" t="s">
        <v>80</v>
      </c>
      <c r="N676" t="b">
        <f t="shared" si="82"/>
        <v>0</v>
      </c>
    </row>
    <row r="677" spans="1:14" x14ac:dyDescent="0.15">
      <c r="A677" t="s">
        <v>9961</v>
      </c>
      <c r="B677" t="s">
        <v>10051</v>
      </c>
      <c r="C677" t="s">
        <v>11350</v>
      </c>
      <c r="D677" t="s">
        <v>23</v>
      </c>
      <c r="E677" t="s">
        <v>11351</v>
      </c>
      <c r="F677" s="5" t="str">
        <f t="shared" si="85"/>
        <v>********</v>
      </c>
      <c r="G677" s="5" t="s">
        <v>145</v>
      </c>
      <c r="H677" t="s">
        <v>145</v>
      </c>
      <c r="I677" s="2" t="e">
        <f t="shared" si="80"/>
        <v>#VALUE!</v>
      </c>
      <c r="J677" s="4">
        <v>20500000</v>
      </c>
      <c r="K677" s="2" t="e">
        <f t="shared" si="81"/>
        <v>#VALUE!</v>
      </c>
      <c r="L677" t="s">
        <v>903</v>
      </c>
      <c r="M677" t="s">
        <v>80</v>
      </c>
      <c r="N677" t="b">
        <f t="shared" si="82"/>
        <v>0</v>
      </c>
    </row>
    <row r="678" spans="1:14" x14ac:dyDescent="0.15">
      <c r="A678" t="s">
        <v>9961</v>
      </c>
      <c r="B678" t="s">
        <v>9967</v>
      </c>
      <c r="C678" t="s">
        <v>11352</v>
      </c>
      <c r="D678" t="s">
        <v>118</v>
      </c>
      <c r="E678" t="s">
        <v>11353</v>
      </c>
      <c r="F678" s="5">
        <v>11970000</v>
      </c>
      <c r="G678" s="5">
        <v>11970000</v>
      </c>
      <c r="H678" s="4">
        <v>9523000</v>
      </c>
      <c r="I678" s="2">
        <f t="shared" si="80"/>
        <v>0.7955722639933166</v>
      </c>
      <c r="J678" s="4">
        <v>9523000</v>
      </c>
      <c r="K678" s="2">
        <f t="shared" si="81"/>
        <v>0.7955722639933166</v>
      </c>
      <c r="L678" t="s">
        <v>10105</v>
      </c>
      <c r="M678" t="s">
        <v>41</v>
      </c>
      <c r="N678" t="b">
        <f t="shared" si="82"/>
        <v>0</v>
      </c>
    </row>
    <row r="679" spans="1:14" x14ac:dyDescent="0.15">
      <c r="A679" t="s">
        <v>9961</v>
      </c>
      <c r="B679" t="s">
        <v>9967</v>
      </c>
      <c r="C679" t="s">
        <v>11354</v>
      </c>
      <c r="D679" t="s">
        <v>118</v>
      </c>
      <c r="E679" t="s">
        <v>11355</v>
      </c>
      <c r="F679" s="5">
        <v>20400000</v>
      </c>
      <c r="G679" s="5">
        <v>20400000</v>
      </c>
      <c r="H679" s="4">
        <v>16229000</v>
      </c>
      <c r="I679" s="2">
        <f t="shared" si="80"/>
        <v>0.7955392156862745</v>
      </c>
      <c r="J679" s="4">
        <v>16229000</v>
      </c>
      <c r="K679" s="2">
        <f t="shared" si="81"/>
        <v>0.7955392156862745</v>
      </c>
      <c r="L679" t="s">
        <v>239</v>
      </c>
      <c r="M679" t="s">
        <v>41</v>
      </c>
      <c r="N679" t="b">
        <f t="shared" si="82"/>
        <v>0</v>
      </c>
    </row>
    <row r="680" spans="1:14" x14ac:dyDescent="0.15">
      <c r="A680" t="s">
        <v>9961</v>
      </c>
      <c r="B680" t="s">
        <v>10257</v>
      </c>
      <c r="C680" t="s">
        <v>11356</v>
      </c>
      <c r="D680" t="s">
        <v>23</v>
      </c>
      <c r="E680" t="s">
        <v>11357</v>
      </c>
      <c r="F680" s="5" t="str">
        <f t="shared" ref="F680:F686" si="86">G680</f>
        <v>********</v>
      </c>
      <c r="G680" s="5" t="s">
        <v>145</v>
      </c>
      <c r="H680" s="4">
        <v>2937000</v>
      </c>
      <c r="I680" s="2" t="e">
        <f t="shared" si="80"/>
        <v>#VALUE!</v>
      </c>
      <c r="J680" s="4">
        <v>2937000</v>
      </c>
      <c r="K680" s="2" t="e">
        <f t="shared" si="81"/>
        <v>#VALUE!</v>
      </c>
      <c r="L680" t="s">
        <v>11358</v>
      </c>
      <c r="M680" t="s">
        <v>432</v>
      </c>
      <c r="N680" t="b">
        <f t="shared" si="82"/>
        <v>0</v>
      </c>
    </row>
    <row r="681" spans="1:14" x14ac:dyDescent="0.15">
      <c r="A681" t="s">
        <v>9961</v>
      </c>
      <c r="B681" t="s">
        <v>10063</v>
      </c>
      <c r="C681" t="s">
        <v>11359</v>
      </c>
      <c r="D681" t="s">
        <v>15</v>
      </c>
      <c r="E681" t="s">
        <v>11360</v>
      </c>
      <c r="F681" s="5" t="str">
        <f t="shared" si="86"/>
        <v>********</v>
      </c>
      <c r="G681" s="5" t="s">
        <v>145</v>
      </c>
      <c r="I681" s="2" t="e">
        <f t="shared" si="80"/>
        <v>#VALUE!</v>
      </c>
      <c r="K681" s="2" t="e">
        <f t="shared" si="81"/>
        <v>#VALUE!</v>
      </c>
      <c r="M681" t="s">
        <v>139</v>
      </c>
      <c r="N681" t="b">
        <f t="shared" si="82"/>
        <v>0</v>
      </c>
    </row>
    <row r="682" spans="1:14" x14ac:dyDescent="0.15">
      <c r="A682" t="s">
        <v>9961</v>
      </c>
      <c r="B682" t="s">
        <v>10063</v>
      </c>
      <c r="C682" t="s">
        <v>11361</v>
      </c>
      <c r="D682" t="s">
        <v>23</v>
      </c>
      <c r="E682" t="s">
        <v>11362</v>
      </c>
      <c r="F682" s="5" t="str">
        <f t="shared" si="86"/>
        <v>********</v>
      </c>
      <c r="G682" s="5" t="s">
        <v>145</v>
      </c>
      <c r="H682" t="s">
        <v>145</v>
      </c>
      <c r="I682" s="2" t="e">
        <f t="shared" si="80"/>
        <v>#VALUE!</v>
      </c>
      <c r="J682" s="4">
        <v>11950000</v>
      </c>
      <c r="K682" s="2" t="e">
        <f t="shared" si="81"/>
        <v>#VALUE!</v>
      </c>
      <c r="L682" t="s">
        <v>431</v>
      </c>
      <c r="M682" t="s">
        <v>80</v>
      </c>
      <c r="N682" t="b">
        <f t="shared" si="82"/>
        <v>0</v>
      </c>
    </row>
    <row r="683" spans="1:14" x14ac:dyDescent="0.15">
      <c r="A683" t="s">
        <v>9961</v>
      </c>
      <c r="B683" t="s">
        <v>10063</v>
      </c>
      <c r="C683" t="s">
        <v>11363</v>
      </c>
      <c r="D683" t="s">
        <v>23</v>
      </c>
      <c r="E683" t="s">
        <v>11364</v>
      </c>
      <c r="F683" s="5" t="str">
        <f t="shared" si="86"/>
        <v>********</v>
      </c>
      <c r="G683" s="5" t="s">
        <v>145</v>
      </c>
      <c r="H683" t="s">
        <v>145</v>
      </c>
      <c r="I683" s="2" t="e">
        <f t="shared" si="80"/>
        <v>#VALUE!</v>
      </c>
      <c r="J683" s="4">
        <v>19450000</v>
      </c>
      <c r="K683" s="2" t="e">
        <f t="shared" si="81"/>
        <v>#VALUE!</v>
      </c>
      <c r="L683" t="s">
        <v>256</v>
      </c>
      <c r="M683" t="s">
        <v>80</v>
      </c>
      <c r="N683" t="b">
        <f t="shared" si="82"/>
        <v>0</v>
      </c>
    </row>
    <row r="684" spans="1:14" x14ac:dyDescent="0.15">
      <c r="A684" t="s">
        <v>9961</v>
      </c>
      <c r="B684" t="s">
        <v>10063</v>
      </c>
      <c r="C684" t="s">
        <v>11365</v>
      </c>
      <c r="D684" t="s">
        <v>23</v>
      </c>
      <c r="E684" t="s">
        <v>9371</v>
      </c>
      <c r="F684" s="5" t="str">
        <f t="shared" si="86"/>
        <v>********</v>
      </c>
      <c r="G684" s="5" t="s">
        <v>145</v>
      </c>
      <c r="H684" t="s">
        <v>145</v>
      </c>
      <c r="I684" s="2" t="e">
        <f t="shared" si="80"/>
        <v>#VALUE!</v>
      </c>
      <c r="J684" s="4">
        <v>18000000</v>
      </c>
      <c r="K684" s="2" t="e">
        <f t="shared" si="81"/>
        <v>#VALUE!</v>
      </c>
      <c r="L684" t="s">
        <v>1800</v>
      </c>
      <c r="M684" t="s">
        <v>80</v>
      </c>
      <c r="N684" t="b">
        <f t="shared" si="82"/>
        <v>0</v>
      </c>
    </row>
    <row r="685" spans="1:14" x14ac:dyDescent="0.15">
      <c r="A685" t="s">
        <v>9961</v>
      </c>
      <c r="B685" t="s">
        <v>10063</v>
      </c>
      <c r="C685" t="s">
        <v>11366</v>
      </c>
      <c r="D685" t="s">
        <v>23</v>
      </c>
      <c r="E685" t="s">
        <v>11367</v>
      </c>
      <c r="F685" s="5" t="str">
        <f t="shared" si="86"/>
        <v>********</v>
      </c>
      <c r="G685" s="5" t="s">
        <v>145</v>
      </c>
      <c r="H685" t="s">
        <v>145</v>
      </c>
      <c r="I685" s="2" t="e">
        <f t="shared" si="80"/>
        <v>#VALUE!</v>
      </c>
      <c r="J685" s="4">
        <v>39000000</v>
      </c>
      <c r="K685" s="2" t="e">
        <f t="shared" si="81"/>
        <v>#VALUE!</v>
      </c>
      <c r="L685" t="s">
        <v>2122</v>
      </c>
      <c r="M685" t="s">
        <v>80</v>
      </c>
      <c r="N685" t="b">
        <f t="shared" si="82"/>
        <v>0</v>
      </c>
    </row>
    <row r="686" spans="1:14" x14ac:dyDescent="0.15">
      <c r="A686" t="s">
        <v>9961</v>
      </c>
      <c r="B686" t="s">
        <v>10063</v>
      </c>
      <c r="C686" t="s">
        <v>11368</v>
      </c>
      <c r="D686" t="s">
        <v>23</v>
      </c>
      <c r="E686" t="s">
        <v>11369</v>
      </c>
      <c r="F686" s="5" t="str">
        <f t="shared" si="86"/>
        <v>********</v>
      </c>
      <c r="G686" s="5" t="s">
        <v>145</v>
      </c>
      <c r="H686" t="s">
        <v>145</v>
      </c>
      <c r="I686" s="2" t="e">
        <f t="shared" si="80"/>
        <v>#VALUE!</v>
      </c>
      <c r="J686" s="4">
        <v>52000000</v>
      </c>
      <c r="K686" s="2" t="e">
        <f t="shared" si="81"/>
        <v>#VALUE!</v>
      </c>
      <c r="L686" t="s">
        <v>239</v>
      </c>
      <c r="M686" t="s">
        <v>80</v>
      </c>
      <c r="N686" t="b">
        <f t="shared" si="82"/>
        <v>0</v>
      </c>
    </row>
    <row r="687" spans="1:14" x14ac:dyDescent="0.15">
      <c r="A687" t="s">
        <v>9961</v>
      </c>
      <c r="B687" t="s">
        <v>9976</v>
      </c>
      <c r="C687" t="s">
        <v>11370</v>
      </c>
      <c r="D687" t="s">
        <v>23</v>
      </c>
      <c r="E687" t="s">
        <v>11371</v>
      </c>
      <c r="F687" s="5">
        <v>2390000</v>
      </c>
      <c r="G687" s="5">
        <v>2390000</v>
      </c>
      <c r="H687" s="4">
        <v>1901000</v>
      </c>
      <c r="I687" s="2">
        <f t="shared" si="80"/>
        <v>0.79539748953974898</v>
      </c>
      <c r="J687" s="4">
        <v>2200000</v>
      </c>
      <c r="K687" s="2">
        <f t="shared" si="81"/>
        <v>0.92050209205020916</v>
      </c>
      <c r="L687" t="s">
        <v>1783</v>
      </c>
      <c r="M687" t="s">
        <v>432</v>
      </c>
      <c r="N687" t="b">
        <f t="shared" si="82"/>
        <v>0</v>
      </c>
    </row>
    <row r="688" spans="1:14" x14ac:dyDescent="0.15">
      <c r="A688" t="s">
        <v>9961</v>
      </c>
      <c r="B688" t="s">
        <v>9976</v>
      </c>
      <c r="C688" t="s">
        <v>11372</v>
      </c>
      <c r="D688" t="s">
        <v>23</v>
      </c>
      <c r="E688" t="s">
        <v>11373</v>
      </c>
      <c r="F688" s="5">
        <v>2550000</v>
      </c>
      <c r="G688" s="5">
        <v>2550000</v>
      </c>
      <c r="H688" s="4">
        <v>2029000</v>
      </c>
      <c r="I688" s="2">
        <f t="shared" si="80"/>
        <v>0.79568627450980389</v>
      </c>
      <c r="J688" s="4">
        <v>2029000</v>
      </c>
      <c r="K688" s="2">
        <f t="shared" si="81"/>
        <v>0.79568627450980389</v>
      </c>
      <c r="L688" t="s">
        <v>10068</v>
      </c>
      <c r="M688" t="s">
        <v>432</v>
      </c>
      <c r="N688" t="b">
        <f t="shared" si="82"/>
        <v>0</v>
      </c>
    </row>
    <row r="689" spans="1:14" x14ac:dyDescent="0.15">
      <c r="A689" t="s">
        <v>9961</v>
      </c>
      <c r="B689" t="s">
        <v>9976</v>
      </c>
      <c r="C689" t="s">
        <v>11374</v>
      </c>
      <c r="D689" t="s">
        <v>23</v>
      </c>
      <c r="E689" t="s">
        <v>11375</v>
      </c>
      <c r="F689" s="5">
        <v>2620000</v>
      </c>
      <c r="G689" s="5">
        <v>2620000</v>
      </c>
      <c r="H689" s="4">
        <v>2086000</v>
      </c>
      <c r="I689" s="2">
        <f t="shared" si="80"/>
        <v>0.79618320610687021</v>
      </c>
      <c r="J689" s="4">
        <v>2086000</v>
      </c>
      <c r="K689" s="2">
        <f t="shared" si="81"/>
        <v>0.79618320610687021</v>
      </c>
      <c r="L689" t="s">
        <v>687</v>
      </c>
      <c r="M689" t="s">
        <v>432</v>
      </c>
      <c r="N689" t="b">
        <f t="shared" si="82"/>
        <v>0</v>
      </c>
    </row>
    <row r="690" spans="1:14" x14ac:dyDescent="0.15">
      <c r="A690" t="s">
        <v>9961</v>
      </c>
      <c r="B690" t="s">
        <v>9976</v>
      </c>
      <c r="C690" t="s">
        <v>11376</v>
      </c>
      <c r="D690" t="s">
        <v>23</v>
      </c>
      <c r="E690" t="s">
        <v>11377</v>
      </c>
      <c r="F690" s="5">
        <v>2790000</v>
      </c>
      <c r="G690" s="5">
        <v>2790000</v>
      </c>
      <c r="H690" s="4">
        <v>2220000</v>
      </c>
      <c r="I690" s="2">
        <f t="shared" si="80"/>
        <v>0.79569892473118276</v>
      </c>
      <c r="J690" s="4">
        <v>2650000</v>
      </c>
      <c r="K690" s="2">
        <f t="shared" si="81"/>
        <v>0.94982078853046592</v>
      </c>
      <c r="L690" t="s">
        <v>263</v>
      </c>
      <c r="M690" t="s">
        <v>432</v>
      </c>
      <c r="N690" t="b">
        <f t="shared" si="82"/>
        <v>0</v>
      </c>
    </row>
    <row r="691" spans="1:14" x14ac:dyDescent="0.15">
      <c r="A691" t="s">
        <v>9961</v>
      </c>
      <c r="B691" t="s">
        <v>9976</v>
      </c>
      <c r="C691" t="s">
        <v>10722</v>
      </c>
      <c r="D691" t="s">
        <v>23</v>
      </c>
      <c r="E691" t="s">
        <v>11378</v>
      </c>
      <c r="F691" s="5">
        <v>2920000</v>
      </c>
      <c r="G691" s="5">
        <v>2920000</v>
      </c>
      <c r="H691" s="4">
        <v>2324000</v>
      </c>
      <c r="I691" s="2">
        <f t="shared" si="80"/>
        <v>0.79589041095890412</v>
      </c>
      <c r="J691" s="4">
        <v>2324000</v>
      </c>
      <c r="K691" s="2">
        <f t="shared" si="81"/>
        <v>0.79589041095890412</v>
      </c>
      <c r="L691" t="s">
        <v>10265</v>
      </c>
      <c r="M691" t="s">
        <v>432</v>
      </c>
      <c r="N691" t="b">
        <f t="shared" si="82"/>
        <v>0</v>
      </c>
    </row>
    <row r="692" spans="1:14" x14ac:dyDescent="0.15">
      <c r="A692" t="s">
        <v>9961</v>
      </c>
      <c r="B692" t="s">
        <v>9976</v>
      </c>
      <c r="C692" t="s">
        <v>11379</v>
      </c>
      <c r="D692" t="s">
        <v>23</v>
      </c>
      <c r="E692" t="s">
        <v>11380</v>
      </c>
      <c r="F692" s="5">
        <v>4080000</v>
      </c>
      <c r="G692" s="5">
        <v>4080000</v>
      </c>
      <c r="H692" s="4">
        <v>3192000</v>
      </c>
      <c r="I692" s="2">
        <f t="shared" si="80"/>
        <v>0.78235294117647058</v>
      </c>
      <c r="J692" s="4">
        <v>3600000</v>
      </c>
      <c r="K692" s="2">
        <f t="shared" si="81"/>
        <v>0.88235294117647056</v>
      </c>
      <c r="L692" t="s">
        <v>10084</v>
      </c>
      <c r="M692" t="s">
        <v>432</v>
      </c>
      <c r="N692" t="b">
        <f t="shared" si="82"/>
        <v>0</v>
      </c>
    </row>
    <row r="693" spans="1:14" x14ac:dyDescent="0.15">
      <c r="A693" t="s">
        <v>9961</v>
      </c>
      <c r="B693" t="s">
        <v>9976</v>
      </c>
      <c r="C693" t="s">
        <v>9979</v>
      </c>
      <c r="D693" t="s">
        <v>23</v>
      </c>
      <c r="E693" t="s">
        <v>11381</v>
      </c>
      <c r="F693" s="5">
        <v>4100000</v>
      </c>
      <c r="G693" s="5">
        <v>4100000</v>
      </c>
      <c r="H693" s="4">
        <v>3211000</v>
      </c>
      <c r="I693" s="2">
        <f t="shared" si="80"/>
        <v>0.7831707317073171</v>
      </c>
      <c r="J693" s="4">
        <v>3800000</v>
      </c>
      <c r="K693" s="2">
        <f t="shared" si="81"/>
        <v>0.92682926829268297</v>
      </c>
      <c r="L693" t="s">
        <v>1001</v>
      </c>
      <c r="M693" t="s">
        <v>432</v>
      </c>
      <c r="N693" t="b">
        <f t="shared" si="82"/>
        <v>0</v>
      </c>
    </row>
    <row r="694" spans="1:14" x14ac:dyDescent="0.15">
      <c r="A694" t="s">
        <v>9961</v>
      </c>
      <c r="B694" t="s">
        <v>10021</v>
      </c>
      <c r="C694" t="s">
        <v>11382</v>
      </c>
      <c r="D694" t="s">
        <v>23</v>
      </c>
      <c r="E694" t="s">
        <v>11383</v>
      </c>
      <c r="F694" s="5" t="str">
        <f>G694</f>
        <v>********</v>
      </c>
      <c r="G694" s="5" t="s">
        <v>145</v>
      </c>
      <c r="H694" t="s">
        <v>145</v>
      </c>
      <c r="I694" s="2" t="e">
        <f t="shared" si="80"/>
        <v>#VALUE!</v>
      </c>
      <c r="J694" s="4">
        <v>3550000</v>
      </c>
      <c r="K694" s="2" t="e">
        <f t="shared" si="81"/>
        <v>#VALUE!</v>
      </c>
      <c r="L694" t="s">
        <v>5186</v>
      </c>
      <c r="M694" t="s">
        <v>432</v>
      </c>
      <c r="N694" t="b">
        <f t="shared" si="82"/>
        <v>0</v>
      </c>
    </row>
    <row r="695" spans="1:14" x14ac:dyDescent="0.15">
      <c r="A695" t="s">
        <v>9961</v>
      </c>
      <c r="B695" t="s">
        <v>9967</v>
      </c>
      <c r="C695" t="s">
        <v>11384</v>
      </c>
      <c r="D695" t="s">
        <v>23</v>
      </c>
      <c r="E695" t="s">
        <v>11385</v>
      </c>
      <c r="F695" s="5">
        <v>3210000</v>
      </c>
      <c r="G695" s="5">
        <v>3210000</v>
      </c>
      <c r="H695" s="4">
        <v>2554000</v>
      </c>
      <c r="I695" s="2">
        <f t="shared" si="80"/>
        <v>0.79563862928348905</v>
      </c>
      <c r="J695" s="4">
        <v>3000000</v>
      </c>
      <c r="K695" s="2">
        <f t="shared" si="81"/>
        <v>0.93457943925233644</v>
      </c>
      <c r="L695" t="s">
        <v>1541</v>
      </c>
      <c r="M695" t="s">
        <v>432</v>
      </c>
      <c r="N695" t="b">
        <f t="shared" si="82"/>
        <v>0</v>
      </c>
    </row>
    <row r="696" spans="1:14" x14ac:dyDescent="0.15">
      <c r="A696" t="s">
        <v>9961</v>
      </c>
      <c r="B696" t="s">
        <v>9967</v>
      </c>
      <c r="C696" t="s">
        <v>11386</v>
      </c>
      <c r="D696" t="s">
        <v>23</v>
      </c>
      <c r="E696" t="s">
        <v>11387</v>
      </c>
      <c r="F696" s="5">
        <v>6350000</v>
      </c>
      <c r="G696" s="5">
        <v>6350000</v>
      </c>
      <c r="H696" s="4">
        <v>5052000</v>
      </c>
      <c r="I696" s="2">
        <f t="shared" si="80"/>
        <v>0.79559055118110233</v>
      </c>
      <c r="J696" s="4">
        <v>6030000</v>
      </c>
      <c r="K696" s="2">
        <f t="shared" si="81"/>
        <v>0.94960629921259843</v>
      </c>
      <c r="L696" t="s">
        <v>10068</v>
      </c>
      <c r="M696" t="s">
        <v>165</v>
      </c>
      <c r="N696" t="b">
        <f t="shared" si="82"/>
        <v>0</v>
      </c>
    </row>
    <row r="697" spans="1:14" x14ac:dyDescent="0.15">
      <c r="A697" t="s">
        <v>9961</v>
      </c>
      <c r="B697" t="s">
        <v>9967</v>
      </c>
      <c r="C697" t="s">
        <v>11388</v>
      </c>
      <c r="D697" t="s">
        <v>23</v>
      </c>
      <c r="E697" t="s">
        <v>11389</v>
      </c>
      <c r="F697" s="5">
        <v>6580000</v>
      </c>
      <c r="G697" s="5">
        <v>6580000</v>
      </c>
      <c r="H697" s="4">
        <v>5237000</v>
      </c>
      <c r="I697" s="2">
        <f t="shared" si="80"/>
        <v>0.79589665653495445</v>
      </c>
      <c r="J697" s="4">
        <v>5238000</v>
      </c>
      <c r="K697" s="2">
        <f t="shared" si="81"/>
        <v>0.79604863221884503</v>
      </c>
      <c r="L697" t="s">
        <v>64</v>
      </c>
      <c r="M697" t="s">
        <v>165</v>
      </c>
      <c r="N697" t="b">
        <f t="shared" si="82"/>
        <v>0</v>
      </c>
    </row>
    <row r="698" spans="1:14" x14ac:dyDescent="0.15">
      <c r="A698" t="s">
        <v>9961</v>
      </c>
      <c r="B698" t="s">
        <v>9967</v>
      </c>
      <c r="C698" t="s">
        <v>11390</v>
      </c>
      <c r="D698" t="s">
        <v>118</v>
      </c>
      <c r="E698" t="s">
        <v>11391</v>
      </c>
      <c r="F698" s="5">
        <v>12090000</v>
      </c>
      <c r="G698" s="5">
        <v>12090000</v>
      </c>
      <c r="H698" s="4">
        <v>9628000</v>
      </c>
      <c r="I698" s="2">
        <f t="shared" si="80"/>
        <v>0.79636062861869317</v>
      </c>
      <c r="J698" s="4">
        <v>10600000</v>
      </c>
      <c r="K698" s="2">
        <f t="shared" si="81"/>
        <v>0.87675765095119929</v>
      </c>
      <c r="L698" t="s">
        <v>1541</v>
      </c>
      <c r="M698" t="s">
        <v>41</v>
      </c>
      <c r="N698" t="b">
        <f t="shared" si="82"/>
        <v>0</v>
      </c>
    </row>
    <row r="699" spans="1:14" x14ac:dyDescent="0.15">
      <c r="A699" t="s">
        <v>9961</v>
      </c>
      <c r="B699" t="s">
        <v>9967</v>
      </c>
      <c r="C699" t="s">
        <v>11392</v>
      </c>
      <c r="D699" t="s">
        <v>118</v>
      </c>
      <c r="E699" t="s">
        <v>11393</v>
      </c>
      <c r="F699" s="5">
        <v>11790000</v>
      </c>
      <c r="G699" s="5">
        <v>11790000</v>
      </c>
      <c r="H699" s="4">
        <v>9299000</v>
      </c>
      <c r="I699" s="2">
        <f t="shared" si="80"/>
        <v>0.78871925360474981</v>
      </c>
      <c r="J699" s="4">
        <v>9299000</v>
      </c>
      <c r="K699" s="2">
        <f t="shared" si="81"/>
        <v>0.78871925360474981</v>
      </c>
      <c r="L699" t="s">
        <v>64</v>
      </c>
      <c r="M699" t="s">
        <v>313</v>
      </c>
      <c r="N699" t="b">
        <f t="shared" si="82"/>
        <v>0</v>
      </c>
    </row>
    <row r="700" spans="1:14" x14ac:dyDescent="0.15">
      <c r="A700" t="s">
        <v>9961</v>
      </c>
      <c r="B700" t="s">
        <v>10257</v>
      </c>
      <c r="C700" t="s">
        <v>11394</v>
      </c>
      <c r="D700" t="s">
        <v>23</v>
      </c>
      <c r="E700" t="s">
        <v>11395</v>
      </c>
      <c r="F700" s="5" t="str">
        <f t="shared" ref="F700:F701" si="87">G700</f>
        <v>********</v>
      </c>
      <c r="G700" s="5" t="s">
        <v>145</v>
      </c>
      <c r="H700" s="4">
        <v>3524000</v>
      </c>
      <c r="I700" s="2" t="e">
        <f t="shared" si="80"/>
        <v>#VALUE!</v>
      </c>
      <c r="J700" s="4">
        <v>3524000</v>
      </c>
      <c r="K700" s="2" t="e">
        <f t="shared" si="81"/>
        <v>#VALUE!</v>
      </c>
      <c r="L700" t="s">
        <v>332</v>
      </c>
      <c r="M700" t="s">
        <v>432</v>
      </c>
      <c r="N700" t="b">
        <f t="shared" si="82"/>
        <v>0</v>
      </c>
    </row>
    <row r="701" spans="1:14" x14ac:dyDescent="0.15">
      <c r="A701" t="s">
        <v>9961</v>
      </c>
      <c r="B701" t="s">
        <v>10257</v>
      </c>
      <c r="C701" t="s">
        <v>11396</v>
      </c>
      <c r="D701" t="s">
        <v>23</v>
      </c>
      <c r="E701" t="s">
        <v>11397</v>
      </c>
      <c r="F701" s="5" t="str">
        <f t="shared" si="87"/>
        <v>********</v>
      </c>
      <c r="G701" s="5" t="s">
        <v>145</v>
      </c>
      <c r="H701" s="4">
        <v>8155000</v>
      </c>
      <c r="I701" s="2" t="e">
        <f t="shared" si="80"/>
        <v>#VALUE!</v>
      </c>
      <c r="J701" s="4">
        <v>9400000</v>
      </c>
      <c r="K701" s="2" t="e">
        <f t="shared" si="81"/>
        <v>#VALUE!</v>
      </c>
      <c r="L701" t="s">
        <v>215</v>
      </c>
      <c r="M701" t="s">
        <v>192</v>
      </c>
      <c r="N701" t="b">
        <f t="shared" si="82"/>
        <v>0</v>
      </c>
    </row>
    <row r="702" spans="1:14" x14ac:dyDescent="0.15">
      <c r="A702" t="s">
        <v>9961</v>
      </c>
      <c r="B702" t="s">
        <v>9976</v>
      </c>
      <c r="C702" t="s">
        <v>10594</v>
      </c>
      <c r="D702" t="s">
        <v>118</v>
      </c>
      <c r="E702" t="s">
        <v>11398</v>
      </c>
      <c r="F702" s="5">
        <v>9350000</v>
      </c>
      <c r="G702" s="5">
        <v>9350000</v>
      </c>
      <c r="H702" s="4">
        <v>7436000</v>
      </c>
      <c r="I702" s="2">
        <f t="shared" si="80"/>
        <v>0.79529411764705882</v>
      </c>
      <c r="J702" s="4">
        <v>7900000</v>
      </c>
      <c r="K702" s="2">
        <f t="shared" si="81"/>
        <v>0.84491978609625673</v>
      </c>
      <c r="L702" t="s">
        <v>4415</v>
      </c>
      <c r="M702" t="s">
        <v>165</v>
      </c>
      <c r="N702" t="b">
        <f t="shared" si="82"/>
        <v>0</v>
      </c>
    </row>
    <row r="703" spans="1:14" x14ac:dyDescent="0.15">
      <c r="A703" t="s">
        <v>9961</v>
      </c>
      <c r="B703" t="s">
        <v>9976</v>
      </c>
      <c r="C703" t="s">
        <v>11399</v>
      </c>
      <c r="D703" t="s">
        <v>118</v>
      </c>
      <c r="E703" t="s">
        <v>11400</v>
      </c>
      <c r="F703" s="5">
        <v>16000000</v>
      </c>
      <c r="G703" s="5">
        <v>16000000</v>
      </c>
      <c r="H703" s="4">
        <v>12725000</v>
      </c>
      <c r="I703" s="2">
        <f t="shared" si="80"/>
        <v>0.79531249999999998</v>
      </c>
      <c r="J703" s="4">
        <v>12725000</v>
      </c>
      <c r="K703" s="2">
        <f t="shared" si="81"/>
        <v>0.79531249999999998</v>
      </c>
      <c r="L703" t="s">
        <v>1541</v>
      </c>
      <c r="M703" t="s">
        <v>126</v>
      </c>
      <c r="N703" t="b">
        <f t="shared" si="82"/>
        <v>0</v>
      </c>
    </row>
    <row r="704" spans="1:14" x14ac:dyDescent="0.15">
      <c r="A704" t="s">
        <v>9961</v>
      </c>
      <c r="B704" t="s">
        <v>9976</v>
      </c>
      <c r="C704" t="s">
        <v>11401</v>
      </c>
      <c r="D704" t="s">
        <v>118</v>
      </c>
      <c r="E704" t="s">
        <v>11402</v>
      </c>
      <c r="F704" s="5">
        <v>47630000</v>
      </c>
      <c r="G704" s="5">
        <v>47630000</v>
      </c>
      <c r="H704" s="4">
        <v>37879000</v>
      </c>
      <c r="I704" s="2">
        <f t="shared" si="80"/>
        <v>0.79527608650010495</v>
      </c>
      <c r="J704" s="4">
        <v>37879000</v>
      </c>
      <c r="K704" s="2">
        <f t="shared" si="81"/>
        <v>0.79527608650010495</v>
      </c>
      <c r="L704" t="s">
        <v>1541</v>
      </c>
      <c r="M704" t="s">
        <v>165</v>
      </c>
      <c r="N704" t="b">
        <f t="shared" si="82"/>
        <v>0</v>
      </c>
    </row>
    <row r="705" spans="1:14" x14ac:dyDescent="0.15">
      <c r="A705" t="s">
        <v>9961</v>
      </c>
      <c r="B705" t="s">
        <v>10177</v>
      </c>
      <c r="C705" t="s">
        <v>11403</v>
      </c>
      <c r="D705" t="s">
        <v>23</v>
      </c>
      <c r="E705" t="s">
        <v>11404</v>
      </c>
      <c r="F705" s="5" t="str">
        <f t="shared" ref="F705:F711" si="88">G705</f>
        <v>********</v>
      </c>
      <c r="G705" s="5" t="s">
        <v>145</v>
      </c>
      <c r="H705" t="s">
        <v>145</v>
      </c>
      <c r="I705" s="2" t="e">
        <f t="shared" si="80"/>
        <v>#VALUE!</v>
      </c>
      <c r="J705" s="4">
        <v>2250000</v>
      </c>
      <c r="K705" s="2" t="e">
        <f t="shared" si="81"/>
        <v>#VALUE!</v>
      </c>
      <c r="L705" t="s">
        <v>903</v>
      </c>
      <c r="M705" t="s">
        <v>432</v>
      </c>
      <c r="N705" t="b">
        <f t="shared" si="82"/>
        <v>0</v>
      </c>
    </row>
    <row r="706" spans="1:14" x14ac:dyDescent="0.15">
      <c r="A706" t="s">
        <v>9961</v>
      </c>
      <c r="B706" t="s">
        <v>10304</v>
      </c>
      <c r="C706" t="s">
        <v>11405</v>
      </c>
      <c r="D706" t="s">
        <v>23</v>
      </c>
      <c r="E706" t="s">
        <v>11406</v>
      </c>
      <c r="F706" s="5" t="str">
        <f t="shared" si="88"/>
        <v>********</v>
      </c>
      <c r="G706" s="5" t="s">
        <v>145</v>
      </c>
      <c r="H706" t="s">
        <v>145</v>
      </c>
      <c r="I706" s="2" t="e">
        <f t="shared" si="80"/>
        <v>#VALUE!</v>
      </c>
      <c r="J706" s="4">
        <v>8800000</v>
      </c>
      <c r="K706" s="2" t="e">
        <f t="shared" si="81"/>
        <v>#VALUE!</v>
      </c>
      <c r="L706" t="s">
        <v>1236</v>
      </c>
      <c r="M706" t="s">
        <v>80</v>
      </c>
      <c r="N706" t="b">
        <f t="shared" si="82"/>
        <v>0</v>
      </c>
    </row>
    <row r="707" spans="1:14" x14ac:dyDescent="0.15">
      <c r="A707" t="s">
        <v>9961</v>
      </c>
      <c r="B707" t="s">
        <v>10675</v>
      </c>
      <c r="C707" t="s">
        <v>11407</v>
      </c>
      <c r="D707" t="s">
        <v>23</v>
      </c>
      <c r="E707" t="s">
        <v>11408</v>
      </c>
      <c r="F707" s="5" t="str">
        <f t="shared" si="88"/>
        <v>********</v>
      </c>
      <c r="G707" s="5" t="s">
        <v>145</v>
      </c>
      <c r="H707" t="s">
        <v>145</v>
      </c>
      <c r="I707" s="2" t="e">
        <f t="shared" si="80"/>
        <v>#VALUE!</v>
      </c>
      <c r="J707" s="4">
        <v>6888000</v>
      </c>
      <c r="K707" s="2" t="e">
        <f t="shared" si="81"/>
        <v>#VALUE!</v>
      </c>
      <c r="L707" t="s">
        <v>173</v>
      </c>
      <c r="M707" t="s">
        <v>80</v>
      </c>
      <c r="N707" t="b">
        <f t="shared" si="82"/>
        <v>0</v>
      </c>
    </row>
    <row r="708" spans="1:14" x14ac:dyDescent="0.15">
      <c r="A708" t="s">
        <v>9961</v>
      </c>
      <c r="B708" t="s">
        <v>10141</v>
      </c>
      <c r="C708" t="s">
        <v>11409</v>
      </c>
      <c r="D708" t="s">
        <v>23</v>
      </c>
      <c r="E708" t="s">
        <v>11410</v>
      </c>
      <c r="F708" s="5" t="str">
        <f t="shared" si="88"/>
        <v>********</v>
      </c>
      <c r="G708" s="5" t="s">
        <v>145</v>
      </c>
      <c r="H708" t="s">
        <v>145</v>
      </c>
      <c r="I708" s="2" t="e">
        <f t="shared" ref="I708:I771" si="89">H708/G708</f>
        <v>#VALUE!</v>
      </c>
      <c r="J708" s="4">
        <v>17900000</v>
      </c>
      <c r="K708" s="2" t="e">
        <f t="shared" ref="K708:K771" si="90">J708/G708</f>
        <v>#VALUE!</v>
      </c>
      <c r="L708" t="s">
        <v>1800</v>
      </c>
      <c r="M708" t="s">
        <v>80</v>
      </c>
      <c r="N708" t="b">
        <f t="shared" ref="N708:N771" si="91">F708&lt;&gt;G708</f>
        <v>0</v>
      </c>
    </row>
    <row r="709" spans="1:14" x14ac:dyDescent="0.15">
      <c r="A709" t="s">
        <v>9961</v>
      </c>
      <c r="B709" t="s">
        <v>9964</v>
      </c>
      <c r="C709" t="s">
        <v>11411</v>
      </c>
      <c r="D709" t="s">
        <v>23</v>
      </c>
      <c r="E709" t="s">
        <v>11412</v>
      </c>
      <c r="F709" s="5" t="str">
        <f t="shared" si="88"/>
        <v>********</v>
      </c>
      <c r="G709" s="5" t="s">
        <v>145</v>
      </c>
      <c r="H709" t="s">
        <v>145</v>
      </c>
      <c r="I709" s="2" t="e">
        <f t="shared" si="89"/>
        <v>#VALUE!</v>
      </c>
      <c r="J709" s="4">
        <v>3947000</v>
      </c>
      <c r="K709" s="2" t="e">
        <f t="shared" si="90"/>
        <v>#VALUE!</v>
      </c>
      <c r="L709" t="s">
        <v>256</v>
      </c>
      <c r="M709" t="s">
        <v>192</v>
      </c>
      <c r="N709" t="b">
        <f t="shared" si="91"/>
        <v>0</v>
      </c>
    </row>
    <row r="710" spans="1:14" x14ac:dyDescent="0.15">
      <c r="A710" t="s">
        <v>9961</v>
      </c>
      <c r="B710" t="s">
        <v>9964</v>
      </c>
      <c r="C710" t="s">
        <v>11413</v>
      </c>
      <c r="D710" t="s">
        <v>23</v>
      </c>
      <c r="E710" t="s">
        <v>11414</v>
      </c>
      <c r="F710" s="5" t="str">
        <f t="shared" si="88"/>
        <v>********</v>
      </c>
      <c r="G710" s="5" t="s">
        <v>145</v>
      </c>
      <c r="H710" t="s">
        <v>145</v>
      </c>
      <c r="I710" s="2" t="e">
        <f t="shared" si="89"/>
        <v>#VALUE!</v>
      </c>
      <c r="J710" s="4">
        <v>5160000</v>
      </c>
      <c r="K710" s="2" t="e">
        <f t="shared" si="90"/>
        <v>#VALUE!</v>
      </c>
      <c r="L710" t="s">
        <v>1718</v>
      </c>
      <c r="M710" t="s">
        <v>192</v>
      </c>
      <c r="N710" t="b">
        <f t="shared" si="91"/>
        <v>0</v>
      </c>
    </row>
    <row r="711" spans="1:14" x14ac:dyDescent="0.15">
      <c r="A711" t="s">
        <v>9961</v>
      </c>
      <c r="B711" t="s">
        <v>10174</v>
      </c>
      <c r="C711" t="s">
        <v>11415</v>
      </c>
      <c r="D711" t="s">
        <v>23</v>
      </c>
      <c r="E711" t="s">
        <v>11416</v>
      </c>
      <c r="F711" s="5" t="str">
        <f t="shared" si="88"/>
        <v>********</v>
      </c>
      <c r="G711" s="5" t="s">
        <v>145</v>
      </c>
      <c r="H711" t="s">
        <v>145</v>
      </c>
      <c r="I711" s="2" t="e">
        <f t="shared" si="89"/>
        <v>#VALUE!</v>
      </c>
      <c r="J711" s="4">
        <v>4300000</v>
      </c>
      <c r="K711" s="2" t="e">
        <f t="shared" si="90"/>
        <v>#VALUE!</v>
      </c>
      <c r="L711" t="s">
        <v>64</v>
      </c>
      <c r="M711" t="s">
        <v>192</v>
      </c>
      <c r="N711" t="b">
        <f t="shared" si="91"/>
        <v>0</v>
      </c>
    </row>
    <row r="712" spans="1:14" x14ac:dyDescent="0.15">
      <c r="A712" t="s">
        <v>9961</v>
      </c>
      <c r="B712" t="s">
        <v>10048</v>
      </c>
      <c r="C712" t="s">
        <v>11417</v>
      </c>
      <c r="D712" t="s">
        <v>23</v>
      </c>
      <c r="E712" t="s">
        <v>11418</v>
      </c>
      <c r="F712" s="5" t="s">
        <v>145</v>
      </c>
      <c r="G712" s="5" t="s">
        <v>145</v>
      </c>
      <c r="H712" t="s">
        <v>145</v>
      </c>
      <c r="I712" s="2" t="e">
        <f t="shared" si="89"/>
        <v>#VALUE!</v>
      </c>
      <c r="J712" s="4">
        <v>3477000</v>
      </c>
      <c r="K712" s="2" t="e">
        <f t="shared" si="90"/>
        <v>#VALUE!</v>
      </c>
      <c r="L712" t="s">
        <v>4042</v>
      </c>
      <c r="M712" t="s">
        <v>192</v>
      </c>
      <c r="N712" t="b">
        <f t="shared" si="91"/>
        <v>0</v>
      </c>
    </row>
    <row r="713" spans="1:14" x14ac:dyDescent="0.15">
      <c r="A713" t="s">
        <v>9961</v>
      </c>
      <c r="B713" t="s">
        <v>10048</v>
      </c>
      <c r="C713" t="s">
        <v>11419</v>
      </c>
      <c r="D713" t="s">
        <v>23</v>
      </c>
      <c r="E713" t="s">
        <v>11420</v>
      </c>
      <c r="F713" s="5" t="s">
        <v>145</v>
      </c>
      <c r="G713" s="5" t="s">
        <v>145</v>
      </c>
      <c r="H713" t="s">
        <v>145</v>
      </c>
      <c r="I713" s="2" t="e">
        <f t="shared" si="89"/>
        <v>#VALUE!</v>
      </c>
      <c r="J713" s="4">
        <v>3600000</v>
      </c>
      <c r="K713" s="2" t="e">
        <f t="shared" si="90"/>
        <v>#VALUE!</v>
      </c>
      <c r="L713" t="s">
        <v>360</v>
      </c>
      <c r="M713" t="s">
        <v>192</v>
      </c>
      <c r="N713" t="b">
        <f t="shared" si="91"/>
        <v>0</v>
      </c>
    </row>
    <row r="714" spans="1:14" x14ac:dyDescent="0.15">
      <c r="A714" t="s">
        <v>9961</v>
      </c>
      <c r="B714" t="s">
        <v>9967</v>
      </c>
      <c r="C714" t="s">
        <v>11421</v>
      </c>
      <c r="D714" t="s">
        <v>23</v>
      </c>
      <c r="E714" t="s">
        <v>11422</v>
      </c>
      <c r="F714" s="5">
        <v>6220000</v>
      </c>
      <c r="G714" s="5">
        <v>6220000</v>
      </c>
      <c r="H714" s="4">
        <v>4950000</v>
      </c>
      <c r="I714" s="2">
        <f t="shared" si="89"/>
        <v>0.79581993569131837</v>
      </c>
      <c r="J714" s="4">
        <v>5840000</v>
      </c>
      <c r="K714" s="2">
        <f t="shared" si="90"/>
        <v>0.93890675241157562</v>
      </c>
      <c r="L714" t="s">
        <v>1541</v>
      </c>
      <c r="M714" t="s">
        <v>165</v>
      </c>
      <c r="N714" t="b">
        <f t="shared" si="91"/>
        <v>0</v>
      </c>
    </row>
    <row r="715" spans="1:14" x14ac:dyDescent="0.15">
      <c r="A715" t="s">
        <v>9961</v>
      </c>
      <c r="B715" t="s">
        <v>9967</v>
      </c>
      <c r="C715" t="s">
        <v>11423</v>
      </c>
      <c r="D715" t="s">
        <v>23</v>
      </c>
      <c r="E715" t="s">
        <v>11424</v>
      </c>
      <c r="F715" s="5">
        <v>7160000</v>
      </c>
      <c r="G715" s="5">
        <v>7160000</v>
      </c>
      <c r="H715" s="4">
        <v>5698000</v>
      </c>
      <c r="I715" s="2">
        <f t="shared" si="89"/>
        <v>0.79581005586592179</v>
      </c>
      <c r="J715" s="4">
        <v>6450000</v>
      </c>
      <c r="K715" s="2">
        <f t="shared" si="90"/>
        <v>0.90083798882681565</v>
      </c>
      <c r="L715" t="s">
        <v>256</v>
      </c>
      <c r="M715" t="s">
        <v>165</v>
      </c>
      <c r="N715" t="b">
        <f t="shared" si="91"/>
        <v>0</v>
      </c>
    </row>
    <row r="716" spans="1:14" x14ac:dyDescent="0.15">
      <c r="A716" t="s">
        <v>9961</v>
      </c>
      <c r="B716" t="s">
        <v>9967</v>
      </c>
      <c r="C716" t="s">
        <v>11425</v>
      </c>
      <c r="D716" t="s">
        <v>23</v>
      </c>
      <c r="E716" t="s">
        <v>11426</v>
      </c>
      <c r="F716" s="5">
        <v>8660000</v>
      </c>
      <c r="G716" s="5">
        <v>8660000</v>
      </c>
      <c r="H716" s="4">
        <v>6820000</v>
      </c>
      <c r="I716" s="2">
        <f t="shared" si="89"/>
        <v>0.78752886836027713</v>
      </c>
      <c r="J716" s="4">
        <v>7360000</v>
      </c>
      <c r="K716" s="2">
        <f t="shared" si="90"/>
        <v>0.84988452655889146</v>
      </c>
      <c r="L716" t="s">
        <v>6388</v>
      </c>
      <c r="M716" t="s">
        <v>165</v>
      </c>
      <c r="N716" t="b">
        <f t="shared" si="91"/>
        <v>0</v>
      </c>
    </row>
    <row r="717" spans="1:14" x14ac:dyDescent="0.15">
      <c r="A717" t="s">
        <v>9961</v>
      </c>
      <c r="B717" t="s">
        <v>9967</v>
      </c>
      <c r="C717" t="s">
        <v>11427</v>
      </c>
      <c r="D717" t="s">
        <v>23</v>
      </c>
      <c r="E717" t="s">
        <v>11428</v>
      </c>
      <c r="F717" s="5">
        <v>4010000</v>
      </c>
      <c r="G717" s="5">
        <v>4010000</v>
      </c>
      <c r="H717" s="4">
        <v>3149000</v>
      </c>
      <c r="I717" s="2">
        <f t="shared" si="89"/>
        <v>0.78528678304239397</v>
      </c>
      <c r="J717" s="4">
        <v>3550000</v>
      </c>
      <c r="K717" s="2">
        <f t="shared" si="90"/>
        <v>0.88528678304239405</v>
      </c>
      <c r="L717" t="s">
        <v>687</v>
      </c>
      <c r="M717" t="s">
        <v>165</v>
      </c>
      <c r="N717" t="b">
        <f t="shared" si="91"/>
        <v>0</v>
      </c>
    </row>
    <row r="718" spans="1:14" x14ac:dyDescent="0.15">
      <c r="A718" t="s">
        <v>9961</v>
      </c>
      <c r="B718" t="s">
        <v>9967</v>
      </c>
      <c r="C718" t="s">
        <v>11429</v>
      </c>
      <c r="D718" t="s">
        <v>23</v>
      </c>
      <c r="E718" t="s">
        <v>11430</v>
      </c>
      <c r="F718" s="5">
        <v>6930000</v>
      </c>
      <c r="G718" s="5">
        <v>6930000</v>
      </c>
      <c r="H718" s="4">
        <v>5431000</v>
      </c>
      <c r="I718" s="2">
        <f t="shared" si="89"/>
        <v>0.78369408369408367</v>
      </c>
      <c r="J718" s="4">
        <v>6090000</v>
      </c>
      <c r="K718" s="2">
        <f t="shared" si="90"/>
        <v>0.87878787878787878</v>
      </c>
      <c r="L718" t="s">
        <v>10100</v>
      </c>
      <c r="M718" t="s">
        <v>165</v>
      </c>
      <c r="N718" t="b">
        <f t="shared" si="91"/>
        <v>0</v>
      </c>
    </row>
    <row r="719" spans="1:14" x14ac:dyDescent="0.15">
      <c r="A719" t="s">
        <v>9961</v>
      </c>
      <c r="B719" t="s">
        <v>10051</v>
      </c>
      <c r="C719" t="s">
        <v>11431</v>
      </c>
      <c r="D719" t="s">
        <v>23</v>
      </c>
      <c r="E719" t="s">
        <v>11432</v>
      </c>
      <c r="F719" s="5" t="str">
        <f t="shared" ref="F719:F729" si="92">G719</f>
        <v>********</v>
      </c>
      <c r="G719" s="5" t="s">
        <v>145</v>
      </c>
      <c r="H719" t="s">
        <v>145</v>
      </c>
      <c r="I719" s="2" t="e">
        <f t="shared" si="89"/>
        <v>#VALUE!</v>
      </c>
      <c r="J719" s="4">
        <v>11970000</v>
      </c>
      <c r="K719" s="2" t="e">
        <f t="shared" si="90"/>
        <v>#VALUE!</v>
      </c>
      <c r="L719" t="s">
        <v>1078</v>
      </c>
      <c r="M719" t="s">
        <v>80</v>
      </c>
      <c r="N719" t="b">
        <f t="shared" si="91"/>
        <v>0</v>
      </c>
    </row>
    <row r="720" spans="1:14" x14ac:dyDescent="0.15">
      <c r="A720" t="s">
        <v>9961</v>
      </c>
      <c r="B720" t="s">
        <v>10051</v>
      </c>
      <c r="C720" t="s">
        <v>11433</v>
      </c>
      <c r="D720" t="s">
        <v>23</v>
      </c>
      <c r="E720" t="s">
        <v>11434</v>
      </c>
      <c r="F720" s="5" t="str">
        <f t="shared" si="92"/>
        <v>********</v>
      </c>
      <c r="G720" s="5" t="s">
        <v>145</v>
      </c>
      <c r="H720" t="s">
        <v>145</v>
      </c>
      <c r="I720" s="2" t="e">
        <f t="shared" si="89"/>
        <v>#VALUE!</v>
      </c>
      <c r="J720" s="4">
        <v>34000000</v>
      </c>
      <c r="K720" s="2" t="e">
        <f t="shared" si="90"/>
        <v>#VALUE!</v>
      </c>
      <c r="L720" t="s">
        <v>1321</v>
      </c>
      <c r="M720" t="s">
        <v>80</v>
      </c>
      <c r="N720" t="b">
        <f t="shared" si="91"/>
        <v>0</v>
      </c>
    </row>
    <row r="721" spans="1:14" x14ac:dyDescent="0.15">
      <c r="A721" t="s">
        <v>9961</v>
      </c>
      <c r="B721" t="s">
        <v>10051</v>
      </c>
      <c r="C721" t="s">
        <v>11435</v>
      </c>
      <c r="D721" t="s">
        <v>23</v>
      </c>
      <c r="E721" t="s">
        <v>11436</v>
      </c>
      <c r="F721" s="5" t="str">
        <f t="shared" si="92"/>
        <v>********</v>
      </c>
      <c r="G721" s="5" t="s">
        <v>145</v>
      </c>
      <c r="H721" t="s">
        <v>145</v>
      </c>
      <c r="I721" s="2" t="e">
        <f t="shared" si="89"/>
        <v>#VALUE!</v>
      </c>
      <c r="J721" s="4">
        <v>25500000</v>
      </c>
      <c r="K721" s="2" t="e">
        <f t="shared" si="90"/>
        <v>#VALUE!</v>
      </c>
      <c r="L721" t="s">
        <v>10364</v>
      </c>
      <c r="M721" t="s">
        <v>80</v>
      </c>
      <c r="N721" t="b">
        <f t="shared" si="91"/>
        <v>0</v>
      </c>
    </row>
    <row r="722" spans="1:14" x14ac:dyDescent="0.15">
      <c r="A722" t="s">
        <v>9961</v>
      </c>
      <c r="B722" t="s">
        <v>10257</v>
      </c>
      <c r="C722" t="s">
        <v>11437</v>
      </c>
      <c r="D722" t="s">
        <v>23</v>
      </c>
      <c r="E722" t="s">
        <v>11438</v>
      </c>
      <c r="F722" s="5" t="str">
        <f t="shared" si="92"/>
        <v>********</v>
      </c>
      <c r="G722" s="5" t="s">
        <v>145</v>
      </c>
      <c r="H722" s="4">
        <v>2770000</v>
      </c>
      <c r="I722" s="2" t="e">
        <f t="shared" si="89"/>
        <v>#VALUE!</v>
      </c>
      <c r="J722" s="4">
        <v>2780000</v>
      </c>
      <c r="K722" s="2" t="e">
        <f t="shared" si="90"/>
        <v>#VALUE!</v>
      </c>
      <c r="L722" t="s">
        <v>231</v>
      </c>
      <c r="M722" t="s">
        <v>432</v>
      </c>
      <c r="N722" t="b">
        <f t="shared" si="91"/>
        <v>0</v>
      </c>
    </row>
    <row r="723" spans="1:14" x14ac:dyDescent="0.15">
      <c r="A723" t="s">
        <v>9961</v>
      </c>
      <c r="B723" t="s">
        <v>10257</v>
      </c>
      <c r="C723" t="s">
        <v>11439</v>
      </c>
      <c r="D723" t="s">
        <v>23</v>
      </c>
      <c r="E723" t="s">
        <v>11440</v>
      </c>
      <c r="F723" s="5" t="str">
        <f t="shared" si="92"/>
        <v>********</v>
      </c>
      <c r="G723" s="5" t="s">
        <v>145</v>
      </c>
      <c r="H723" s="4">
        <v>8356000</v>
      </c>
      <c r="I723" s="2" t="e">
        <f t="shared" si="89"/>
        <v>#VALUE!</v>
      </c>
      <c r="J723" s="4">
        <v>8356000</v>
      </c>
      <c r="K723" s="2" t="e">
        <f t="shared" si="90"/>
        <v>#VALUE!</v>
      </c>
      <c r="L723" t="s">
        <v>540</v>
      </c>
      <c r="M723" t="s">
        <v>192</v>
      </c>
      <c r="N723" t="b">
        <f t="shared" si="91"/>
        <v>0</v>
      </c>
    </row>
    <row r="724" spans="1:14" x14ac:dyDescent="0.15">
      <c r="A724" t="s">
        <v>9961</v>
      </c>
      <c r="B724" t="s">
        <v>10063</v>
      </c>
      <c r="C724" t="s">
        <v>11441</v>
      </c>
      <c r="D724" t="s">
        <v>23</v>
      </c>
      <c r="E724" t="s">
        <v>11442</v>
      </c>
      <c r="F724" s="5" t="str">
        <f t="shared" si="92"/>
        <v>********</v>
      </c>
      <c r="G724" s="5" t="s">
        <v>145</v>
      </c>
      <c r="H724" t="s">
        <v>145</v>
      </c>
      <c r="I724" s="2" t="e">
        <f t="shared" si="89"/>
        <v>#VALUE!</v>
      </c>
      <c r="J724" s="4">
        <v>4300000</v>
      </c>
      <c r="K724" s="2" t="e">
        <f t="shared" si="90"/>
        <v>#VALUE!</v>
      </c>
      <c r="L724" t="s">
        <v>10712</v>
      </c>
      <c r="M724" t="s">
        <v>192</v>
      </c>
      <c r="N724" t="b">
        <f t="shared" si="91"/>
        <v>0</v>
      </c>
    </row>
    <row r="725" spans="1:14" x14ac:dyDescent="0.15">
      <c r="A725" t="s">
        <v>9961</v>
      </c>
      <c r="B725" t="s">
        <v>10063</v>
      </c>
      <c r="C725" t="s">
        <v>11443</v>
      </c>
      <c r="D725" t="s">
        <v>23</v>
      </c>
      <c r="E725" t="s">
        <v>11444</v>
      </c>
      <c r="F725" s="5" t="str">
        <f t="shared" si="92"/>
        <v>********</v>
      </c>
      <c r="G725" s="5" t="s">
        <v>145</v>
      </c>
      <c r="H725" t="s">
        <v>145</v>
      </c>
      <c r="I725" s="2" t="e">
        <f t="shared" si="89"/>
        <v>#VALUE!</v>
      </c>
      <c r="J725" s="4">
        <v>16490000</v>
      </c>
      <c r="K725" s="2" t="e">
        <f t="shared" si="90"/>
        <v>#VALUE!</v>
      </c>
      <c r="L725" t="s">
        <v>1030</v>
      </c>
      <c r="M725" t="s">
        <v>80</v>
      </c>
      <c r="N725" t="b">
        <f t="shared" si="91"/>
        <v>0</v>
      </c>
    </row>
    <row r="726" spans="1:14" x14ac:dyDescent="0.15">
      <c r="A726" t="s">
        <v>9961</v>
      </c>
      <c r="B726" t="s">
        <v>10063</v>
      </c>
      <c r="C726" t="s">
        <v>11445</v>
      </c>
      <c r="D726" t="s">
        <v>23</v>
      </c>
      <c r="E726" t="s">
        <v>11446</v>
      </c>
      <c r="F726" s="5" t="str">
        <f t="shared" si="92"/>
        <v>********</v>
      </c>
      <c r="G726" s="5" t="s">
        <v>145</v>
      </c>
      <c r="H726" t="s">
        <v>145</v>
      </c>
      <c r="I726" s="2" t="e">
        <f t="shared" si="89"/>
        <v>#VALUE!</v>
      </c>
      <c r="J726" s="4">
        <v>10450000</v>
      </c>
      <c r="K726" s="2" t="e">
        <f t="shared" si="90"/>
        <v>#VALUE!</v>
      </c>
      <c r="L726" t="s">
        <v>903</v>
      </c>
      <c r="M726" t="s">
        <v>80</v>
      </c>
      <c r="N726" t="b">
        <f t="shared" si="91"/>
        <v>0</v>
      </c>
    </row>
    <row r="727" spans="1:14" x14ac:dyDescent="0.15">
      <c r="A727" t="s">
        <v>9961</v>
      </c>
      <c r="B727" t="s">
        <v>10063</v>
      </c>
      <c r="C727" t="s">
        <v>11447</v>
      </c>
      <c r="D727" t="s">
        <v>23</v>
      </c>
      <c r="E727" t="s">
        <v>11448</v>
      </c>
      <c r="F727" s="5" t="str">
        <f t="shared" si="92"/>
        <v>********</v>
      </c>
      <c r="G727" s="5" t="s">
        <v>145</v>
      </c>
      <c r="H727" t="s">
        <v>145</v>
      </c>
      <c r="I727" s="2" t="e">
        <f t="shared" si="89"/>
        <v>#VALUE!</v>
      </c>
      <c r="J727" s="4">
        <v>17100000</v>
      </c>
      <c r="K727" s="2" t="e">
        <f t="shared" si="90"/>
        <v>#VALUE!</v>
      </c>
      <c r="L727" t="s">
        <v>256</v>
      </c>
      <c r="M727" t="s">
        <v>80</v>
      </c>
      <c r="N727" t="b">
        <f t="shared" si="91"/>
        <v>0</v>
      </c>
    </row>
    <row r="728" spans="1:14" x14ac:dyDescent="0.15">
      <c r="A728" t="s">
        <v>9961</v>
      </c>
      <c r="B728" t="s">
        <v>10063</v>
      </c>
      <c r="C728" t="s">
        <v>11449</v>
      </c>
      <c r="D728" t="s">
        <v>23</v>
      </c>
      <c r="E728" t="s">
        <v>11450</v>
      </c>
      <c r="F728" s="5" t="str">
        <f t="shared" si="92"/>
        <v>********</v>
      </c>
      <c r="G728" s="5" t="s">
        <v>145</v>
      </c>
      <c r="H728" t="s">
        <v>145</v>
      </c>
      <c r="I728" s="2" t="e">
        <f t="shared" si="89"/>
        <v>#VALUE!</v>
      </c>
      <c r="J728" s="4">
        <v>12500000</v>
      </c>
      <c r="K728" s="2" t="e">
        <f t="shared" si="90"/>
        <v>#VALUE!</v>
      </c>
      <c r="L728" t="s">
        <v>1078</v>
      </c>
      <c r="M728" t="s">
        <v>80</v>
      </c>
      <c r="N728" t="b">
        <f t="shared" si="91"/>
        <v>0</v>
      </c>
    </row>
    <row r="729" spans="1:14" x14ac:dyDescent="0.15">
      <c r="A729" t="s">
        <v>9961</v>
      </c>
      <c r="B729" t="s">
        <v>10063</v>
      </c>
      <c r="C729" t="s">
        <v>11451</v>
      </c>
      <c r="D729" t="s">
        <v>23</v>
      </c>
      <c r="E729" t="s">
        <v>11452</v>
      </c>
      <c r="F729" s="5" t="str">
        <f t="shared" si="92"/>
        <v>********</v>
      </c>
      <c r="G729" s="5" t="s">
        <v>145</v>
      </c>
      <c r="H729" t="s">
        <v>145</v>
      </c>
      <c r="I729" s="2" t="e">
        <f t="shared" si="89"/>
        <v>#VALUE!</v>
      </c>
      <c r="J729" s="4">
        <v>7049000</v>
      </c>
      <c r="K729" s="2" t="e">
        <f t="shared" si="90"/>
        <v>#VALUE!</v>
      </c>
      <c r="L729" t="s">
        <v>540</v>
      </c>
      <c r="M729" t="s">
        <v>192</v>
      </c>
      <c r="N729" t="b">
        <f t="shared" si="91"/>
        <v>0</v>
      </c>
    </row>
    <row r="730" spans="1:14" x14ac:dyDescent="0.15">
      <c r="A730" t="s">
        <v>9961</v>
      </c>
      <c r="B730" t="s">
        <v>9976</v>
      </c>
      <c r="C730" t="s">
        <v>11453</v>
      </c>
      <c r="D730" t="s">
        <v>23</v>
      </c>
      <c r="E730" t="s">
        <v>11454</v>
      </c>
      <c r="F730" s="5">
        <v>7940000</v>
      </c>
      <c r="G730" s="5">
        <v>7940000</v>
      </c>
      <c r="H730" s="4">
        <v>6315000</v>
      </c>
      <c r="I730" s="2">
        <f t="shared" si="89"/>
        <v>0.79534005037783373</v>
      </c>
      <c r="J730" s="4">
        <v>6700000</v>
      </c>
      <c r="K730" s="2">
        <f t="shared" si="90"/>
        <v>0.84382871536523929</v>
      </c>
      <c r="L730" t="s">
        <v>1458</v>
      </c>
      <c r="M730" t="s">
        <v>165</v>
      </c>
      <c r="N730" t="b">
        <f t="shared" si="91"/>
        <v>0</v>
      </c>
    </row>
    <row r="731" spans="1:14" x14ac:dyDescent="0.15">
      <c r="A731" t="s">
        <v>9961</v>
      </c>
      <c r="B731" t="s">
        <v>9976</v>
      </c>
      <c r="C731" t="s">
        <v>11455</v>
      </c>
      <c r="D731" t="s">
        <v>23</v>
      </c>
      <c r="E731" t="s">
        <v>11456</v>
      </c>
      <c r="F731" s="5">
        <v>9010000</v>
      </c>
      <c r="G731" s="5">
        <v>9010000</v>
      </c>
      <c r="H731" s="4">
        <v>7165000</v>
      </c>
      <c r="I731" s="2">
        <f t="shared" si="89"/>
        <v>0.79522752497225302</v>
      </c>
      <c r="J731" s="4">
        <v>8110000</v>
      </c>
      <c r="K731" s="2">
        <f t="shared" si="90"/>
        <v>0.90011098779134291</v>
      </c>
      <c r="L731" t="s">
        <v>10277</v>
      </c>
      <c r="M731" t="s">
        <v>165</v>
      </c>
      <c r="N731" t="b">
        <f t="shared" si="91"/>
        <v>0</v>
      </c>
    </row>
    <row r="732" spans="1:14" x14ac:dyDescent="0.15">
      <c r="A732" t="s">
        <v>9961</v>
      </c>
      <c r="B732" t="s">
        <v>9976</v>
      </c>
      <c r="C732" t="s">
        <v>9982</v>
      </c>
      <c r="D732" t="s">
        <v>23</v>
      </c>
      <c r="E732" t="s">
        <v>11457</v>
      </c>
      <c r="F732" s="5">
        <v>4080000</v>
      </c>
      <c r="G732" s="5">
        <v>4080000</v>
      </c>
      <c r="H732" s="4">
        <v>3246000</v>
      </c>
      <c r="I732" s="2">
        <f t="shared" si="89"/>
        <v>0.7955882352941176</v>
      </c>
      <c r="J732" s="4">
        <v>3246000</v>
      </c>
      <c r="K732" s="2">
        <f t="shared" si="90"/>
        <v>0.7955882352941176</v>
      </c>
      <c r="L732" t="s">
        <v>687</v>
      </c>
      <c r="M732" t="s">
        <v>432</v>
      </c>
      <c r="N732" t="b">
        <f t="shared" si="91"/>
        <v>0</v>
      </c>
    </row>
    <row r="733" spans="1:14" x14ac:dyDescent="0.15">
      <c r="A733" t="s">
        <v>9961</v>
      </c>
      <c r="B733" t="s">
        <v>9976</v>
      </c>
      <c r="C733" t="s">
        <v>11458</v>
      </c>
      <c r="D733" t="s">
        <v>23</v>
      </c>
      <c r="E733" t="s">
        <v>11459</v>
      </c>
      <c r="F733" s="5">
        <v>5070000</v>
      </c>
      <c r="G733" s="5">
        <v>5070000</v>
      </c>
      <c r="H733" s="4">
        <v>3970000</v>
      </c>
      <c r="I733" s="2">
        <f t="shared" si="89"/>
        <v>0.78303747534516766</v>
      </c>
      <c r="J733" s="4">
        <v>3970000</v>
      </c>
      <c r="K733" s="2">
        <f t="shared" si="90"/>
        <v>0.78303747534516766</v>
      </c>
      <c r="L733" t="s">
        <v>10068</v>
      </c>
      <c r="M733" t="s">
        <v>165</v>
      </c>
      <c r="N733" t="b">
        <f t="shared" si="91"/>
        <v>0</v>
      </c>
    </row>
    <row r="734" spans="1:14" x14ac:dyDescent="0.15">
      <c r="A734" t="s">
        <v>9961</v>
      </c>
      <c r="B734" t="s">
        <v>10021</v>
      </c>
      <c r="C734" t="s">
        <v>11460</v>
      </c>
      <c r="D734" t="s">
        <v>23</v>
      </c>
      <c r="E734" t="s">
        <v>11461</v>
      </c>
      <c r="F734" s="5" t="str">
        <f>G734</f>
        <v>********</v>
      </c>
      <c r="G734" s="5" t="s">
        <v>145</v>
      </c>
      <c r="H734" t="s">
        <v>145</v>
      </c>
      <c r="I734" s="2" t="e">
        <f t="shared" si="89"/>
        <v>#VALUE!</v>
      </c>
      <c r="J734" s="4">
        <v>5000000</v>
      </c>
      <c r="K734" s="2" t="e">
        <f t="shared" si="90"/>
        <v>#VALUE!</v>
      </c>
      <c r="L734" t="s">
        <v>11462</v>
      </c>
      <c r="M734" t="s">
        <v>192</v>
      </c>
      <c r="N734" t="b">
        <f t="shared" si="91"/>
        <v>0</v>
      </c>
    </row>
    <row r="735" spans="1:14" x14ac:dyDescent="0.15">
      <c r="A735" t="s">
        <v>9961</v>
      </c>
      <c r="B735" t="s">
        <v>9967</v>
      </c>
      <c r="C735" t="s">
        <v>11463</v>
      </c>
      <c r="D735" t="s">
        <v>23</v>
      </c>
      <c r="E735" t="s">
        <v>11464</v>
      </c>
      <c r="F735" s="5">
        <v>6210000</v>
      </c>
      <c r="G735" s="5">
        <v>6210000</v>
      </c>
      <c r="H735" s="4">
        <v>4943000</v>
      </c>
      <c r="I735" s="2">
        <f t="shared" si="89"/>
        <v>0.79597423510466991</v>
      </c>
      <c r="J735" s="4">
        <v>5900000</v>
      </c>
      <c r="K735" s="2">
        <f t="shared" si="90"/>
        <v>0.9500805152979066</v>
      </c>
      <c r="L735" t="s">
        <v>10068</v>
      </c>
      <c r="M735" t="s">
        <v>165</v>
      </c>
      <c r="N735" t="b">
        <f t="shared" si="91"/>
        <v>0</v>
      </c>
    </row>
    <row r="736" spans="1:14" x14ac:dyDescent="0.15">
      <c r="A736" t="s">
        <v>9961</v>
      </c>
      <c r="B736" t="s">
        <v>9967</v>
      </c>
      <c r="C736" t="s">
        <v>11465</v>
      </c>
      <c r="D736" t="s">
        <v>23</v>
      </c>
      <c r="E736" t="s">
        <v>11466</v>
      </c>
      <c r="F736" s="5">
        <v>6700000</v>
      </c>
      <c r="G736" s="5">
        <v>6700000</v>
      </c>
      <c r="H736" s="4">
        <v>5333000</v>
      </c>
      <c r="I736" s="2">
        <f t="shared" si="89"/>
        <v>0.79597014925373133</v>
      </c>
      <c r="J736" s="4">
        <v>6350000</v>
      </c>
      <c r="K736" s="2">
        <f t="shared" si="90"/>
        <v>0.94776119402985071</v>
      </c>
      <c r="L736" t="s">
        <v>687</v>
      </c>
      <c r="M736" t="s">
        <v>165</v>
      </c>
      <c r="N736" t="b">
        <f t="shared" si="91"/>
        <v>0</v>
      </c>
    </row>
    <row r="737" spans="1:14" x14ac:dyDescent="0.15">
      <c r="A737" t="s">
        <v>9961</v>
      </c>
      <c r="B737" t="s">
        <v>9967</v>
      </c>
      <c r="C737" t="s">
        <v>11467</v>
      </c>
      <c r="D737" t="s">
        <v>23</v>
      </c>
      <c r="E737" t="s">
        <v>11468</v>
      </c>
      <c r="F737" s="5">
        <v>7260000</v>
      </c>
      <c r="G737" s="5">
        <v>7260000</v>
      </c>
      <c r="H737" s="4">
        <v>5777000</v>
      </c>
      <c r="I737" s="2">
        <f t="shared" si="89"/>
        <v>0.79573002754820932</v>
      </c>
      <c r="J737" s="4">
        <v>7100000</v>
      </c>
      <c r="K737" s="2">
        <f t="shared" si="90"/>
        <v>0.97796143250688705</v>
      </c>
      <c r="L737" t="s">
        <v>239</v>
      </c>
      <c r="M737" t="s">
        <v>165</v>
      </c>
      <c r="N737" t="b">
        <f t="shared" si="91"/>
        <v>0</v>
      </c>
    </row>
    <row r="738" spans="1:14" x14ac:dyDescent="0.15">
      <c r="A738" t="s">
        <v>9961</v>
      </c>
      <c r="B738" t="s">
        <v>9976</v>
      </c>
      <c r="C738" t="s">
        <v>11469</v>
      </c>
      <c r="D738" t="s">
        <v>118</v>
      </c>
      <c r="E738" t="s">
        <v>11470</v>
      </c>
      <c r="F738" s="5">
        <v>10160000</v>
      </c>
      <c r="G738" s="5">
        <v>10160000</v>
      </c>
      <c r="H738" s="4">
        <v>8081000</v>
      </c>
      <c r="I738" s="2">
        <f t="shared" si="89"/>
        <v>0.79537401574803146</v>
      </c>
      <c r="J738" s="4">
        <v>9690000</v>
      </c>
      <c r="K738" s="2">
        <f t="shared" si="90"/>
        <v>0.95374015748031493</v>
      </c>
      <c r="L738" t="s">
        <v>239</v>
      </c>
      <c r="M738" t="s">
        <v>80</v>
      </c>
      <c r="N738" t="b">
        <f t="shared" si="91"/>
        <v>0</v>
      </c>
    </row>
    <row r="739" spans="1:14" x14ac:dyDescent="0.15">
      <c r="A739" t="s">
        <v>9961</v>
      </c>
      <c r="B739" t="s">
        <v>9976</v>
      </c>
      <c r="C739" t="s">
        <v>11471</v>
      </c>
      <c r="D739" t="s">
        <v>118</v>
      </c>
      <c r="E739" t="s">
        <v>11472</v>
      </c>
      <c r="F739" s="5">
        <v>32910000</v>
      </c>
      <c r="G739" s="5">
        <v>32910000</v>
      </c>
      <c r="H739" s="4">
        <v>26172000</v>
      </c>
      <c r="I739" s="2">
        <f t="shared" si="89"/>
        <v>0.79525979945305381</v>
      </c>
      <c r="J739" s="4">
        <v>26172000</v>
      </c>
      <c r="K739" s="2">
        <f t="shared" si="90"/>
        <v>0.79525979945305381</v>
      </c>
      <c r="L739" t="s">
        <v>10326</v>
      </c>
      <c r="M739" t="s">
        <v>41</v>
      </c>
      <c r="N739" t="b">
        <f t="shared" si="91"/>
        <v>0</v>
      </c>
    </row>
    <row r="740" spans="1:14" x14ac:dyDescent="0.15">
      <c r="A740" t="s">
        <v>9961</v>
      </c>
      <c r="B740" t="s">
        <v>10177</v>
      </c>
      <c r="C740" t="s">
        <v>11473</v>
      </c>
      <c r="D740" t="s">
        <v>23</v>
      </c>
      <c r="E740" t="s">
        <v>11474</v>
      </c>
      <c r="F740" s="5" t="str">
        <f t="shared" ref="F740:F741" si="93">G740</f>
        <v>********</v>
      </c>
      <c r="G740" s="5" t="s">
        <v>145</v>
      </c>
      <c r="H740" t="s">
        <v>145</v>
      </c>
      <c r="I740" s="2" t="e">
        <f t="shared" si="89"/>
        <v>#VALUE!</v>
      </c>
      <c r="J740" s="4">
        <v>2500000</v>
      </c>
      <c r="K740" s="2" t="e">
        <f t="shared" si="90"/>
        <v>#VALUE!</v>
      </c>
      <c r="L740" t="s">
        <v>9405</v>
      </c>
      <c r="M740" t="s">
        <v>432</v>
      </c>
      <c r="N740" t="b">
        <f t="shared" si="91"/>
        <v>0</v>
      </c>
    </row>
    <row r="741" spans="1:14" x14ac:dyDescent="0.15">
      <c r="A741" t="s">
        <v>9961</v>
      </c>
      <c r="B741" t="s">
        <v>10021</v>
      </c>
      <c r="C741" t="s">
        <v>11475</v>
      </c>
      <c r="D741" t="s">
        <v>23</v>
      </c>
      <c r="E741" t="s">
        <v>11476</v>
      </c>
      <c r="F741" s="5" t="str">
        <f t="shared" si="93"/>
        <v>********</v>
      </c>
      <c r="G741" s="5" t="s">
        <v>145</v>
      </c>
      <c r="H741" t="s">
        <v>145</v>
      </c>
      <c r="I741" s="2" t="e">
        <f t="shared" si="89"/>
        <v>#VALUE!</v>
      </c>
      <c r="J741" s="4">
        <v>10000000</v>
      </c>
      <c r="K741" s="2" t="e">
        <f t="shared" si="90"/>
        <v>#VALUE!</v>
      </c>
      <c r="L741" t="s">
        <v>5186</v>
      </c>
      <c r="M741" t="s">
        <v>192</v>
      </c>
      <c r="N741" t="b">
        <f t="shared" si="91"/>
        <v>0</v>
      </c>
    </row>
    <row r="742" spans="1:14" x14ac:dyDescent="0.15">
      <c r="A742" t="s">
        <v>9961</v>
      </c>
      <c r="B742" t="s">
        <v>9967</v>
      </c>
      <c r="C742" t="s">
        <v>11477</v>
      </c>
      <c r="D742" t="s">
        <v>23</v>
      </c>
      <c r="E742" t="s">
        <v>11478</v>
      </c>
      <c r="F742" s="5">
        <v>8160000</v>
      </c>
      <c r="G742" s="5">
        <v>8160000</v>
      </c>
      <c r="H742" s="4">
        <v>6491000</v>
      </c>
      <c r="I742" s="2">
        <f t="shared" si="89"/>
        <v>0.79546568627450975</v>
      </c>
      <c r="J742" s="4">
        <v>7670000</v>
      </c>
      <c r="K742" s="2">
        <f t="shared" si="90"/>
        <v>0.93995098039215685</v>
      </c>
      <c r="L742" t="s">
        <v>2944</v>
      </c>
      <c r="M742" t="s">
        <v>165</v>
      </c>
      <c r="N742" t="b">
        <f t="shared" si="91"/>
        <v>0</v>
      </c>
    </row>
    <row r="743" spans="1:14" x14ac:dyDescent="0.15">
      <c r="A743" t="s">
        <v>9961</v>
      </c>
      <c r="B743" t="s">
        <v>9967</v>
      </c>
      <c r="C743" t="s">
        <v>11479</v>
      </c>
      <c r="D743" t="s">
        <v>23</v>
      </c>
      <c r="E743" t="s">
        <v>11480</v>
      </c>
      <c r="F743" s="5">
        <v>8590000</v>
      </c>
      <c r="G743" s="5">
        <v>8590000</v>
      </c>
      <c r="H743" s="4">
        <v>5154000</v>
      </c>
      <c r="I743" s="2">
        <f t="shared" si="89"/>
        <v>0.6</v>
      </c>
      <c r="J743" s="4">
        <v>6776000</v>
      </c>
      <c r="K743" s="2">
        <f t="shared" si="90"/>
        <v>0.7888242142025611</v>
      </c>
      <c r="L743" t="s">
        <v>9984</v>
      </c>
      <c r="M743" t="s">
        <v>165</v>
      </c>
      <c r="N743" t="b">
        <f t="shared" si="91"/>
        <v>0</v>
      </c>
    </row>
    <row r="744" spans="1:14" x14ac:dyDescent="0.15">
      <c r="A744" t="s">
        <v>9961</v>
      </c>
      <c r="B744" t="s">
        <v>10141</v>
      </c>
      <c r="C744" t="s">
        <v>11481</v>
      </c>
      <c r="D744" t="s">
        <v>15</v>
      </c>
      <c r="E744" t="s">
        <v>11480</v>
      </c>
      <c r="F744" s="5" t="str">
        <f>G744</f>
        <v>********</v>
      </c>
      <c r="G744" s="5" t="s">
        <v>145</v>
      </c>
      <c r="I744" s="2" t="e">
        <f t="shared" si="89"/>
        <v>#VALUE!</v>
      </c>
      <c r="K744" s="2" t="e">
        <f t="shared" si="90"/>
        <v>#VALUE!</v>
      </c>
      <c r="M744" t="s">
        <v>139</v>
      </c>
      <c r="N744" t="b">
        <f t="shared" si="91"/>
        <v>0</v>
      </c>
    </row>
    <row r="745" spans="1:14" x14ac:dyDescent="0.15">
      <c r="A745" t="s">
        <v>9961</v>
      </c>
      <c r="B745" t="s">
        <v>9967</v>
      </c>
      <c r="C745" t="s">
        <v>11482</v>
      </c>
      <c r="D745" t="s">
        <v>23</v>
      </c>
      <c r="E745" t="s">
        <v>11483</v>
      </c>
      <c r="F745" s="5">
        <v>8940000</v>
      </c>
      <c r="G745" s="5">
        <v>8940000</v>
      </c>
      <c r="H745" s="4">
        <v>7114000</v>
      </c>
      <c r="I745" s="2">
        <f t="shared" si="89"/>
        <v>0.79574944071588372</v>
      </c>
      <c r="J745" s="4">
        <v>8100000</v>
      </c>
      <c r="K745" s="2">
        <f t="shared" si="90"/>
        <v>0.90604026845637586</v>
      </c>
      <c r="L745" t="s">
        <v>215</v>
      </c>
      <c r="M745" t="s">
        <v>165</v>
      </c>
      <c r="N745" t="b">
        <f t="shared" si="91"/>
        <v>0</v>
      </c>
    </row>
    <row r="746" spans="1:14" x14ac:dyDescent="0.15">
      <c r="A746" t="s">
        <v>9961</v>
      </c>
      <c r="B746" t="s">
        <v>10177</v>
      </c>
      <c r="C746" t="s">
        <v>11484</v>
      </c>
      <c r="D746" t="s">
        <v>23</v>
      </c>
      <c r="E746" t="s">
        <v>11485</v>
      </c>
      <c r="F746" s="5" t="str">
        <f t="shared" ref="F746:F747" si="94">G746</f>
        <v>********</v>
      </c>
      <c r="G746" s="5" t="s">
        <v>145</v>
      </c>
      <c r="H746" t="s">
        <v>145</v>
      </c>
      <c r="I746" s="2" t="e">
        <f t="shared" si="89"/>
        <v>#VALUE!</v>
      </c>
      <c r="J746" s="4">
        <v>7188000</v>
      </c>
      <c r="K746" s="2" t="e">
        <f t="shared" si="90"/>
        <v>#VALUE!</v>
      </c>
      <c r="L746" t="s">
        <v>190</v>
      </c>
      <c r="M746" t="s">
        <v>192</v>
      </c>
      <c r="N746" t="b">
        <f t="shared" si="91"/>
        <v>0</v>
      </c>
    </row>
    <row r="747" spans="1:14" x14ac:dyDescent="0.15">
      <c r="A747" t="s">
        <v>9961</v>
      </c>
      <c r="B747" t="s">
        <v>10177</v>
      </c>
      <c r="C747" t="s">
        <v>11486</v>
      </c>
      <c r="D747" t="s">
        <v>23</v>
      </c>
      <c r="E747" t="s">
        <v>11487</v>
      </c>
      <c r="F747" s="5" t="str">
        <f t="shared" si="94"/>
        <v>********</v>
      </c>
      <c r="G747" s="5" t="s">
        <v>145</v>
      </c>
      <c r="H747" t="s">
        <v>145</v>
      </c>
      <c r="I747" s="2" t="e">
        <f t="shared" si="89"/>
        <v>#VALUE!</v>
      </c>
      <c r="J747" s="4">
        <v>7480000</v>
      </c>
      <c r="K747" s="2" t="e">
        <f t="shared" si="90"/>
        <v>#VALUE!</v>
      </c>
      <c r="L747" t="s">
        <v>215</v>
      </c>
      <c r="M747" t="s">
        <v>192</v>
      </c>
      <c r="N747" t="b">
        <f t="shared" si="91"/>
        <v>0</v>
      </c>
    </row>
    <row r="748" spans="1:14" x14ac:dyDescent="0.15">
      <c r="A748" t="s">
        <v>9961</v>
      </c>
      <c r="B748" t="s">
        <v>9967</v>
      </c>
      <c r="C748" t="s">
        <v>11488</v>
      </c>
      <c r="D748" t="s">
        <v>15</v>
      </c>
      <c r="E748" t="s">
        <v>11489</v>
      </c>
      <c r="F748" s="5">
        <v>2430000</v>
      </c>
      <c r="G748" s="5">
        <v>2430000</v>
      </c>
      <c r="I748" s="2">
        <f t="shared" si="89"/>
        <v>0</v>
      </c>
      <c r="K748" s="2">
        <f t="shared" si="90"/>
        <v>0</v>
      </c>
      <c r="M748" t="s">
        <v>139</v>
      </c>
      <c r="N748" t="b">
        <f t="shared" si="91"/>
        <v>0</v>
      </c>
    </row>
    <row r="749" spans="1:14" x14ac:dyDescent="0.15">
      <c r="A749" t="s">
        <v>9961</v>
      </c>
      <c r="B749" t="s">
        <v>10021</v>
      </c>
      <c r="C749" t="s">
        <v>11490</v>
      </c>
      <c r="D749" t="s">
        <v>23</v>
      </c>
      <c r="E749" t="s">
        <v>11491</v>
      </c>
      <c r="F749" s="5" t="str">
        <f t="shared" ref="F749:F780" si="95">G749</f>
        <v>********</v>
      </c>
      <c r="G749" s="5" t="s">
        <v>145</v>
      </c>
      <c r="H749" t="s">
        <v>145</v>
      </c>
      <c r="I749" s="2" t="e">
        <f t="shared" si="89"/>
        <v>#VALUE!</v>
      </c>
      <c r="J749" s="4">
        <v>8900000</v>
      </c>
      <c r="K749" s="2" t="e">
        <f t="shared" si="90"/>
        <v>#VALUE!</v>
      </c>
      <c r="L749" t="s">
        <v>215</v>
      </c>
      <c r="M749" t="s">
        <v>192</v>
      </c>
      <c r="N749" t="b">
        <f t="shared" si="91"/>
        <v>0</v>
      </c>
    </row>
    <row r="750" spans="1:14" x14ac:dyDescent="0.15">
      <c r="A750" t="s">
        <v>9961</v>
      </c>
      <c r="B750" t="s">
        <v>9964</v>
      </c>
      <c r="C750" t="s">
        <v>11492</v>
      </c>
      <c r="D750" t="s">
        <v>23</v>
      </c>
      <c r="E750" t="s">
        <v>11493</v>
      </c>
      <c r="F750" s="5" t="str">
        <f t="shared" si="95"/>
        <v>********</v>
      </c>
      <c r="G750" s="5" t="s">
        <v>145</v>
      </c>
      <c r="H750" t="s">
        <v>145</v>
      </c>
      <c r="I750" s="2" t="e">
        <f t="shared" si="89"/>
        <v>#VALUE!</v>
      </c>
      <c r="J750" s="4">
        <v>4180000</v>
      </c>
      <c r="K750" s="2" t="e">
        <f t="shared" si="90"/>
        <v>#VALUE!</v>
      </c>
      <c r="L750" t="s">
        <v>332</v>
      </c>
      <c r="M750" t="s">
        <v>432</v>
      </c>
      <c r="N750" t="b">
        <f t="shared" si="91"/>
        <v>0</v>
      </c>
    </row>
    <row r="751" spans="1:14" x14ac:dyDescent="0.15">
      <c r="A751" t="s">
        <v>9961</v>
      </c>
      <c r="B751" t="s">
        <v>9964</v>
      </c>
      <c r="C751" t="s">
        <v>11494</v>
      </c>
      <c r="D751" t="s">
        <v>23</v>
      </c>
      <c r="E751" t="s">
        <v>11495</v>
      </c>
      <c r="F751" s="5" t="str">
        <f t="shared" si="95"/>
        <v>********</v>
      </c>
      <c r="G751" s="5" t="s">
        <v>145</v>
      </c>
      <c r="H751" t="s">
        <v>145</v>
      </c>
      <c r="I751" s="2" t="e">
        <f t="shared" si="89"/>
        <v>#VALUE!</v>
      </c>
      <c r="J751" s="4">
        <v>429000</v>
      </c>
      <c r="K751" s="2" t="e">
        <f t="shared" si="90"/>
        <v>#VALUE!</v>
      </c>
      <c r="L751" t="s">
        <v>5186</v>
      </c>
      <c r="M751" t="s">
        <v>192</v>
      </c>
      <c r="N751" t="b">
        <f t="shared" si="91"/>
        <v>0</v>
      </c>
    </row>
    <row r="752" spans="1:14" x14ac:dyDescent="0.15">
      <c r="A752" t="s">
        <v>9961</v>
      </c>
      <c r="B752" t="s">
        <v>10063</v>
      </c>
      <c r="C752" t="s">
        <v>11496</v>
      </c>
      <c r="D752" t="s">
        <v>23</v>
      </c>
      <c r="E752" t="s">
        <v>11497</v>
      </c>
      <c r="F752" s="5" t="str">
        <f t="shared" si="95"/>
        <v>********</v>
      </c>
      <c r="G752" s="5" t="s">
        <v>145</v>
      </c>
      <c r="H752" t="s">
        <v>145</v>
      </c>
      <c r="I752" s="2" t="e">
        <f t="shared" si="89"/>
        <v>#VALUE!</v>
      </c>
      <c r="J752" s="4">
        <v>6359000</v>
      </c>
      <c r="K752" s="2" t="e">
        <f t="shared" si="90"/>
        <v>#VALUE!</v>
      </c>
      <c r="L752" t="s">
        <v>903</v>
      </c>
      <c r="M752" t="s">
        <v>192</v>
      </c>
      <c r="N752" t="b">
        <f t="shared" si="91"/>
        <v>0</v>
      </c>
    </row>
    <row r="753" spans="1:14" x14ac:dyDescent="0.15">
      <c r="A753" t="s">
        <v>9961</v>
      </c>
      <c r="B753" t="s">
        <v>10063</v>
      </c>
      <c r="C753" t="s">
        <v>11498</v>
      </c>
      <c r="D753" t="s">
        <v>23</v>
      </c>
      <c r="E753" t="s">
        <v>11499</v>
      </c>
      <c r="F753" s="5" t="str">
        <f t="shared" si="95"/>
        <v>********</v>
      </c>
      <c r="G753" s="5" t="s">
        <v>145</v>
      </c>
      <c r="H753" t="s">
        <v>145</v>
      </c>
      <c r="I753" s="2" t="e">
        <f t="shared" si="89"/>
        <v>#VALUE!</v>
      </c>
      <c r="J753" s="4">
        <v>27800000</v>
      </c>
      <c r="K753" s="2" t="e">
        <f t="shared" si="90"/>
        <v>#VALUE!</v>
      </c>
      <c r="L753" t="s">
        <v>832</v>
      </c>
      <c r="M753" t="s">
        <v>80</v>
      </c>
      <c r="N753" t="b">
        <f t="shared" si="91"/>
        <v>0</v>
      </c>
    </row>
    <row r="754" spans="1:14" x14ac:dyDescent="0.15">
      <c r="A754" t="s">
        <v>9961</v>
      </c>
      <c r="B754" t="s">
        <v>10063</v>
      </c>
      <c r="C754" t="s">
        <v>11500</v>
      </c>
      <c r="D754" t="s">
        <v>23</v>
      </c>
      <c r="E754" t="s">
        <v>11501</v>
      </c>
      <c r="F754" s="5" t="str">
        <f t="shared" si="95"/>
        <v>********</v>
      </c>
      <c r="G754" s="5" t="s">
        <v>145</v>
      </c>
      <c r="H754" t="s">
        <v>145</v>
      </c>
      <c r="I754" s="2" t="e">
        <f t="shared" si="89"/>
        <v>#VALUE!</v>
      </c>
      <c r="J754" s="4">
        <v>23000000</v>
      </c>
      <c r="K754" s="2" t="e">
        <f t="shared" si="90"/>
        <v>#VALUE!</v>
      </c>
      <c r="L754" t="s">
        <v>11203</v>
      </c>
      <c r="M754" t="s">
        <v>80</v>
      </c>
      <c r="N754" t="b">
        <f t="shared" si="91"/>
        <v>0</v>
      </c>
    </row>
    <row r="755" spans="1:14" x14ac:dyDescent="0.15">
      <c r="A755" t="s">
        <v>9961</v>
      </c>
      <c r="B755" t="s">
        <v>10063</v>
      </c>
      <c r="C755" t="s">
        <v>11502</v>
      </c>
      <c r="D755" t="s">
        <v>23</v>
      </c>
      <c r="E755" t="s">
        <v>11503</v>
      </c>
      <c r="F755" s="5" t="str">
        <f t="shared" si="95"/>
        <v>********</v>
      </c>
      <c r="G755" s="5" t="s">
        <v>145</v>
      </c>
      <c r="H755" t="s">
        <v>145</v>
      </c>
      <c r="I755" s="2" t="e">
        <f t="shared" si="89"/>
        <v>#VALUE!</v>
      </c>
      <c r="J755" s="4">
        <v>5100000</v>
      </c>
      <c r="K755" s="2" t="e">
        <f t="shared" si="90"/>
        <v>#VALUE!</v>
      </c>
      <c r="L755" t="s">
        <v>2122</v>
      </c>
      <c r="M755" t="s">
        <v>192</v>
      </c>
      <c r="N755" t="b">
        <f t="shared" si="91"/>
        <v>0</v>
      </c>
    </row>
    <row r="756" spans="1:14" x14ac:dyDescent="0.15">
      <c r="A756" t="s">
        <v>9961</v>
      </c>
      <c r="B756" t="s">
        <v>10063</v>
      </c>
      <c r="C756" t="s">
        <v>11504</v>
      </c>
      <c r="D756" t="s">
        <v>23</v>
      </c>
      <c r="E756" t="s">
        <v>11505</v>
      </c>
      <c r="F756" s="5" t="str">
        <f t="shared" si="95"/>
        <v>********</v>
      </c>
      <c r="G756" s="5" t="s">
        <v>145</v>
      </c>
      <c r="H756" t="s">
        <v>145</v>
      </c>
      <c r="I756" s="2" t="e">
        <f t="shared" si="89"/>
        <v>#VALUE!</v>
      </c>
      <c r="J756" s="4">
        <v>3500000</v>
      </c>
      <c r="K756" s="2" t="e">
        <f t="shared" si="90"/>
        <v>#VALUE!</v>
      </c>
      <c r="L756" t="s">
        <v>239</v>
      </c>
      <c r="M756" t="s">
        <v>192</v>
      </c>
      <c r="N756" t="b">
        <f t="shared" si="91"/>
        <v>0</v>
      </c>
    </row>
    <row r="757" spans="1:14" x14ac:dyDescent="0.15">
      <c r="A757" t="s">
        <v>9961</v>
      </c>
      <c r="B757" t="s">
        <v>10021</v>
      </c>
      <c r="C757" t="s">
        <v>11506</v>
      </c>
      <c r="D757" t="s">
        <v>23</v>
      </c>
      <c r="E757" t="s">
        <v>11507</v>
      </c>
      <c r="F757" s="5" t="str">
        <f t="shared" si="95"/>
        <v>********</v>
      </c>
      <c r="G757" s="5" t="s">
        <v>145</v>
      </c>
      <c r="H757" t="s">
        <v>145</v>
      </c>
      <c r="I757" s="2" t="e">
        <f t="shared" si="89"/>
        <v>#VALUE!</v>
      </c>
      <c r="J757" s="4">
        <v>7310000</v>
      </c>
      <c r="K757" s="2" t="e">
        <f t="shared" si="90"/>
        <v>#VALUE!</v>
      </c>
      <c r="L757" t="s">
        <v>10829</v>
      </c>
      <c r="M757" t="s">
        <v>192</v>
      </c>
      <c r="N757" t="b">
        <f t="shared" si="91"/>
        <v>0</v>
      </c>
    </row>
    <row r="758" spans="1:14" x14ac:dyDescent="0.15">
      <c r="A758" t="s">
        <v>9961</v>
      </c>
      <c r="B758" t="s">
        <v>10021</v>
      </c>
      <c r="C758" t="s">
        <v>11508</v>
      </c>
      <c r="D758" t="s">
        <v>23</v>
      </c>
      <c r="E758" t="s">
        <v>11509</v>
      </c>
      <c r="F758" s="5" t="str">
        <f t="shared" si="95"/>
        <v>********</v>
      </c>
      <c r="G758" s="5" t="s">
        <v>145</v>
      </c>
      <c r="H758" t="s">
        <v>145</v>
      </c>
      <c r="I758" s="2" t="e">
        <f t="shared" si="89"/>
        <v>#VALUE!</v>
      </c>
      <c r="J758" s="4">
        <v>6295000</v>
      </c>
      <c r="K758" s="2" t="e">
        <f t="shared" si="90"/>
        <v>#VALUE!</v>
      </c>
      <c r="L758" t="s">
        <v>263</v>
      </c>
      <c r="M758" t="s">
        <v>192</v>
      </c>
      <c r="N758" t="b">
        <f t="shared" si="91"/>
        <v>0</v>
      </c>
    </row>
    <row r="759" spans="1:14" x14ac:dyDescent="0.15">
      <c r="A759" t="s">
        <v>9961</v>
      </c>
      <c r="B759" t="s">
        <v>10021</v>
      </c>
      <c r="C759" t="s">
        <v>11510</v>
      </c>
      <c r="D759" t="s">
        <v>23</v>
      </c>
      <c r="E759" t="s">
        <v>11511</v>
      </c>
      <c r="F759" s="5" t="str">
        <f t="shared" si="95"/>
        <v>********</v>
      </c>
      <c r="G759" s="5" t="s">
        <v>145</v>
      </c>
      <c r="H759" t="s">
        <v>145</v>
      </c>
      <c r="I759" s="2" t="e">
        <f t="shared" si="89"/>
        <v>#VALUE!</v>
      </c>
      <c r="J759" s="4">
        <v>21800000</v>
      </c>
      <c r="K759" s="2" t="e">
        <f t="shared" si="90"/>
        <v>#VALUE!</v>
      </c>
      <c r="L759" t="s">
        <v>1800</v>
      </c>
      <c r="M759" t="s">
        <v>126</v>
      </c>
      <c r="N759" t="b">
        <f t="shared" si="91"/>
        <v>0</v>
      </c>
    </row>
    <row r="760" spans="1:14" x14ac:dyDescent="0.15">
      <c r="A760" t="s">
        <v>9961</v>
      </c>
      <c r="B760" t="s">
        <v>9964</v>
      </c>
      <c r="C760" t="s">
        <v>11512</v>
      </c>
      <c r="D760" t="s">
        <v>15</v>
      </c>
      <c r="E760" t="s">
        <v>11513</v>
      </c>
      <c r="F760" s="5" t="str">
        <f t="shared" si="95"/>
        <v>********</v>
      </c>
      <c r="G760" s="5" t="s">
        <v>145</v>
      </c>
      <c r="I760" s="2" t="e">
        <f t="shared" si="89"/>
        <v>#VALUE!</v>
      </c>
      <c r="K760" s="2" t="e">
        <f t="shared" si="90"/>
        <v>#VALUE!</v>
      </c>
      <c r="M760" t="s">
        <v>21</v>
      </c>
      <c r="N760" t="b">
        <f t="shared" si="91"/>
        <v>0</v>
      </c>
    </row>
    <row r="761" spans="1:14" x14ac:dyDescent="0.15">
      <c r="A761" t="s">
        <v>9961</v>
      </c>
      <c r="B761" t="s">
        <v>10037</v>
      </c>
      <c r="C761" t="s">
        <v>11514</v>
      </c>
      <c r="D761" t="s">
        <v>23</v>
      </c>
      <c r="E761" t="s">
        <v>11515</v>
      </c>
      <c r="F761" s="5" t="str">
        <f t="shared" si="95"/>
        <v>********</v>
      </c>
      <c r="G761" s="5" t="s">
        <v>145</v>
      </c>
      <c r="H761" t="s">
        <v>145</v>
      </c>
      <c r="I761" s="2" t="e">
        <f t="shared" si="89"/>
        <v>#VALUE!</v>
      </c>
      <c r="J761" s="4">
        <v>19500000</v>
      </c>
      <c r="K761" s="2" t="e">
        <f t="shared" si="90"/>
        <v>#VALUE!</v>
      </c>
      <c r="L761" t="s">
        <v>4816</v>
      </c>
      <c r="M761" t="s">
        <v>80</v>
      </c>
      <c r="N761" t="b">
        <f t="shared" si="91"/>
        <v>0</v>
      </c>
    </row>
    <row r="762" spans="1:14" x14ac:dyDescent="0.15">
      <c r="A762" t="s">
        <v>9961</v>
      </c>
      <c r="B762" t="s">
        <v>10587</v>
      </c>
      <c r="C762" t="s">
        <v>11516</v>
      </c>
      <c r="D762" t="s">
        <v>23</v>
      </c>
      <c r="E762" t="s">
        <v>11517</v>
      </c>
      <c r="F762" s="5" t="str">
        <f t="shared" si="95"/>
        <v>********</v>
      </c>
      <c r="G762" s="5" t="s">
        <v>145</v>
      </c>
      <c r="H762" t="s">
        <v>145</v>
      </c>
      <c r="I762" s="2" t="e">
        <f t="shared" si="89"/>
        <v>#VALUE!</v>
      </c>
      <c r="J762" s="4">
        <v>3400000</v>
      </c>
      <c r="K762" s="2" t="e">
        <f t="shared" si="90"/>
        <v>#VALUE!</v>
      </c>
      <c r="L762" t="s">
        <v>1604</v>
      </c>
      <c r="M762" t="s">
        <v>432</v>
      </c>
      <c r="N762" t="b">
        <f t="shared" si="91"/>
        <v>0</v>
      </c>
    </row>
    <row r="763" spans="1:14" x14ac:dyDescent="0.15">
      <c r="A763" t="s">
        <v>9961</v>
      </c>
      <c r="B763" t="s">
        <v>10587</v>
      </c>
      <c r="C763" t="s">
        <v>11518</v>
      </c>
      <c r="D763" t="s">
        <v>23</v>
      </c>
      <c r="E763" t="s">
        <v>11519</v>
      </c>
      <c r="F763" s="5" t="str">
        <f t="shared" si="95"/>
        <v>********</v>
      </c>
      <c r="G763" s="5" t="s">
        <v>145</v>
      </c>
      <c r="H763" t="s">
        <v>145</v>
      </c>
      <c r="I763" s="2" t="e">
        <f t="shared" si="89"/>
        <v>#VALUE!</v>
      </c>
      <c r="J763" s="4">
        <v>2690000</v>
      </c>
      <c r="K763" s="2" t="e">
        <f t="shared" si="90"/>
        <v>#VALUE!</v>
      </c>
      <c r="L763" t="s">
        <v>608</v>
      </c>
      <c r="M763" t="s">
        <v>432</v>
      </c>
      <c r="N763" t="b">
        <f t="shared" si="91"/>
        <v>0</v>
      </c>
    </row>
    <row r="764" spans="1:14" x14ac:dyDescent="0.15">
      <c r="A764" t="s">
        <v>9961</v>
      </c>
      <c r="B764" t="s">
        <v>10051</v>
      </c>
      <c r="C764" t="s">
        <v>11520</v>
      </c>
      <c r="D764" t="s">
        <v>23</v>
      </c>
      <c r="E764" t="s">
        <v>11521</v>
      </c>
      <c r="F764" s="5" t="str">
        <f t="shared" si="95"/>
        <v>********</v>
      </c>
      <c r="G764" s="5" t="s">
        <v>145</v>
      </c>
      <c r="H764" t="s">
        <v>145</v>
      </c>
      <c r="I764" s="2" t="e">
        <f t="shared" si="89"/>
        <v>#VALUE!</v>
      </c>
      <c r="J764" s="4">
        <v>8800000</v>
      </c>
      <c r="K764" s="2" t="e">
        <f t="shared" si="90"/>
        <v>#VALUE!</v>
      </c>
      <c r="L764" t="s">
        <v>903</v>
      </c>
      <c r="M764" t="s">
        <v>80</v>
      </c>
      <c r="N764" t="b">
        <f t="shared" si="91"/>
        <v>0</v>
      </c>
    </row>
    <row r="765" spans="1:14" x14ac:dyDescent="0.15">
      <c r="A765" t="s">
        <v>9961</v>
      </c>
      <c r="B765" t="s">
        <v>10051</v>
      </c>
      <c r="C765" t="s">
        <v>11522</v>
      </c>
      <c r="D765" t="s">
        <v>23</v>
      </c>
      <c r="E765" t="s">
        <v>11523</v>
      </c>
      <c r="F765" s="5" t="str">
        <f t="shared" si="95"/>
        <v>********</v>
      </c>
      <c r="G765" s="5" t="s">
        <v>145</v>
      </c>
      <c r="H765" t="s">
        <v>145</v>
      </c>
      <c r="I765" s="2" t="e">
        <f t="shared" si="89"/>
        <v>#VALUE!</v>
      </c>
      <c r="J765" s="4">
        <v>21090000</v>
      </c>
      <c r="K765" s="2" t="e">
        <f t="shared" si="90"/>
        <v>#VALUE!</v>
      </c>
      <c r="L765" t="s">
        <v>1458</v>
      </c>
      <c r="M765" t="s">
        <v>80</v>
      </c>
      <c r="N765" t="b">
        <f t="shared" si="91"/>
        <v>0</v>
      </c>
    </row>
    <row r="766" spans="1:14" x14ac:dyDescent="0.15">
      <c r="A766" t="s">
        <v>9961</v>
      </c>
      <c r="B766" t="s">
        <v>10051</v>
      </c>
      <c r="C766" t="s">
        <v>11524</v>
      </c>
      <c r="D766" t="s">
        <v>23</v>
      </c>
      <c r="E766" t="s">
        <v>11525</v>
      </c>
      <c r="F766" s="5" t="str">
        <f t="shared" si="95"/>
        <v>********</v>
      </c>
      <c r="G766" s="5" t="s">
        <v>145</v>
      </c>
      <c r="H766" t="s">
        <v>145</v>
      </c>
      <c r="I766" s="2" t="e">
        <f t="shared" si="89"/>
        <v>#VALUE!</v>
      </c>
      <c r="J766" s="4">
        <v>33700000</v>
      </c>
      <c r="K766" s="2" t="e">
        <f t="shared" si="90"/>
        <v>#VALUE!</v>
      </c>
      <c r="L766" t="s">
        <v>832</v>
      </c>
      <c r="M766" t="s">
        <v>80</v>
      </c>
      <c r="N766" t="b">
        <f t="shared" si="91"/>
        <v>0</v>
      </c>
    </row>
    <row r="767" spans="1:14" x14ac:dyDescent="0.15">
      <c r="A767" t="s">
        <v>9961</v>
      </c>
      <c r="B767" t="s">
        <v>10257</v>
      </c>
      <c r="C767" t="s">
        <v>11526</v>
      </c>
      <c r="D767" t="s">
        <v>23</v>
      </c>
      <c r="E767" t="s">
        <v>11527</v>
      </c>
      <c r="F767" s="5" t="str">
        <f t="shared" si="95"/>
        <v>********</v>
      </c>
      <c r="G767" s="5" t="s">
        <v>145</v>
      </c>
      <c r="H767" s="4">
        <v>2054000</v>
      </c>
      <c r="I767" s="2" t="e">
        <f t="shared" si="89"/>
        <v>#VALUE!</v>
      </c>
      <c r="J767" s="4">
        <v>2510000</v>
      </c>
      <c r="K767" s="2" t="e">
        <f t="shared" si="90"/>
        <v>#VALUE!</v>
      </c>
      <c r="L767" t="s">
        <v>10068</v>
      </c>
      <c r="M767" t="s">
        <v>432</v>
      </c>
      <c r="N767" t="b">
        <f t="shared" si="91"/>
        <v>0</v>
      </c>
    </row>
    <row r="768" spans="1:14" x14ac:dyDescent="0.15">
      <c r="A768" t="s">
        <v>9961</v>
      </c>
      <c r="B768" t="s">
        <v>10257</v>
      </c>
      <c r="C768" t="s">
        <v>11528</v>
      </c>
      <c r="D768" t="s">
        <v>23</v>
      </c>
      <c r="E768" t="s">
        <v>11529</v>
      </c>
      <c r="F768" s="5" t="str">
        <f t="shared" si="95"/>
        <v>********</v>
      </c>
      <c r="G768" s="5" t="s">
        <v>145</v>
      </c>
      <c r="H768" s="4">
        <v>2515000</v>
      </c>
      <c r="I768" s="2" t="e">
        <f t="shared" si="89"/>
        <v>#VALUE!</v>
      </c>
      <c r="J768" s="4">
        <v>3050000</v>
      </c>
      <c r="K768" s="2" t="e">
        <f t="shared" si="90"/>
        <v>#VALUE!</v>
      </c>
      <c r="L768" t="s">
        <v>10028</v>
      </c>
      <c r="M768" t="s">
        <v>432</v>
      </c>
      <c r="N768" t="b">
        <f t="shared" si="91"/>
        <v>0</v>
      </c>
    </row>
    <row r="769" spans="1:14" x14ac:dyDescent="0.15">
      <c r="A769" t="s">
        <v>9961</v>
      </c>
      <c r="B769" t="s">
        <v>10257</v>
      </c>
      <c r="C769" t="s">
        <v>11530</v>
      </c>
      <c r="D769" t="s">
        <v>23</v>
      </c>
      <c r="E769" t="s">
        <v>11531</v>
      </c>
      <c r="F769" s="5" t="str">
        <f t="shared" si="95"/>
        <v>********</v>
      </c>
      <c r="G769" s="5" t="s">
        <v>145</v>
      </c>
      <c r="H769" s="4">
        <v>2380000</v>
      </c>
      <c r="I769" s="2" t="e">
        <f t="shared" si="89"/>
        <v>#VALUE!</v>
      </c>
      <c r="J769" s="4">
        <v>2890000</v>
      </c>
      <c r="K769" s="2" t="e">
        <f t="shared" si="90"/>
        <v>#VALUE!</v>
      </c>
      <c r="L769" t="s">
        <v>10100</v>
      </c>
      <c r="M769" t="s">
        <v>432</v>
      </c>
      <c r="N769" t="b">
        <f t="shared" si="91"/>
        <v>0</v>
      </c>
    </row>
    <row r="770" spans="1:14" x14ac:dyDescent="0.15">
      <c r="A770" t="s">
        <v>9961</v>
      </c>
      <c r="B770" t="s">
        <v>9964</v>
      </c>
      <c r="C770" t="s">
        <v>11532</v>
      </c>
      <c r="D770" t="s">
        <v>23</v>
      </c>
      <c r="E770" t="s">
        <v>11533</v>
      </c>
      <c r="F770" s="5" t="str">
        <f t="shared" si="95"/>
        <v>********</v>
      </c>
      <c r="G770" s="5" t="s">
        <v>145</v>
      </c>
      <c r="H770" t="s">
        <v>145</v>
      </c>
      <c r="I770" s="2" t="e">
        <f t="shared" si="89"/>
        <v>#VALUE!</v>
      </c>
      <c r="J770" s="4">
        <v>2630000</v>
      </c>
      <c r="K770" s="2" t="e">
        <f t="shared" si="90"/>
        <v>#VALUE!</v>
      </c>
      <c r="L770" t="s">
        <v>10068</v>
      </c>
      <c r="M770" t="s">
        <v>432</v>
      </c>
      <c r="N770" t="b">
        <f t="shared" si="91"/>
        <v>0</v>
      </c>
    </row>
    <row r="771" spans="1:14" x14ac:dyDescent="0.15">
      <c r="A771" t="s">
        <v>9961</v>
      </c>
      <c r="B771" t="s">
        <v>10177</v>
      </c>
      <c r="C771" t="s">
        <v>11534</v>
      </c>
      <c r="D771" t="s">
        <v>23</v>
      </c>
      <c r="E771" t="s">
        <v>11535</v>
      </c>
      <c r="F771" s="5" t="str">
        <f t="shared" si="95"/>
        <v>********</v>
      </c>
      <c r="G771" s="5" t="s">
        <v>145</v>
      </c>
      <c r="H771" t="s">
        <v>145</v>
      </c>
      <c r="I771" s="2" t="e">
        <f t="shared" si="89"/>
        <v>#VALUE!</v>
      </c>
      <c r="J771" s="4">
        <v>4880000</v>
      </c>
      <c r="K771" s="2" t="e">
        <f t="shared" si="90"/>
        <v>#VALUE!</v>
      </c>
      <c r="L771" t="s">
        <v>903</v>
      </c>
      <c r="M771" t="s">
        <v>192</v>
      </c>
      <c r="N771" t="b">
        <f t="shared" si="91"/>
        <v>0</v>
      </c>
    </row>
    <row r="772" spans="1:14" x14ac:dyDescent="0.15">
      <c r="A772" t="s">
        <v>9961</v>
      </c>
      <c r="B772" t="s">
        <v>10063</v>
      </c>
      <c r="C772" t="s">
        <v>11536</v>
      </c>
      <c r="D772" t="s">
        <v>23</v>
      </c>
      <c r="E772" t="s">
        <v>11537</v>
      </c>
      <c r="F772" s="5" t="str">
        <f t="shared" si="95"/>
        <v>********</v>
      </c>
      <c r="G772" s="5" t="s">
        <v>145</v>
      </c>
      <c r="H772" t="s">
        <v>145</v>
      </c>
      <c r="I772" s="2" t="e">
        <f t="shared" ref="I772:I835" si="96">H772/G772</f>
        <v>#VALUE!</v>
      </c>
      <c r="J772" s="4">
        <v>5800000</v>
      </c>
      <c r="K772" s="2" t="e">
        <f t="shared" ref="K772:K835" si="97">J772/G772</f>
        <v>#VALUE!</v>
      </c>
      <c r="L772" t="s">
        <v>1078</v>
      </c>
      <c r="M772" t="s">
        <v>192</v>
      </c>
      <c r="N772" t="b">
        <f t="shared" ref="N772:N835" si="98">F772&lt;&gt;G772</f>
        <v>0</v>
      </c>
    </row>
    <row r="773" spans="1:14" x14ac:dyDescent="0.15">
      <c r="A773" t="s">
        <v>9961</v>
      </c>
      <c r="B773" t="s">
        <v>10051</v>
      </c>
      <c r="C773" t="s">
        <v>11538</v>
      </c>
      <c r="D773" t="s">
        <v>23</v>
      </c>
      <c r="E773" t="s">
        <v>11539</v>
      </c>
      <c r="F773" s="5" t="str">
        <f t="shared" si="95"/>
        <v>********</v>
      </c>
      <c r="G773" s="5" t="s">
        <v>145</v>
      </c>
      <c r="H773" t="s">
        <v>145</v>
      </c>
      <c r="I773" s="2" t="e">
        <f t="shared" si="96"/>
        <v>#VALUE!</v>
      </c>
      <c r="J773" s="4">
        <v>11400000</v>
      </c>
      <c r="K773" s="2" t="e">
        <f t="shared" si="97"/>
        <v>#VALUE!</v>
      </c>
      <c r="L773" t="s">
        <v>1458</v>
      </c>
      <c r="M773" t="s">
        <v>80</v>
      </c>
      <c r="N773" t="b">
        <f t="shared" si="98"/>
        <v>0</v>
      </c>
    </row>
    <row r="774" spans="1:14" x14ac:dyDescent="0.15">
      <c r="A774" t="s">
        <v>9961</v>
      </c>
      <c r="B774" t="s">
        <v>10177</v>
      </c>
      <c r="C774" t="s">
        <v>11540</v>
      </c>
      <c r="D774" t="s">
        <v>23</v>
      </c>
      <c r="E774" t="s">
        <v>11541</v>
      </c>
      <c r="F774" s="5" t="str">
        <f t="shared" si="95"/>
        <v>********</v>
      </c>
      <c r="G774" s="5" t="s">
        <v>145</v>
      </c>
      <c r="H774" t="s">
        <v>145</v>
      </c>
      <c r="I774" s="2" t="e">
        <f t="shared" si="96"/>
        <v>#VALUE!</v>
      </c>
      <c r="J774" s="4">
        <v>8480000</v>
      </c>
      <c r="K774" s="2" t="e">
        <f t="shared" si="97"/>
        <v>#VALUE!</v>
      </c>
      <c r="L774" t="s">
        <v>9405</v>
      </c>
      <c r="M774" t="s">
        <v>192</v>
      </c>
      <c r="N774" t="b">
        <f t="shared" si="98"/>
        <v>0</v>
      </c>
    </row>
    <row r="775" spans="1:14" x14ac:dyDescent="0.15">
      <c r="A775" t="s">
        <v>9961</v>
      </c>
      <c r="B775" t="s">
        <v>10177</v>
      </c>
      <c r="C775" t="s">
        <v>11542</v>
      </c>
      <c r="D775" t="s">
        <v>23</v>
      </c>
      <c r="E775" t="s">
        <v>11543</v>
      </c>
      <c r="F775" s="5" t="str">
        <f t="shared" si="95"/>
        <v>********</v>
      </c>
      <c r="G775" s="5" t="s">
        <v>145</v>
      </c>
      <c r="H775" t="s">
        <v>145</v>
      </c>
      <c r="I775" s="2" t="e">
        <f t="shared" si="96"/>
        <v>#VALUE!</v>
      </c>
      <c r="J775" s="4">
        <v>6850000</v>
      </c>
      <c r="K775" s="2" t="e">
        <f t="shared" si="97"/>
        <v>#VALUE!</v>
      </c>
      <c r="L775" t="s">
        <v>431</v>
      </c>
      <c r="M775" t="s">
        <v>192</v>
      </c>
      <c r="N775" t="b">
        <f t="shared" si="98"/>
        <v>0</v>
      </c>
    </row>
    <row r="776" spans="1:14" x14ac:dyDescent="0.15">
      <c r="A776" t="s">
        <v>9961</v>
      </c>
      <c r="B776" t="s">
        <v>10177</v>
      </c>
      <c r="C776" t="s">
        <v>11544</v>
      </c>
      <c r="D776" t="s">
        <v>23</v>
      </c>
      <c r="E776" t="s">
        <v>11545</v>
      </c>
      <c r="F776" s="5" t="str">
        <f t="shared" si="95"/>
        <v>********</v>
      </c>
      <c r="G776" s="5" t="s">
        <v>145</v>
      </c>
      <c r="H776" t="s">
        <v>145</v>
      </c>
      <c r="I776" s="2" t="e">
        <f t="shared" si="96"/>
        <v>#VALUE!</v>
      </c>
      <c r="J776" s="4">
        <v>12300000</v>
      </c>
      <c r="K776" s="2" t="e">
        <f t="shared" si="97"/>
        <v>#VALUE!</v>
      </c>
      <c r="L776" t="s">
        <v>190</v>
      </c>
      <c r="M776" t="s">
        <v>192</v>
      </c>
      <c r="N776" t="b">
        <f t="shared" si="98"/>
        <v>0</v>
      </c>
    </row>
    <row r="777" spans="1:14" x14ac:dyDescent="0.15">
      <c r="A777" t="s">
        <v>9961</v>
      </c>
      <c r="B777" t="s">
        <v>10177</v>
      </c>
      <c r="C777" t="s">
        <v>11546</v>
      </c>
      <c r="D777" t="s">
        <v>23</v>
      </c>
      <c r="E777" t="s">
        <v>11547</v>
      </c>
      <c r="F777" s="5" t="str">
        <f t="shared" si="95"/>
        <v>********</v>
      </c>
      <c r="G777" s="5" t="s">
        <v>145</v>
      </c>
      <c r="H777" t="s">
        <v>145</v>
      </c>
      <c r="I777" s="2" t="e">
        <f t="shared" si="96"/>
        <v>#VALUE!</v>
      </c>
      <c r="J777" s="4">
        <v>10180000</v>
      </c>
      <c r="K777" s="2" t="e">
        <f t="shared" si="97"/>
        <v>#VALUE!</v>
      </c>
      <c r="L777" t="s">
        <v>1030</v>
      </c>
      <c r="M777" t="s">
        <v>192</v>
      </c>
      <c r="N777" t="b">
        <f t="shared" si="98"/>
        <v>0</v>
      </c>
    </row>
    <row r="778" spans="1:14" x14ac:dyDescent="0.15">
      <c r="A778" t="s">
        <v>9961</v>
      </c>
      <c r="B778" t="s">
        <v>9964</v>
      </c>
      <c r="C778" t="s">
        <v>11548</v>
      </c>
      <c r="D778" t="s">
        <v>23</v>
      </c>
      <c r="E778" t="s">
        <v>11549</v>
      </c>
      <c r="F778" s="5" t="str">
        <f t="shared" si="95"/>
        <v>********</v>
      </c>
      <c r="G778" s="5" t="s">
        <v>145</v>
      </c>
      <c r="H778" t="s">
        <v>145</v>
      </c>
      <c r="I778" s="2" t="e">
        <f t="shared" si="96"/>
        <v>#VALUE!</v>
      </c>
      <c r="J778" s="4">
        <v>402000</v>
      </c>
      <c r="K778" s="2" t="e">
        <f t="shared" si="97"/>
        <v>#VALUE!</v>
      </c>
      <c r="L778" t="s">
        <v>332</v>
      </c>
      <c r="M778" t="s">
        <v>432</v>
      </c>
      <c r="N778" t="b">
        <f t="shared" si="98"/>
        <v>0</v>
      </c>
    </row>
    <row r="779" spans="1:14" x14ac:dyDescent="0.15">
      <c r="A779" t="s">
        <v>9961</v>
      </c>
      <c r="B779" t="s">
        <v>10045</v>
      </c>
      <c r="C779" t="s">
        <v>11550</v>
      </c>
      <c r="D779" t="s">
        <v>23</v>
      </c>
      <c r="E779" t="s">
        <v>11551</v>
      </c>
      <c r="F779" s="5" t="str">
        <f t="shared" si="95"/>
        <v>********</v>
      </c>
      <c r="G779" s="5" t="s">
        <v>145</v>
      </c>
      <c r="H779" t="s">
        <v>145</v>
      </c>
      <c r="I779" s="2" t="e">
        <f t="shared" si="96"/>
        <v>#VALUE!</v>
      </c>
      <c r="J779" s="4">
        <v>8950000</v>
      </c>
      <c r="K779" s="2" t="e">
        <f t="shared" si="97"/>
        <v>#VALUE!</v>
      </c>
      <c r="L779" t="s">
        <v>2375</v>
      </c>
      <c r="M779" t="s">
        <v>80</v>
      </c>
      <c r="N779" t="b">
        <f t="shared" si="98"/>
        <v>0</v>
      </c>
    </row>
    <row r="780" spans="1:14" x14ac:dyDescent="0.15">
      <c r="A780" t="s">
        <v>9961</v>
      </c>
      <c r="B780" t="s">
        <v>10045</v>
      </c>
      <c r="C780" t="s">
        <v>11552</v>
      </c>
      <c r="D780" t="s">
        <v>23</v>
      </c>
      <c r="E780" t="s">
        <v>11553</v>
      </c>
      <c r="F780" s="5" t="str">
        <f t="shared" si="95"/>
        <v>********</v>
      </c>
      <c r="G780" s="5" t="s">
        <v>145</v>
      </c>
      <c r="H780" t="s">
        <v>145</v>
      </c>
      <c r="I780" s="2" t="e">
        <f t="shared" si="96"/>
        <v>#VALUE!</v>
      </c>
      <c r="J780" s="4">
        <v>17000000</v>
      </c>
      <c r="K780" s="2" t="e">
        <f t="shared" si="97"/>
        <v>#VALUE!</v>
      </c>
      <c r="L780" t="s">
        <v>608</v>
      </c>
      <c r="M780" t="s">
        <v>80</v>
      </c>
      <c r="N780" t="b">
        <f t="shared" si="98"/>
        <v>0</v>
      </c>
    </row>
    <row r="781" spans="1:14" x14ac:dyDescent="0.15">
      <c r="A781" t="s">
        <v>9961</v>
      </c>
      <c r="B781" t="s">
        <v>10048</v>
      </c>
      <c r="C781" t="s">
        <v>11554</v>
      </c>
      <c r="D781" t="s">
        <v>23</v>
      </c>
      <c r="E781" t="s">
        <v>11555</v>
      </c>
      <c r="F781" s="5" t="s">
        <v>145</v>
      </c>
      <c r="G781" s="5" t="s">
        <v>145</v>
      </c>
      <c r="H781" t="s">
        <v>145</v>
      </c>
      <c r="I781" s="2" t="e">
        <f t="shared" si="96"/>
        <v>#VALUE!</v>
      </c>
      <c r="J781" s="4">
        <v>17000000</v>
      </c>
      <c r="K781" s="2" t="e">
        <f t="shared" si="97"/>
        <v>#VALUE!</v>
      </c>
      <c r="L781" t="s">
        <v>608</v>
      </c>
      <c r="M781" t="s">
        <v>80</v>
      </c>
      <c r="N781" t="b">
        <f t="shared" si="98"/>
        <v>0</v>
      </c>
    </row>
    <row r="782" spans="1:14" x14ac:dyDescent="0.15">
      <c r="A782" t="s">
        <v>11556</v>
      </c>
      <c r="B782" t="s">
        <v>11559</v>
      </c>
      <c r="C782" t="s">
        <v>11557</v>
      </c>
      <c r="D782" t="s">
        <v>118</v>
      </c>
      <c r="E782" t="s">
        <v>11558</v>
      </c>
      <c r="F782" s="5">
        <v>4544000</v>
      </c>
      <c r="G782" s="5">
        <v>4544000</v>
      </c>
      <c r="H782" s="4">
        <v>3635000</v>
      </c>
      <c r="I782" s="2">
        <f t="shared" si="96"/>
        <v>0.799955985915493</v>
      </c>
      <c r="J782" s="4">
        <v>3635000</v>
      </c>
      <c r="K782" s="2">
        <f t="shared" si="97"/>
        <v>0.799955985915493</v>
      </c>
      <c r="L782" t="s">
        <v>1424</v>
      </c>
      <c r="M782" t="s">
        <v>432</v>
      </c>
      <c r="N782" t="b">
        <f t="shared" si="98"/>
        <v>0</v>
      </c>
    </row>
    <row r="783" spans="1:14" x14ac:dyDescent="0.15">
      <c r="A783" t="s">
        <v>11556</v>
      </c>
      <c r="B783" t="s">
        <v>11562</v>
      </c>
      <c r="C783" t="s">
        <v>11560</v>
      </c>
      <c r="D783" t="s">
        <v>118</v>
      </c>
      <c r="E783" t="s">
        <v>11561</v>
      </c>
      <c r="F783" s="5">
        <v>2266000</v>
      </c>
      <c r="G783" s="5">
        <v>2266000</v>
      </c>
      <c r="H783" s="4">
        <v>1802000</v>
      </c>
      <c r="I783" s="2">
        <f t="shared" si="96"/>
        <v>0.79523389232127095</v>
      </c>
      <c r="J783" s="4">
        <v>2220000</v>
      </c>
      <c r="K783" s="2">
        <f t="shared" si="97"/>
        <v>0.97969991173874671</v>
      </c>
      <c r="L783" t="s">
        <v>11563</v>
      </c>
      <c r="M783" t="s">
        <v>165</v>
      </c>
      <c r="N783" t="b">
        <f t="shared" si="98"/>
        <v>0</v>
      </c>
    </row>
    <row r="784" spans="1:14" x14ac:dyDescent="0.15">
      <c r="A784" t="s">
        <v>11556</v>
      </c>
      <c r="B784" t="s">
        <v>11559</v>
      </c>
      <c r="C784" t="s">
        <v>11564</v>
      </c>
      <c r="D784" t="s">
        <v>118</v>
      </c>
      <c r="E784" t="s">
        <v>11565</v>
      </c>
      <c r="F784" s="5">
        <v>1780000</v>
      </c>
      <c r="G784" s="5">
        <v>1780000</v>
      </c>
      <c r="H784" s="4">
        <v>1406000</v>
      </c>
      <c r="I784" s="2">
        <f t="shared" si="96"/>
        <v>0.78988764044943816</v>
      </c>
      <c r="J784" s="4">
        <v>1415000</v>
      </c>
      <c r="K784" s="2">
        <f t="shared" si="97"/>
        <v>0.7949438202247191</v>
      </c>
      <c r="L784" t="s">
        <v>474</v>
      </c>
      <c r="M784" t="s">
        <v>183</v>
      </c>
      <c r="N784" t="b">
        <f t="shared" si="98"/>
        <v>0</v>
      </c>
    </row>
    <row r="785" spans="1:14" x14ac:dyDescent="0.15">
      <c r="A785" t="s">
        <v>11556</v>
      </c>
      <c r="B785" t="s">
        <v>11562</v>
      </c>
      <c r="C785" t="s">
        <v>11566</v>
      </c>
      <c r="D785" t="s">
        <v>118</v>
      </c>
      <c r="E785" t="s">
        <v>11567</v>
      </c>
      <c r="F785" s="5">
        <v>4470000</v>
      </c>
      <c r="G785" s="5">
        <v>4470000</v>
      </c>
      <c r="H785" s="4">
        <v>3576000</v>
      </c>
      <c r="I785" s="2">
        <f t="shared" si="96"/>
        <v>0.8</v>
      </c>
      <c r="J785" s="4">
        <v>4150000</v>
      </c>
      <c r="K785" s="2">
        <f t="shared" si="97"/>
        <v>0.92841163310961972</v>
      </c>
      <c r="L785" t="s">
        <v>11568</v>
      </c>
      <c r="M785" t="s">
        <v>126</v>
      </c>
      <c r="N785" t="b">
        <f t="shared" si="98"/>
        <v>0</v>
      </c>
    </row>
    <row r="786" spans="1:14" x14ac:dyDescent="0.15">
      <c r="A786" t="s">
        <v>11556</v>
      </c>
      <c r="B786" t="s">
        <v>11562</v>
      </c>
      <c r="C786" t="s">
        <v>11569</v>
      </c>
      <c r="D786" t="s">
        <v>118</v>
      </c>
      <c r="E786" t="s">
        <v>11570</v>
      </c>
      <c r="F786" s="5">
        <v>4490000</v>
      </c>
      <c r="G786" s="5">
        <v>4490000</v>
      </c>
      <c r="H786" s="4">
        <v>3592000</v>
      </c>
      <c r="I786" s="2">
        <f t="shared" si="96"/>
        <v>0.8</v>
      </c>
      <c r="J786" s="4">
        <v>4130000</v>
      </c>
      <c r="K786" s="2">
        <f t="shared" si="97"/>
        <v>0.91982182628062359</v>
      </c>
      <c r="L786" t="s">
        <v>2618</v>
      </c>
      <c r="M786" t="s">
        <v>126</v>
      </c>
      <c r="N786" t="b">
        <f t="shared" si="98"/>
        <v>0</v>
      </c>
    </row>
    <row r="787" spans="1:14" x14ac:dyDescent="0.15">
      <c r="A787" t="s">
        <v>11556</v>
      </c>
      <c r="B787" t="s">
        <v>11562</v>
      </c>
      <c r="C787" t="s">
        <v>11571</v>
      </c>
      <c r="D787" t="s">
        <v>118</v>
      </c>
      <c r="E787" t="s">
        <v>11572</v>
      </c>
      <c r="F787" s="5">
        <v>4890000</v>
      </c>
      <c r="G787" s="5">
        <v>4890000</v>
      </c>
      <c r="H787" s="4">
        <v>3912000</v>
      </c>
      <c r="I787" s="2">
        <f t="shared" si="96"/>
        <v>0.8</v>
      </c>
      <c r="J787" s="4">
        <v>4540000</v>
      </c>
      <c r="K787" s="2">
        <f t="shared" si="97"/>
        <v>0.92842535787321068</v>
      </c>
      <c r="L787" t="s">
        <v>11573</v>
      </c>
      <c r="M787" t="s">
        <v>126</v>
      </c>
      <c r="N787" t="b">
        <f t="shared" si="98"/>
        <v>0</v>
      </c>
    </row>
    <row r="788" spans="1:14" x14ac:dyDescent="0.15">
      <c r="A788" t="s">
        <v>11556</v>
      </c>
      <c r="B788" t="s">
        <v>11562</v>
      </c>
      <c r="C788" t="s">
        <v>11574</v>
      </c>
      <c r="D788" t="s">
        <v>118</v>
      </c>
      <c r="E788" t="s">
        <v>11575</v>
      </c>
      <c r="F788" s="5">
        <v>4980000</v>
      </c>
      <c r="G788" s="5">
        <v>4980000</v>
      </c>
      <c r="H788" s="4">
        <v>3984000</v>
      </c>
      <c r="I788" s="2">
        <f t="shared" si="96"/>
        <v>0.8</v>
      </c>
      <c r="J788" s="4">
        <v>4630000</v>
      </c>
      <c r="K788" s="2">
        <f t="shared" si="97"/>
        <v>0.92971887550200805</v>
      </c>
      <c r="L788" t="s">
        <v>11576</v>
      </c>
      <c r="M788" t="s">
        <v>126</v>
      </c>
      <c r="N788" t="b">
        <f t="shared" si="98"/>
        <v>0</v>
      </c>
    </row>
    <row r="789" spans="1:14" x14ac:dyDescent="0.15">
      <c r="A789" t="s">
        <v>11556</v>
      </c>
      <c r="B789" t="s">
        <v>11562</v>
      </c>
      <c r="C789" t="s">
        <v>11577</v>
      </c>
      <c r="D789" t="s">
        <v>118</v>
      </c>
      <c r="E789" t="s">
        <v>11578</v>
      </c>
      <c r="F789" s="5">
        <v>5050000</v>
      </c>
      <c r="G789" s="5">
        <v>5050000</v>
      </c>
      <c r="H789" s="4">
        <v>4040000</v>
      </c>
      <c r="I789" s="2">
        <f t="shared" si="96"/>
        <v>0.8</v>
      </c>
      <c r="J789" s="4">
        <v>4690000</v>
      </c>
      <c r="K789" s="2">
        <f t="shared" si="97"/>
        <v>0.92871287128712876</v>
      </c>
      <c r="L789" t="s">
        <v>11579</v>
      </c>
      <c r="M789" t="s">
        <v>126</v>
      </c>
      <c r="N789" t="b">
        <f t="shared" si="98"/>
        <v>0</v>
      </c>
    </row>
    <row r="790" spans="1:14" x14ac:dyDescent="0.15">
      <c r="A790" t="s">
        <v>11556</v>
      </c>
      <c r="B790" t="s">
        <v>11562</v>
      </c>
      <c r="C790" t="s">
        <v>11580</v>
      </c>
      <c r="D790" t="s">
        <v>118</v>
      </c>
      <c r="E790" t="s">
        <v>11581</v>
      </c>
      <c r="F790" s="5">
        <v>5160000</v>
      </c>
      <c r="G790" s="5">
        <v>5160000</v>
      </c>
      <c r="H790" s="4">
        <v>4128000</v>
      </c>
      <c r="I790" s="2">
        <f t="shared" si="96"/>
        <v>0.8</v>
      </c>
      <c r="J790" s="4">
        <v>4780000</v>
      </c>
      <c r="K790" s="2">
        <f t="shared" si="97"/>
        <v>0.9263565891472868</v>
      </c>
      <c r="L790" t="s">
        <v>4158</v>
      </c>
      <c r="M790" t="s">
        <v>126</v>
      </c>
      <c r="N790" t="b">
        <f t="shared" si="98"/>
        <v>0</v>
      </c>
    </row>
    <row r="791" spans="1:14" x14ac:dyDescent="0.15">
      <c r="A791" t="s">
        <v>11556</v>
      </c>
      <c r="B791" t="s">
        <v>11562</v>
      </c>
      <c r="C791" t="s">
        <v>11582</v>
      </c>
      <c r="D791" t="s">
        <v>118</v>
      </c>
      <c r="E791" t="s">
        <v>11583</v>
      </c>
      <c r="F791" s="5">
        <v>5510000</v>
      </c>
      <c r="G791" s="5">
        <v>5510000</v>
      </c>
      <c r="H791" s="4">
        <v>4408000</v>
      </c>
      <c r="I791" s="2">
        <f t="shared" si="96"/>
        <v>0.8</v>
      </c>
      <c r="J791" s="4">
        <v>5120000</v>
      </c>
      <c r="K791" s="2">
        <f t="shared" si="97"/>
        <v>0.92921960072595278</v>
      </c>
      <c r="L791" t="s">
        <v>752</v>
      </c>
      <c r="M791" t="s">
        <v>126</v>
      </c>
      <c r="N791" t="b">
        <f t="shared" si="98"/>
        <v>0</v>
      </c>
    </row>
    <row r="792" spans="1:14" x14ac:dyDescent="0.15">
      <c r="A792" t="s">
        <v>11556</v>
      </c>
      <c r="B792" t="s">
        <v>11562</v>
      </c>
      <c r="C792" t="s">
        <v>11584</v>
      </c>
      <c r="D792" t="s">
        <v>118</v>
      </c>
      <c r="E792" t="s">
        <v>11585</v>
      </c>
      <c r="F792" s="5">
        <v>4410000</v>
      </c>
      <c r="G792" s="5">
        <v>4410000</v>
      </c>
      <c r="H792" s="4">
        <v>3528000</v>
      </c>
      <c r="I792" s="2">
        <f t="shared" si="96"/>
        <v>0.8</v>
      </c>
      <c r="J792" s="4">
        <v>4100000</v>
      </c>
      <c r="K792" s="2">
        <f t="shared" si="97"/>
        <v>0.92970521541950113</v>
      </c>
      <c r="L792" t="s">
        <v>4158</v>
      </c>
      <c r="M792" t="s">
        <v>126</v>
      </c>
      <c r="N792" t="b">
        <f t="shared" si="98"/>
        <v>0</v>
      </c>
    </row>
    <row r="793" spans="1:14" x14ac:dyDescent="0.15">
      <c r="A793" t="s">
        <v>11556</v>
      </c>
      <c r="B793" t="s">
        <v>11562</v>
      </c>
      <c r="C793" t="s">
        <v>11586</v>
      </c>
      <c r="D793" t="s">
        <v>118</v>
      </c>
      <c r="E793" t="s">
        <v>11587</v>
      </c>
      <c r="F793" s="5">
        <v>4570000</v>
      </c>
      <c r="G793" s="5">
        <v>4570000</v>
      </c>
      <c r="H793" s="4">
        <v>3656000</v>
      </c>
      <c r="I793" s="2">
        <f t="shared" si="96"/>
        <v>0.8</v>
      </c>
      <c r="J793" s="4">
        <v>4250000</v>
      </c>
      <c r="K793" s="2">
        <f t="shared" si="97"/>
        <v>0.92997811816192555</v>
      </c>
      <c r="L793" t="s">
        <v>11568</v>
      </c>
      <c r="M793" t="s">
        <v>126</v>
      </c>
      <c r="N793" t="b">
        <f t="shared" si="98"/>
        <v>0</v>
      </c>
    </row>
    <row r="794" spans="1:14" x14ac:dyDescent="0.15">
      <c r="A794" t="s">
        <v>11556</v>
      </c>
      <c r="B794" t="s">
        <v>11562</v>
      </c>
      <c r="C794" t="s">
        <v>11588</v>
      </c>
      <c r="D794" t="s">
        <v>118</v>
      </c>
      <c r="E794" t="s">
        <v>11589</v>
      </c>
      <c r="F794" s="5">
        <v>5010000</v>
      </c>
      <c r="G794" s="5">
        <v>5010000</v>
      </c>
      <c r="H794" s="4">
        <v>4008000</v>
      </c>
      <c r="I794" s="2">
        <f t="shared" si="96"/>
        <v>0.8</v>
      </c>
      <c r="J794" s="4">
        <v>4650000</v>
      </c>
      <c r="K794" s="2">
        <f t="shared" si="97"/>
        <v>0.92814371257485029</v>
      </c>
      <c r="L794" t="s">
        <v>11573</v>
      </c>
      <c r="M794" t="s">
        <v>126</v>
      </c>
      <c r="N794" t="b">
        <f t="shared" si="98"/>
        <v>0</v>
      </c>
    </row>
    <row r="795" spans="1:14" x14ac:dyDescent="0.15">
      <c r="A795" t="s">
        <v>11556</v>
      </c>
      <c r="B795" t="s">
        <v>11562</v>
      </c>
      <c r="C795" t="s">
        <v>11590</v>
      </c>
      <c r="D795" t="s">
        <v>118</v>
      </c>
      <c r="E795" t="s">
        <v>11591</v>
      </c>
      <c r="F795" s="5">
        <v>6630000</v>
      </c>
      <c r="G795" s="5">
        <v>6630000</v>
      </c>
      <c r="H795" s="4">
        <v>5304000</v>
      </c>
      <c r="I795" s="2">
        <f t="shared" si="96"/>
        <v>0.8</v>
      </c>
      <c r="J795" s="4">
        <v>6160000</v>
      </c>
      <c r="K795" s="2">
        <f t="shared" si="97"/>
        <v>0.92911010558069385</v>
      </c>
      <c r="L795" t="s">
        <v>11579</v>
      </c>
      <c r="M795" t="s">
        <v>126</v>
      </c>
      <c r="N795" t="b">
        <f t="shared" si="98"/>
        <v>0</v>
      </c>
    </row>
    <row r="796" spans="1:14" x14ac:dyDescent="0.15">
      <c r="A796" t="s">
        <v>11556</v>
      </c>
      <c r="B796" t="s">
        <v>11562</v>
      </c>
      <c r="C796" t="s">
        <v>11592</v>
      </c>
      <c r="D796" t="s">
        <v>118</v>
      </c>
      <c r="E796" t="s">
        <v>11593</v>
      </c>
      <c r="F796" s="5">
        <v>7120000</v>
      </c>
      <c r="G796" s="5">
        <v>7120000</v>
      </c>
      <c r="H796" s="4">
        <v>5696000</v>
      </c>
      <c r="I796" s="2">
        <f t="shared" si="96"/>
        <v>0.8</v>
      </c>
      <c r="J796" s="4">
        <v>6470000</v>
      </c>
      <c r="K796" s="2">
        <f t="shared" si="97"/>
        <v>0.9087078651685393</v>
      </c>
      <c r="L796" t="s">
        <v>11594</v>
      </c>
      <c r="M796" t="s">
        <v>126</v>
      </c>
      <c r="N796" t="b">
        <f t="shared" si="98"/>
        <v>0</v>
      </c>
    </row>
    <row r="797" spans="1:14" x14ac:dyDescent="0.15">
      <c r="A797" t="s">
        <v>11556</v>
      </c>
      <c r="B797" t="s">
        <v>11562</v>
      </c>
      <c r="C797" t="s">
        <v>11595</v>
      </c>
      <c r="D797" t="s">
        <v>118</v>
      </c>
      <c r="E797" t="s">
        <v>11596</v>
      </c>
      <c r="F797" s="5">
        <v>7710000</v>
      </c>
      <c r="G797" s="5">
        <v>7710000</v>
      </c>
      <c r="H797" s="4">
        <v>6168000</v>
      </c>
      <c r="I797" s="2">
        <f t="shared" si="96"/>
        <v>0.8</v>
      </c>
      <c r="J797" s="4">
        <v>7170000</v>
      </c>
      <c r="K797" s="2">
        <f t="shared" si="97"/>
        <v>0.92996108949416345</v>
      </c>
      <c r="L797" t="s">
        <v>11576</v>
      </c>
      <c r="M797" t="s">
        <v>126</v>
      </c>
      <c r="N797" t="b">
        <f t="shared" si="98"/>
        <v>0</v>
      </c>
    </row>
    <row r="798" spans="1:14" x14ac:dyDescent="0.15">
      <c r="A798" t="s">
        <v>11556</v>
      </c>
      <c r="B798" t="s">
        <v>11562</v>
      </c>
      <c r="C798" t="s">
        <v>11597</v>
      </c>
      <c r="D798" t="s">
        <v>118</v>
      </c>
      <c r="E798" t="s">
        <v>11598</v>
      </c>
      <c r="F798" s="5">
        <v>10310000</v>
      </c>
      <c r="G798" s="5">
        <v>10310000</v>
      </c>
      <c r="H798" s="4">
        <v>8248000</v>
      </c>
      <c r="I798" s="2">
        <f t="shared" si="96"/>
        <v>0.8</v>
      </c>
      <c r="J798" s="4">
        <v>9520000</v>
      </c>
      <c r="K798" s="2">
        <f t="shared" si="97"/>
        <v>0.92337536372453932</v>
      </c>
      <c r="L798" t="s">
        <v>2618</v>
      </c>
      <c r="M798" t="s">
        <v>126</v>
      </c>
      <c r="N798" t="b">
        <f t="shared" si="98"/>
        <v>0</v>
      </c>
    </row>
    <row r="799" spans="1:14" x14ac:dyDescent="0.15">
      <c r="A799" t="s">
        <v>11556</v>
      </c>
      <c r="B799" t="s">
        <v>11559</v>
      </c>
      <c r="C799" t="s">
        <v>11599</v>
      </c>
      <c r="D799" t="s">
        <v>118</v>
      </c>
      <c r="E799" t="s">
        <v>11600</v>
      </c>
      <c r="F799" s="5">
        <v>5454000</v>
      </c>
      <c r="G799" s="5">
        <v>5454000</v>
      </c>
      <c r="H799" s="4">
        <v>4363000</v>
      </c>
      <c r="I799" s="2">
        <f t="shared" si="96"/>
        <v>0.79996332966630002</v>
      </c>
      <c r="J799" s="4">
        <v>5300000</v>
      </c>
      <c r="K799" s="2">
        <f t="shared" si="97"/>
        <v>0.97176384305097174</v>
      </c>
      <c r="L799" t="s">
        <v>11601</v>
      </c>
      <c r="M799" t="s">
        <v>183</v>
      </c>
      <c r="N799" t="b">
        <f t="shared" si="98"/>
        <v>0</v>
      </c>
    </row>
    <row r="800" spans="1:14" x14ac:dyDescent="0.15">
      <c r="A800" t="s">
        <v>11556</v>
      </c>
      <c r="B800" t="s">
        <v>11559</v>
      </c>
      <c r="C800" t="s">
        <v>11560</v>
      </c>
      <c r="D800" t="s">
        <v>118</v>
      </c>
      <c r="E800" t="s">
        <v>11602</v>
      </c>
      <c r="F800" s="5">
        <v>8996000</v>
      </c>
      <c r="G800" s="5">
        <v>8996000</v>
      </c>
      <c r="H800" s="4">
        <v>7168000</v>
      </c>
      <c r="I800" s="2">
        <f t="shared" si="96"/>
        <v>0.79679857714539792</v>
      </c>
      <c r="J800" s="4">
        <v>7171000</v>
      </c>
      <c r="K800" s="2">
        <f t="shared" si="97"/>
        <v>0.79713205869275239</v>
      </c>
      <c r="L800" t="s">
        <v>239</v>
      </c>
      <c r="M800" t="s">
        <v>80</v>
      </c>
      <c r="N800" t="b">
        <f t="shared" si="98"/>
        <v>0</v>
      </c>
    </row>
    <row r="801" spans="1:14" x14ac:dyDescent="0.15">
      <c r="A801" t="s">
        <v>11556</v>
      </c>
      <c r="B801" t="s">
        <v>11562</v>
      </c>
      <c r="C801" t="s">
        <v>11603</v>
      </c>
      <c r="D801" t="s">
        <v>118</v>
      </c>
      <c r="E801" t="s">
        <v>11604</v>
      </c>
      <c r="F801" s="5">
        <v>13508000</v>
      </c>
      <c r="G801" s="5">
        <v>13508000</v>
      </c>
      <c r="H801" s="4">
        <v>10806000</v>
      </c>
      <c r="I801" s="2">
        <f t="shared" si="96"/>
        <v>0.79997038791827069</v>
      </c>
      <c r="J801" s="4">
        <v>10838000</v>
      </c>
      <c r="K801" s="2">
        <f t="shared" si="97"/>
        <v>0.8023393544566183</v>
      </c>
      <c r="L801" t="s">
        <v>11605</v>
      </c>
      <c r="M801" t="s">
        <v>165</v>
      </c>
      <c r="N801" t="b">
        <f t="shared" si="98"/>
        <v>0</v>
      </c>
    </row>
    <row r="802" spans="1:14" x14ac:dyDescent="0.15">
      <c r="A802" t="s">
        <v>11556</v>
      </c>
      <c r="B802" t="s">
        <v>11559</v>
      </c>
      <c r="C802" t="s">
        <v>11606</v>
      </c>
      <c r="D802" t="s">
        <v>118</v>
      </c>
      <c r="E802" t="s">
        <v>11607</v>
      </c>
      <c r="F802" s="5">
        <v>4039000</v>
      </c>
      <c r="G802" s="5">
        <v>4039000</v>
      </c>
      <c r="H802" s="4">
        <v>3231000</v>
      </c>
      <c r="I802" s="2">
        <f t="shared" si="96"/>
        <v>0.79995048279277048</v>
      </c>
      <c r="J802" s="4">
        <v>3231000</v>
      </c>
      <c r="K802" s="2">
        <f t="shared" si="97"/>
        <v>0.79995048279277048</v>
      </c>
      <c r="L802" t="s">
        <v>173</v>
      </c>
      <c r="M802" t="s">
        <v>216</v>
      </c>
      <c r="N802" t="b">
        <f t="shared" si="98"/>
        <v>0</v>
      </c>
    </row>
    <row r="803" spans="1:14" x14ac:dyDescent="0.15">
      <c r="A803" t="s">
        <v>11556</v>
      </c>
      <c r="B803" t="s">
        <v>11559</v>
      </c>
      <c r="C803" t="s">
        <v>11608</v>
      </c>
      <c r="D803" t="s">
        <v>118</v>
      </c>
      <c r="E803" t="s">
        <v>11609</v>
      </c>
      <c r="F803" s="5">
        <v>6155000</v>
      </c>
      <c r="G803" s="5">
        <v>6155000</v>
      </c>
      <c r="H803" s="4">
        <v>4924000</v>
      </c>
      <c r="I803" s="2">
        <f t="shared" si="96"/>
        <v>0.8</v>
      </c>
      <c r="J803" s="4">
        <v>5800000</v>
      </c>
      <c r="K803" s="2">
        <f t="shared" si="97"/>
        <v>0.94232331437855399</v>
      </c>
      <c r="L803" t="s">
        <v>11601</v>
      </c>
      <c r="M803" t="s">
        <v>1015</v>
      </c>
      <c r="N803" t="b">
        <f t="shared" si="98"/>
        <v>0</v>
      </c>
    </row>
    <row r="804" spans="1:14" x14ac:dyDescent="0.15">
      <c r="A804" t="s">
        <v>11556</v>
      </c>
      <c r="B804" t="s">
        <v>11562</v>
      </c>
      <c r="C804" t="s">
        <v>11610</v>
      </c>
      <c r="D804" t="s">
        <v>118</v>
      </c>
      <c r="E804" t="s">
        <v>11611</v>
      </c>
      <c r="F804" s="5">
        <v>3610000</v>
      </c>
      <c r="G804" s="5">
        <v>3610000</v>
      </c>
      <c r="H804" s="4">
        <v>2888000</v>
      </c>
      <c r="I804" s="2">
        <f t="shared" si="96"/>
        <v>0.8</v>
      </c>
      <c r="J804" s="4">
        <v>3350000</v>
      </c>
      <c r="K804" s="2">
        <f t="shared" si="97"/>
        <v>0.92797783933518008</v>
      </c>
      <c r="L804" t="s">
        <v>752</v>
      </c>
      <c r="M804" t="s">
        <v>126</v>
      </c>
      <c r="N804" t="b">
        <f t="shared" si="98"/>
        <v>0</v>
      </c>
    </row>
    <row r="805" spans="1:14" x14ac:dyDescent="0.15">
      <c r="A805" t="s">
        <v>11556</v>
      </c>
      <c r="B805" t="s">
        <v>11562</v>
      </c>
      <c r="C805" t="s">
        <v>11612</v>
      </c>
      <c r="D805" t="s">
        <v>118</v>
      </c>
      <c r="E805" t="s">
        <v>11613</v>
      </c>
      <c r="F805" s="5">
        <v>4420000</v>
      </c>
      <c r="G805" s="5">
        <v>4420000</v>
      </c>
      <c r="H805" s="4">
        <v>3536000</v>
      </c>
      <c r="I805" s="2">
        <f t="shared" si="96"/>
        <v>0.8</v>
      </c>
      <c r="J805" s="4">
        <v>4110000</v>
      </c>
      <c r="K805" s="2">
        <f t="shared" si="97"/>
        <v>0.92986425339366519</v>
      </c>
      <c r="L805" t="s">
        <v>11614</v>
      </c>
      <c r="M805" t="s">
        <v>126</v>
      </c>
      <c r="N805" t="b">
        <f t="shared" si="98"/>
        <v>0</v>
      </c>
    </row>
    <row r="806" spans="1:14" x14ac:dyDescent="0.15">
      <c r="A806" t="s">
        <v>11556</v>
      </c>
      <c r="B806" t="s">
        <v>11562</v>
      </c>
      <c r="C806" t="s">
        <v>11615</v>
      </c>
      <c r="D806" t="s">
        <v>118</v>
      </c>
      <c r="E806" t="s">
        <v>11616</v>
      </c>
      <c r="F806" s="5">
        <v>5970000</v>
      </c>
      <c r="G806" s="5">
        <v>5970000</v>
      </c>
      <c r="H806" s="4">
        <v>4776000</v>
      </c>
      <c r="I806" s="2">
        <f t="shared" si="96"/>
        <v>0.8</v>
      </c>
      <c r="J806" s="4">
        <v>5420000</v>
      </c>
      <c r="K806" s="2">
        <f t="shared" si="97"/>
        <v>0.90787269681742044</v>
      </c>
      <c r="L806" t="s">
        <v>11594</v>
      </c>
      <c r="M806" t="s">
        <v>126</v>
      </c>
      <c r="N806" t="b">
        <f t="shared" si="98"/>
        <v>0</v>
      </c>
    </row>
    <row r="807" spans="1:14" x14ac:dyDescent="0.15">
      <c r="A807" t="s">
        <v>11556</v>
      </c>
      <c r="B807" t="s">
        <v>11562</v>
      </c>
      <c r="C807" t="s">
        <v>11617</v>
      </c>
      <c r="D807" t="s">
        <v>118</v>
      </c>
      <c r="E807" t="s">
        <v>11618</v>
      </c>
      <c r="F807" s="5">
        <v>10101000</v>
      </c>
      <c r="G807" s="5">
        <v>10101000</v>
      </c>
      <c r="H807" s="4">
        <v>8080000</v>
      </c>
      <c r="I807" s="2">
        <f t="shared" si="96"/>
        <v>0.7999207999207999</v>
      </c>
      <c r="J807" s="4">
        <v>8105000</v>
      </c>
      <c r="K807" s="2">
        <f t="shared" si="97"/>
        <v>0.80239580239580244</v>
      </c>
      <c r="L807" t="s">
        <v>11619</v>
      </c>
      <c r="M807" t="s">
        <v>432</v>
      </c>
      <c r="N807" t="b">
        <f t="shared" si="98"/>
        <v>0</v>
      </c>
    </row>
    <row r="808" spans="1:14" x14ac:dyDescent="0.15">
      <c r="A808" t="s">
        <v>11556</v>
      </c>
      <c r="B808" t="s">
        <v>11559</v>
      </c>
      <c r="C808" t="s">
        <v>11620</v>
      </c>
      <c r="D808" t="s">
        <v>118</v>
      </c>
      <c r="E808" t="s">
        <v>11621</v>
      </c>
      <c r="F808" s="5">
        <v>2494000</v>
      </c>
      <c r="G808" s="5">
        <v>2494000</v>
      </c>
      <c r="H808" s="4">
        <v>1995000</v>
      </c>
      <c r="I808" s="2">
        <f t="shared" si="96"/>
        <v>0.79991980753809144</v>
      </c>
      <c r="J808" s="4">
        <v>2250000</v>
      </c>
      <c r="K808" s="2">
        <f t="shared" si="97"/>
        <v>0.90216519647153171</v>
      </c>
      <c r="L808" t="s">
        <v>11622</v>
      </c>
      <c r="M808" t="s">
        <v>432</v>
      </c>
      <c r="N808" t="b">
        <f t="shared" si="98"/>
        <v>0</v>
      </c>
    </row>
    <row r="809" spans="1:14" x14ac:dyDescent="0.15">
      <c r="A809" t="s">
        <v>11556</v>
      </c>
      <c r="B809" t="s">
        <v>11559</v>
      </c>
      <c r="C809" t="s">
        <v>11623</v>
      </c>
      <c r="D809" t="s">
        <v>118</v>
      </c>
      <c r="E809" t="s">
        <v>11624</v>
      </c>
      <c r="F809" s="5">
        <v>4529000</v>
      </c>
      <c r="G809" s="5">
        <v>4529000</v>
      </c>
      <c r="H809" s="4">
        <v>3555000</v>
      </c>
      <c r="I809" s="2">
        <f t="shared" si="96"/>
        <v>0.78494148818723775</v>
      </c>
      <c r="J809" s="4">
        <v>4200000</v>
      </c>
      <c r="K809" s="2">
        <f t="shared" si="97"/>
        <v>0.92735703245749612</v>
      </c>
      <c r="L809" t="s">
        <v>11601</v>
      </c>
      <c r="M809" t="s">
        <v>174</v>
      </c>
      <c r="N809" t="b">
        <f t="shared" si="98"/>
        <v>0</v>
      </c>
    </row>
    <row r="810" spans="1:14" x14ac:dyDescent="0.15">
      <c r="A810" t="s">
        <v>11556</v>
      </c>
      <c r="B810" t="s">
        <v>11559</v>
      </c>
      <c r="C810" t="s">
        <v>11625</v>
      </c>
      <c r="D810" t="s">
        <v>118</v>
      </c>
      <c r="E810" t="s">
        <v>11626</v>
      </c>
      <c r="F810" s="5">
        <v>5458000</v>
      </c>
      <c r="G810" s="5">
        <v>5458000</v>
      </c>
      <c r="H810" s="4">
        <v>4366000</v>
      </c>
      <c r="I810" s="2">
        <f t="shared" si="96"/>
        <v>0.79992671308171492</v>
      </c>
      <c r="J810" s="4">
        <v>5100000</v>
      </c>
      <c r="K810" s="2">
        <f t="shared" si="97"/>
        <v>0.93440820813484793</v>
      </c>
      <c r="L810" t="s">
        <v>11601</v>
      </c>
      <c r="M810" t="s">
        <v>1015</v>
      </c>
      <c r="N810" t="b">
        <f t="shared" si="98"/>
        <v>0</v>
      </c>
    </row>
    <row r="811" spans="1:14" x14ac:dyDescent="0.15">
      <c r="A811" t="s">
        <v>11556</v>
      </c>
      <c r="B811" t="s">
        <v>11559</v>
      </c>
      <c r="C811" t="s">
        <v>11627</v>
      </c>
      <c r="D811" t="s">
        <v>118</v>
      </c>
      <c r="E811" t="s">
        <v>11628</v>
      </c>
      <c r="F811" s="5">
        <v>6263000</v>
      </c>
      <c r="G811" s="5">
        <v>6263000</v>
      </c>
      <c r="H811" s="4">
        <v>5010000</v>
      </c>
      <c r="I811" s="2">
        <f t="shared" si="96"/>
        <v>0.79993613284368514</v>
      </c>
      <c r="J811" s="4">
        <v>5010000</v>
      </c>
      <c r="K811" s="2">
        <f t="shared" si="97"/>
        <v>0.79993613284368514</v>
      </c>
      <c r="L811" t="s">
        <v>11601</v>
      </c>
      <c r="M811" t="s">
        <v>1015</v>
      </c>
      <c r="N811" t="b">
        <f t="shared" si="98"/>
        <v>0</v>
      </c>
    </row>
    <row r="812" spans="1:14" x14ac:dyDescent="0.15">
      <c r="A812" t="s">
        <v>11556</v>
      </c>
      <c r="B812" t="s">
        <v>11559</v>
      </c>
      <c r="C812" t="s">
        <v>11629</v>
      </c>
      <c r="D812" t="s">
        <v>118</v>
      </c>
      <c r="E812" t="s">
        <v>11630</v>
      </c>
      <c r="F812" s="5">
        <v>9955000</v>
      </c>
      <c r="G812" s="5">
        <v>9955000</v>
      </c>
      <c r="H812" s="4">
        <v>7964000</v>
      </c>
      <c r="I812" s="2">
        <f t="shared" si="96"/>
        <v>0.8</v>
      </c>
      <c r="J812" s="4">
        <v>7987000</v>
      </c>
      <c r="K812" s="2">
        <f t="shared" si="97"/>
        <v>0.80231039678553495</v>
      </c>
      <c r="L812" t="s">
        <v>11601</v>
      </c>
      <c r="M812" t="s">
        <v>1015</v>
      </c>
      <c r="N812" t="b">
        <f t="shared" si="98"/>
        <v>0</v>
      </c>
    </row>
    <row r="813" spans="1:14" x14ac:dyDescent="0.15">
      <c r="A813" t="s">
        <v>11556</v>
      </c>
      <c r="B813" t="s">
        <v>11559</v>
      </c>
      <c r="C813" t="s">
        <v>11631</v>
      </c>
      <c r="D813" t="s">
        <v>118</v>
      </c>
      <c r="E813" t="s">
        <v>11632</v>
      </c>
      <c r="F813" s="5">
        <v>12106000</v>
      </c>
      <c r="G813" s="5">
        <v>12106000</v>
      </c>
      <c r="H813" s="4">
        <v>9684000</v>
      </c>
      <c r="I813" s="2">
        <f t="shared" si="96"/>
        <v>0.79993391706591777</v>
      </c>
      <c r="J813" s="4">
        <v>9684000</v>
      </c>
      <c r="K813" s="2">
        <f t="shared" si="97"/>
        <v>0.79993391706591777</v>
      </c>
      <c r="L813" t="s">
        <v>11633</v>
      </c>
      <c r="M813" t="s">
        <v>1132</v>
      </c>
      <c r="N813" t="b">
        <f t="shared" si="98"/>
        <v>0</v>
      </c>
    </row>
    <row r="814" spans="1:14" x14ac:dyDescent="0.15">
      <c r="A814" t="s">
        <v>11556</v>
      </c>
      <c r="B814" t="s">
        <v>11559</v>
      </c>
      <c r="C814" t="s">
        <v>11634</v>
      </c>
      <c r="D814" t="s">
        <v>118</v>
      </c>
      <c r="E814" t="s">
        <v>11635</v>
      </c>
      <c r="F814" s="5">
        <v>2174000</v>
      </c>
      <c r="G814" s="5">
        <v>2174000</v>
      </c>
      <c r="H814" s="4">
        <v>1739000</v>
      </c>
      <c r="I814" s="2">
        <f t="shared" si="96"/>
        <v>0.79990800367985282</v>
      </c>
      <c r="J814" s="4">
        <v>2000000</v>
      </c>
      <c r="K814" s="2">
        <f t="shared" si="97"/>
        <v>0.91996320147194111</v>
      </c>
      <c r="L814" t="s">
        <v>4158</v>
      </c>
      <c r="M814" t="s">
        <v>126</v>
      </c>
      <c r="N814" t="b">
        <f t="shared" si="98"/>
        <v>0</v>
      </c>
    </row>
    <row r="815" spans="1:14" x14ac:dyDescent="0.15">
      <c r="A815" t="s">
        <v>11556</v>
      </c>
      <c r="B815" t="s">
        <v>11559</v>
      </c>
      <c r="C815" t="s">
        <v>11636</v>
      </c>
      <c r="D815" t="s">
        <v>118</v>
      </c>
      <c r="E815" t="s">
        <v>11637</v>
      </c>
      <c r="F815" s="5">
        <v>3619000</v>
      </c>
      <c r="G815" s="5">
        <v>3619000</v>
      </c>
      <c r="H815" s="4">
        <v>2895000</v>
      </c>
      <c r="I815" s="2">
        <f t="shared" si="96"/>
        <v>0.79994473611494887</v>
      </c>
      <c r="J815" s="4">
        <v>3350000</v>
      </c>
      <c r="K815" s="2">
        <f t="shared" si="97"/>
        <v>0.92567007460624484</v>
      </c>
      <c r="L815" t="s">
        <v>4158</v>
      </c>
      <c r="M815" t="s">
        <v>126</v>
      </c>
      <c r="N815" t="b">
        <f t="shared" si="98"/>
        <v>0</v>
      </c>
    </row>
    <row r="816" spans="1:14" x14ac:dyDescent="0.15">
      <c r="A816" t="s">
        <v>11556</v>
      </c>
      <c r="B816" t="s">
        <v>11559</v>
      </c>
      <c r="C816" t="s">
        <v>11638</v>
      </c>
      <c r="D816" t="s">
        <v>118</v>
      </c>
      <c r="E816" t="s">
        <v>11639</v>
      </c>
      <c r="F816" s="5">
        <v>6333000</v>
      </c>
      <c r="G816" s="5">
        <v>6333000</v>
      </c>
      <c r="H816" s="4">
        <v>5066000</v>
      </c>
      <c r="I816" s="2">
        <f t="shared" si="96"/>
        <v>0.79993683878098842</v>
      </c>
      <c r="J816" s="4">
        <v>5900000</v>
      </c>
      <c r="K816" s="2">
        <f t="shared" si="97"/>
        <v>0.93162798042002215</v>
      </c>
      <c r="L816" t="s">
        <v>11640</v>
      </c>
      <c r="M816" t="s">
        <v>21</v>
      </c>
      <c r="N816" t="b">
        <f t="shared" si="98"/>
        <v>0</v>
      </c>
    </row>
    <row r="817" spans="1:14" x14ac:dyDescent="0.15">
      <c r="A817" t="s">
        <v>11556</v>
      </c>
      <c r="B817" t="s">
        <v>11562</v>
      </c>
      <c r="C817" t="s">
        <v>11641</v>
      </c>
      <c r="D817" t="s">
        <v>118</v>
      </c>
      <c r="E817" t="s">
        <v>11642</v>
      </c>
      <c r="F817" s="5">
        <v>15170000</v>
      </c>
      <c r="G817" s="5">
        <v>15170000</v>
      </c>
      <c r="H817" s="4">
        <v>12136000</v>
      </c>
      <c r="I817" s="2">
        <f t="shared" si="96"/>
        <v>0.8</v>
      </c>
      <c r="J817" s="4">
        <v>12136000</v>
      </c>
      <c r="K817" s="2">
        <f t="shared" si="97"/>
        <v>0.8</v>
      </c>
      <c r="L817" t="s">
        <v>540</v>
      </c>
      <c r="M817" t="s">
        <v>1015</v>
      </c>
      <c r="N817" t="b">
        <f t="shared" si="98"/>
        <v>0</v>
      </c>
    </row>
    <row r="818" spans="1:14" x14ac:dyDescent="0.15">
      <c r="A818" t="s">
        <v>11556</v>
      </c>
      <c r="B818" t="s">
        <v>11559</v>
      </c>
      <c r="C818" t="s">
        <v>11643</v>
      </c>
      <c r="D818" t="s">
        <v>118</v>
      </c>
      <c r="E818" t="s">
        <v>11644</v>
      </c>
      <c r="F818" s="5">
        <v>9018000</v>
      </c>
      <c r="G818" s="5">
        <v>9018000</v>
      </c>
      <c r="H818" s="4">
        <v>7214000</v>
      </c>
      <c r="I818" s="2">
        <f t="shared" si="96"/>
        <v>0.79995564426702148</v>
      </c>
      <c r="J818" s="4">
        <v>7246000</v>
      </c>
      <c r="K818" s="2">
        <f t="shared" si="97"/>
        <v>0.8035041029053005</v>
      </c>
      <c r="L818" t="s">
        <v>11645</v>
      </c>
      <c r="M818" t="s">
        <v>174</v>
      </c>
      <c r="N818" t="b">
        <f t="shared" si="98"/>
        <v>0</v>
      </c>
    </row>
    <row r="819" spans="1:14" x14ac:dyDescent="0.15">
      <c r="A819" t="s">
        <v>11556</v>
      </c>
      <c r="B819" t="s">
        <v>11559</v>
      </c>
      <c r="C819" t="s">
        <v>11646</v>
      </c>
      <c r="D819" t="s">
        <v>118</v>
      </c>
      <c r="E819" t="s">
        <v>11647</v>
      </c>
      <c r="F819" s="5">
        <v>16249000</v>
      </c>
      <c r="G819" s="5">
        <v>16249000</v>
      </c>
      <c r="H819" s="4">
        <v>12999000</v>
      </c>
      <c r="I819" s="2">
        <f t="shared" si="96"/>
        <v>0.79998769155024929</v>
      </c>
      <c r="J819" s="4">
        <v>13039000</v>
      </c>
      <c r="K819" s="2">
        <f t="shared" si="97"/>
        <v>0.80244938150040002</v>
      </c>
      <c r="L819" t="s">
        <v>11648</v>
      </c>
      <c r="M819" t="s">
        <v>165</v>
      </c>
      <c r="N819" t="b">
        <f t="shared" si="98"/>
        <v>0</v>
      </c>
    </row>
    <row r="820" spans="1:14" x14ac:dyDescent="0.15">
      <c r="A820" t="s">
        <v>11556</v>
      </c>
      <c r="B820" t="s">
        <v>11562</v>
      </c>
      <c r="C820" t="s">
        <v>11649</v>
      </c>
      <c r="D820" t="s">
        <v>118</v>
      </c>
      <c r="E820" t="s">
        <v>11650</v>
      </c>
      <c r="F820" s="5">
        <v>7290000</v>
      </c>
      <c r="G820" s="5">
        <v>7290000</v>
      </c>
      <c r="H820" s="4">
        <v>5832000</v>
      </c>
      <c r="I820" s="2">
        <f t="shared" si="96"/>
        <v>0.8</v>
      </c>
      <c r="J820" s="4">
        <v>6950000</v>
      </c>
      <c r="K820" s="2">
        <f t="shared" si="97"/>
        <v>0.95336076817558302</v>
      </c>
      <c r="L820" t="s">
        <v>11619</v>
      </c>
      <c r="M820" t="s">
        <v>432</v>
      </c>
      <c r="N820" t="b">
        <f t="shared" si="98"/>
        <v>0</v>
      </c>
    </row>
    <row r="821" spans="1:14" x14ac:dyDescent="0.15">
      <c r="A821" t="s">
        <v>11556</v>
      </c>
      <c r="B821" t="s">
        <v>11562</v>
      </c>
      <c r="C821" t="s">
        <v>11651</v>
      </c>
      <c r="D821" t="s">
        <v>118</v>
      </c>
      <c r="E821" t="s">
        <v>11652</v>
      </c>
      <c r="F821" s="5">
        <v>17582000</v>
      </c>
      <c r="G821" s="5">
        <v>17582000</v>
      </c>
      <c r="H821" s="4">
        <v>14065000</v>
      </c>
      <c r="I821" s="2">
        <f t="shared" si="96"/>
        <v>0.79996587418951204</v>
      </c>
      <c r="J821" s="4">
        <v>14105000</v>
      </c>
      <c r="K821" s="2">
        <f t="shared" si="97"/>
        <v>0.80224092822204529</v>
      </c>
      <c r="L821" t="s">
        <v>312</v>
      </c>
      <c r="M821" t="s">
        <v>1015</v>
      </c>
      <c r="N821" t="b">
        <f t="shared" si="98"/>
        <v>0</v>
      </c>
    </row>
    <row r="822" spans="1:14" x14ac:dyDescent="0.15">
      <c r="A822" t="s">
        <v>11556</v>
      </c>
      <c r="B822" t="s">
        <v>11562</v>
      </c>
      <c r="C822" t="s">
        <v>11653</v>
      </c>
      <c r="D822" t="s">
        <v>118</v>
      </c>
      <c r="E822" t="s">
        <v>11654</v>
      </c>
      <c r="F822" s="5">
        <v>5560000</v>
      </c>
      <c r="G822" s="5">
        <v>5560000</v>
      </c>
      <c r="H822" s="4">
        <v>4448000</v>
      </c>
      <c r="I822" s="2">
        <f t="shared" si="96"/>
        <v>0.8</v>
      </c>
      <c r="J822" s="4">
        <v>4466000</v>
      </c>
      <c r="K822" s="2">
        <f t="shared" si="97"/>
        <v>0.80323741007194249</v>
      </c>
      <c r="L822" t="s">
        <v>11655</v>
      </c>
      <c r="M822" t="s">
        <v>183</v>
      </c>
      <c r="N822" t="b">
        <f t="shared" si="98"/>
        <v>0</v>
      </c>
    </row>
    <row r="823" spans="1:14" x14ac:dyDescent="0.15">
      <c r="A823" t="s">
        <v>11556</v>
      </c>
      <c r="B823" t="s">
        <v>11562</v>
      </c>
      <c r="C823" t="s">
        <v>11656</v>
      </c>
      <c r="D823" t="s">
        <v>118</v>
      </c>
      <c r="E823" t="s">
        <v>11657</v>
      </c>
      <c r="F823" s="5">
        <v>60750000</v>
      </c>
      <c r="G823" s="5">
        <v>60750000</v>
      </c>
      <c r="H823" s="4">
        <v>48600000</v>
      </c>
      <c r="I823" s="2">
        <f t="shared" si="96"/>
        <v>0.8</v>
      </c>
      <c r="J823" s="4">
        <v>49300000</v>
      </c>
      <c r="K823" s="2">
        <f t="shared" si="97"/>
        <v>0.811522633744856</v>
      </c>
      <c r="L823" t="s">
        <v>7249</v>
      </c>
      <c r="M823" t="s">
        <v>1015</v>
      </c>
      <c r="N823" t="b">
        <f t="shared" si="98"/>
        <v>0</v>
      </c>
    </row>
    <row r="824" spans="1:14" x14ac:dyDescent="0.15">
      <c r="A824" t="s">
        <v>11556</v>
      </c>
      <c r="B824" t="s">
        <v>11562</v>
      </c>
      <c r="C824" t="s">
        <v>11658</v>
      </c>
      <c r="D824" t="s">
        <v>118</v>
      </c>
      <c r="E824" t="s">
        <v>11659</v>
      </c>
      <c r="F824" s="5">
        <v>5730000</v>
      </c>
      <c r="G824" s="5">
        <v>5730000</v>
      </c>
      <c r="H824" s="4">
        <v>4564000</v>
      </c>
      <c r="I824" s="2">
        <f t="shared" si="96"/>
        <v>0.79650959860383941</v>
      </c>
      <c r="J824" s="4">
        <v>5000000</v>
      </c>
      <c r="K824" s="2">
        <f t="shared" si="97"/>
        <v>0.87260034904013961</v>
      </c>
      <c r="L824" t="s">
        <v>11655</v>
      </c>
      <c r="M824" t="s">
        <v>183</v>
      </c>
      <c r="N824" t="b">
        <f t="shared" si="98"/>
        <v>0</v>
      </c>
    </row>
    <row r="825" spans="1:14" x14ac:dyDescent="0.15">
      <c r="A825" t="s">
        <v>11556</v>
      </c>
      <c r="B825" t="s">
        <v>11562</v>
      </c>
      <c r="C825" t="s">
        <v>11615</v>
      </c>
      <c r="D825" t="s">
        <v>118</v>
      </c>
      <c r="E825" t="s">
        <v>11660</v>
      </c>
      <c r="F825" s="5">
        <v>3820000</v>
      </c>
      <c r="G825" s="5">
        <v>3820000</v>
      </c>
      <c r="H825" s="4">
        <v>3043000</v>
      </c>
      <c r="I825" s="2">
        <f t="shared" si="96"/>
        <v>0.79659685863874341</v>
      </c>
      <c r="J825" s="4">
        <v>3550000</v>
      </c>
      <c r="K825" s="2">
        <f t="shared" si="97"/>
        <v>0.9293193717277487</v>
      </c>
      <c r="L825" t="s">
        <v>11576</v>
      </c>
      <c r="M825" t="s">
        <v>126</v>
      </c>
      <c r="N825" t="b">
        <f t="shared" si="98"/>
        <v>0</v>
      </c>
    </row>
    <row r="826" spans="1:14" x14ac:dyDescent="0.15">
      <c r="A826" t="s">
        <v>11556</v>
      </c>
      <c r="B826" t="s">
        <v>11562</v>
      </c>
      <c r="C826" t="s">
        <v>11661</v>
      </c>
      <c r="D826" t="s">
        <v>118</v>
      </c>
      <c r="E826" t="s">
        <v>11662</v>
      </c>
      <c r="F826" s="5">
        <v>3950000</v>
      </c>
      <c r="G826" s="5">
        <v>3950000</v>
      </c>
      <c r="H826" s="4">
        <v>3147000</v>
      </c>
      <c r="I826" s="2">
        <f t="shared" si="96"/>
        <v>0.79670886075949365</v>
      </c>
      <c r="J826" s="4">
        <v>3670000</v>
      </c>
      <c r="K826" s="2">
        <f t="shared" si="97"/>
        <v>0.92911392405063287</v>
      </c>
      <c r="L826" t="s">
        <v>11573</v>
      </c>
      <c r="M826" t="s">
        <v>126</v>
      </c>
      <c r="N826" t="b">
        <f t="shared" si="98"/>
        <v>0</v>
      </c>
    </row>
    <row r="827" spans="1:14" x14ac:dyDescent="0.15">
      <c r="A827" t="s">
        <v>11556</v>
      </c>
      <c r="B827" t="s">
        <v>11562</v>
      </c>
      <c r="C827" t="s">
        <v>11663</v>
      </c>
      <c r="D827" t="s">
        <v>118</v>
      </c>
      <c r="E827" t="s">
        <v>11664</v>
      </c>
      <c r="F827" s="5">
        <v>4270000</v>
      </c>
      <c r="G827" s="5">
        <v>4270000</v>
      </c>
      <c r="H827" s="4">
        <v>3399000</v>
      </c>
      <c r="I827" s="2">
        <f t="shared" si="96"/>
        <v>0.79601873536299761</v>
      </c>
      <c r="J827" s="4">
        <v>3970000</v>
      </c>
      <c r="K827" s="2">
        <f t="shared" si="97"/>
        <v>0.92974238875878223</v>
      </c>
      <c r="L827" t="s">
        <v>11568</v>
      </c>
      <c r="M827" t="s">
        <v>126</v>
      </c>
      <c r="N827" t="b">
        <f t="shared" si="98"/>
        <v>0</v>
      </c>
    </row>
    <row r="828" spans="1:14" x14ac:dyDescent="0.15">
      <c r="A828" t="s">
        <v>11556</v>
      </c>
      <c r="B828" t="s">
        <v>11562</v>
      </c>
      <c r="C828" t="s">
        <v>11665</v>
      </c>
      <c r="D828" t="s">
        <v>118</v>
      </c>
      <c r="E828" t="s">
        <v>11666</v>
      </c>
      <c r="F828" s="5">
        <v>4430000</v>
      </c>
      <c r="G828" s="5">
        <v>4430000</v>
      </c>
      <c r="H828" s="4">
        <v>3526000</v>
      </c>
      <c r="I828" s="2">
        <f t="shared" si="96"/>
        <v>0.79593679458239275</v>
      </c>
      <c r="J828" s="4">
        <v>4110000</v>
      </c>
      <c r="K828" s="2">
        <f t="shared" si="97"/>
        <v>0.92776523702031599</v>
      </c>
      <c r="L828" t="s">
        <v>11579</v>
      </c>
      <c r="M828" t="s">
        <v>126</v>
      </c>
      <c r="N828" t="b">
        <f t="shared" si="98"/>
        <v>0</v>
      </c>
    </row>
    <row r="829" spans="1:14" x14ac:dyDescent="0.15">
      <c r="A829" t="s">
        <v>11556</v>
      </c>
      <c r="B829" t="s">
        <v>11562</v>
      </c>
      <c r="C829" t="s">
        <v>11667</v>
      </c>
      <c r="D829" t="s">
        <v>118</v>
      </c>
      <c r="E829" t="s">
        <v>11668</v>
      </c>
      <c r="F829" s="5">
        <v>4510000</v>
      </c>
      <c r="G829" s="5">
        <v>4510000</v>
      </c>
      <c r="H829" s="4">
        <v>3591000</v>
      </c>
      <c r="I829" s="2">
        <f t="shared" si="96"/>
        <v>0.79623059866962309</v>
      </c>
      <c r="J829" s="4">
        <v>4140000</v>
      </c>
      <c r="K829" s="2">
        <f t="shared" si="97"/>
        <v>0.91796008869179602</v>
      </c>
      <c r="L829" t="s">
        <v>2618</v>
      </c>
      <c r="M829" t="s">
        <v>126</v>
      </c>
      <c r="N829" t="b">
        <f t="shared" si="98"/>
        <v>0</v>
      </c>
    </row>
    <row r="830" spans="1:14" x14ac:dyDescent="0.15">
      <c r="A830" t="s">
        <v>11556</v>
      </c>
      <c r="B830" t="s">
        <v>11562</v>
      </c>
      <c r="C830" t="s">
        <v>11669</v>
      </c>
      <c r="D830" t="s">
        <v>118</v>
      </c>
      <c r="E830" t="s">
        <v>11670</v>
      </c>
      <c r="F830" s="5">
        <v>11920000</v>
      </c>
      <c r="G830" s="5">
        <v>11920000</v>
      </c>
      <c r="H830" s="4">
        <v>9491000</v>
      </c>
      <c r="I830" s="2">
        <f t="shared" si="96"/>
        <v>0.79622483221476514</v>
      </c>
      <c r="J830" s="4">
        <v>11900000</v>
      </c>
      <c r="K830" s="2">
        <f t="shared" si="97"/>
        <v>0.99832214765100669</v>
      </c>
      <c r="L830" t="s">
        <v>5415</v>
      </c>
      <c r="M830" t="s">
        <v>192</v>
      </c>
      <c r="N830" t="b">
        <f t="shared" si="98"/>
        <v>0</v>
      </c>
    </row>
    <row r="831" spans="1:14" x14ac:dyDescent="0.15">
      <c r="A831" t="s">
        <v>11556</v>
      </c>
      <c r="B831" t="s">
        <v>11562</v>
      </c>
      <c r="C831" t="s">
        <v>11671</v>
      </c>
      <c r="D831" t="s">
        <v>118</v>
      </c>
      <c r="E831" t="s">
        <v>11672</v>
      </c>
      <c r="F831" s="5">
        <v>3950000</v>
      </c>
      <c r="G831" s="5">
        <v>3950000</v>
      </c>
      <c r="H831" s="4">
        <v>3146000</v>
      </c>
      <c r="I831" s="2">
        <f t="shared" si="96"/>
        <v>0.79645569620253165</v>
      </c>
      <c r="J831" s="4">
        <v>3630000</v>
      </c>
      <c r="K831" s="2">
        <f t="shared" si="97"/>
        <v>0.91898734177215191</v>
      </c>
      <c r="L831" t="s">
        <v>4158</v>
      </c>
      <c r="M831" t="s">
        <v>126</v>
      </c>
      <c r="N831" t="b">
        <f t="shared" si="98"/>
        <v>0</v>
      </c>
    </row>
    <row r="832" spans="1:14" x14ac:dyDescent="0.15">
      <c r="A832" t="s">
        <v>11556</v>
      </c>
      <c r="B832" t="s">
        <v>11562</v>
      </c>
      <c r="C832" t="s">
        <v>11673</v>
      </c>
      <c r="D832" t="s">
        <v>118</v>
      </c>
      <c r="E832" t="s">
        <v>11674</v>
      </c>
      <c r="F832" s="5">
        <v>4380000</v>
      </c>
      <c r="G832" s="5">
        <v>4380000</v>
      </c>
      <c r="H832" s="4">
        <v>3488000</v>
      </c>
      <c r="I832" s="2">
        <f t="shared" si="96"/>
        <v>0.79634703196347034</v>
      </c>
      <c r="J832" s="4">
        <v>4070000</v>
      </c>
      <c r="K832" s="2">
        <f t="shared" si="97"/>
        <v>0.92922374429223742</v>
      </c>
      <c r="L832" t="s">
        <v>11614</v>
      </c>
      <c r="M832" t="s">
        <v>126</v>
      </c>
      <c r="N832" t="b">
        <f t="shared" si="98"/>
        <v>0</v>
      </c>
    </row>
    <row r="833" spans="1:14" x14ac:dyDescent="0.15">
      <c r="A833" t="s">
        <v>11556</v>
      </c>
      <c r="B833" t="s">
        <v>11562</v>
      </c>
      <c r="C833" t="s">
        <v>11675</v>
      </c>
      <c r="D833" t="s">
        <v>118</v>
      </c>
      <c r="E833" t="s">
        <v>11676</v>
      </c>
      <c r="F833" s="5">
        <v>4390000</v>
      </c>
      <c r="G833" s="5">
        <v>4390000</v>
      </c>
      <c r="H833" s="4">
        <v>3496000</v>
      </c>
      <c r="I833" s="2">
        <f t="shared" si="96"/>
        <v>0.7963553530751708</v>
      </c>
      <c r="J833" s="4">
        <v>4080000</v>
      </c>
      <c r="K833" s="2">
        <f t="shared" si="97"/>
        <v>0.92938496583143504</v>
      </c>
      <c r="L833" t="s">
        <v>11573</v>
      </c>
      <c r="M833" t="s">
        <v>126</v>
      </c>
      <c r="N833" t="b">
        <f t="shared" si="98"/>
        <v>0</v>
      </c>
    </row>
    <row r="834" spans="1:14" x14ac:dyDescent="0.15">
      <c r="A834" t="s">
        <v>11556</v>
      </c>
      <c r="B834" t="s">
        <v>11562</v>
      </c>
      <c r="C834" t="s">
        <v>11677</v>
      </c>
      <c r="D834" t="s">
        <v>118</v>
      </c>
      <c r="E834" t="s">
        <v>11678</v>
      </c>
      <c r="F834" s="5">
        <v>4450000</v>
      </c>
      <c r="G834" s="5">
        <v>4450000</v>
      </c>
      <c r="H834" s="4">
        <v>3544000</v>
      </c>
      <c r="I834" s="2">
        <f t="shared" si="96"/>
        <v>0.79640449438202243</v>
      </c>
      <c r="J834" s="4">
        <v>4100000</v>
      </c>
      <c r="K834" s="2">
        <f t="shared" si="97"/>
        <v>0.9213483146067416</v>
      </c>
      <c r="L834" t="s">
        <v>11594</v>
      </c>
      <c r="M834" t="s">
        <v>126</v>
      </c>
      <c r="N834" t="b">
        <f t="shared" si="98"/>
        <v>0</v>
      </c>
    </row>
    <row r="835" spans="1:14" x14ac:dyDescent="0.15">
      <c r="A835" t="s">
        <v>11556</v>
      </c>
      <c r="B835" t="s">
        <v>11562</v>
      </c>
      <c r="C835" t="s">
        <v>11679</v>
      </c>
      <c r="D835" t="s">
        <v>118</v>
      </c>
      <c r="E835" t="s">
        <v>11680</v>
      </c>
      <c r="F835" s="5">
        <v>4510000</v>
      </c>
      <c r="G835" s="5">
        <v>4510000</v>
      </c>
      <c r="H835" s="4">
        <v>3591000</v>
      </c>
      <c r="I835" s="2">
        <f t="shared" si="96"/>
        <v>0.79623059866962309</v>
      </c>
      <c r="J835" s="4">
        <v>4190000</v>
      </c>
      <c r="K835" s="2">
        <f t="shared" si="97"/>
        <v>0.92904656319290468</v>
      </c>
      <c r="L835" t="s">
        <v>11579</v>
      </c>
      <c r="M835" t="s">
        <v>126</v>
      </c>
      <c r="N835" t="b">
        <f t="shared" si="98"/>
        <v>0</v>
      </c>
    </row>
    <row r="836" spans="1:14" x14ac:dyDescent="0.15">
      <c r="A836" t="s">
        <v>11556</v>
      </c>
      <c r="B836" t="s">
        <v>11562</v>
      </c>
      <c r="C836" t="s">
        <v>11681</v>
      </c>
      <c r="D836" t="s">
        <v>118</v>
      </c>
      <c r="E836" t="s">
        <v>11682</v>
      </c>
      <c r="F836" s="5">
        <v>4590000</v>
      </c>
      <c r="G836" s="5">
        <v>4590000</v>
      </c>
      <c r="H836" s="4">
        <v>3655000</v>
      </c>
      <c r="I836" s="2">
        <f t="shared" ref="I836:I899" si="99">H836/G836</f>
        <v>0.79629629629629628</v>
      </c>
      <c r="J836" s="4">
        <v>4260000</v>
      </c>
      <c r="K836" s="2">
        <f t="shared" ref="K836:K899" si="100">J836/G836</f>
        <v>0.92810457516339873</v>
      </c>
      <c r="L836" t="s">
        <v>11568</v>
      </c>
      <c r="M836" t="s">
        <v>126</v>
      </c>
      <c r="N836" t="b">
        <f t="shared" ref="N836:N899" si="101">F836&lt;&gt;G836</f>
        <v>0</v>
      </c>
    </row>
    <row r="837" spans="1:14" x14ac:dyDescent="0.15">
      <c r="A837" t="s">
        <v>11556</v>
      </c>
      <c r="B837" t="s">
        <v>11562</v>
      </c>
      <c r="C837" t="s">
        <v>11683</v>
      </c>
      <c r="D837" t="s">
        <v>118</v>
      </c>
      <c r="E837" t="s">
        <v>11684</v>
      </c>
      <c r="F837" s="5">
        <v>4620000</v>
      </c>
      <c r="G837" s="5">
        <v>4620000</v>
      </c>
      <c r="H837" s="4">
        <v>3679000</v>
      </c>
      <c r="I837" s="2">
        <f t="shared" si="99"/>
        <v>0.79632034632034632</v>
      </c>
      <c r="J837" s="4">
        <v>4250000</v>
      </c>
      <c r="K837" s="2">
        <f t="shared" si="100"/>
        <v>0.91991341991341991</v>
      </c>
      <c r="L837" t="s">
        <v>2618</v>
      </c>
      <c r="M837" t="s">
        <v>126</v>
      </c>
      <c r="N837" t="b">
        <f t="shared" si="101"/>
        <v>0</v>
      </c>
    </row>
    <row r="838" spans="1:14" x14ac:dyDescent="0.15">
      <c r="A838" t="s">
        <v>11556</v>
      </c>
      <c r="B838" t="s">
        <v>11562</v>
      </c>
      <c r="C838" t="s">
        <v>11685</v>
      </c>
      <c r="D838" t="s">
        <v>118</v>
      </c>
      <c r="E838" t="s">
        <v>11686</v>
      </c>
      <c r="F838" s="5">
        <v>4810000</v>
      </c>
      <c r="G838" s="5">
        <v>4810000</v>
      </c>
      <c r="H838" s="4">
        <v>3828000</v>
      </c>
      <c r="I838" s="2">
        <f t="shared" si="99"/>
        <v>0.79584199584199589</v>
      </c>
      <c r="J838" s="4">
        <v>4460000</v>
      </c>
      <c r="K838" s="2">
        <f t="shared" si="100"/>
        <v>0.92723492723492729</v>
      </c>
      <c r="L838" t="s">
        <v>752</v>
      </c>
      <c r="M838" t="s">
        <v>126</v>
      </c>
      <c r="N838" t="b">
        <f t="shared" si="101"/>
        <v>0</v>
      </c>
    </row>
    <row r="839" spans="1:14" x14ac:dyDescent="0.15">
      <c r="A839" t="s">
        <v>11556</v>
      </c>
      <c r="B839" t="s">
        <v>11562</v>
      </c>
      <c r="C839" t="s">
        <v>11687</v>
      </c>
      <c r="D839" t="s">
        <v>118</v>
      </c>
      <c r="E839" t="s">
        <v>11688</v>
      </c>
      <c r="F839" s="5">
        <v>4890000</v>
      </c>
      <c r="G839" s="5">
        <v>4890000</v>
      </c>
      <c r="H839" s="4">
        <v>3894000</v>
      </c>
      <c r="I839" s="2">
        <f t="shared" si="99"/>
        <v>0.79631901840490793</v>
      </c>
      <c r="J839" s="4">
        <v>4540000</v>
      </c>
      <c r="K839" s="2">
        <f t="shared" si="100"/>
        <v>0.92842535787321068</v>
      </c>
      <c r="L839" t="s">
        <v>11576</v>
      </c>
      <c r="M839" t="s">
        <v>126</v>
      </c>
      <c r="N839" t="b">
        <f t="shared" si="101"/>
        <v>0</v>
      </c>
    </row>
    <row r="840" spans="1:14" x14ac:dyDescent="0.15">
      <c r="A840" t="s">
        <v>11556</v>
      </c>
      <c r="B840" t="s">
        <v>11562</v>
      </c>
      <c r="C840" t="s">
        <v>11656</v>
      </c>
      <c r="D840" t="s">
        <v>118</v>
      </c>
      <c r="E840" t="s">
        <v>11689</v>
      </c>
      <c r="F840" s="5" t="s">
        <v>145</v>
      </c>
      <c r="G840" s="5">
        <v>51780000</v>
      </c>
      <c r="H840" t="s">
        <v>145</v>
      </c>
      <c r="I840" s="2" t="e">
        <f t="shared" si="99"/>
        <v>#VALUE!</v>
      </c>
      <c r="K840" s="2">
        <f t="shared" si="100"/>
        <v>0</v>
      </c>
      <c r="M840" t="s">
        <v>1015</v>
      </c>
      <c r="N840" t="b">
        <f t="shared" si="101"/>
        <v>1</v>
      </c>
    </row>
    <row r="841" spans="1:14" x14ac:dyDescent="0.15">
      <c r="A841" t="s">
        <v>11556</v>
      </c>
      <c r="B841" t="s">
        <v>11562</v>
      </c>
      <c r="C841" t="s">
        <v>11690</v>
      </c>
      <c r="D841" t="s">
        <v>118</v>
      </c>
      <c r="E841" t="s">
        <v>11691</v>
      </c>
      <c r="F841" s="5">
        <v>15710000</v>
      </c>
      <c r="G841" s="5">
        <v>15710000</v>
      </c>
      <c r="H841" s="4">
        <v>12508000</v>
      </c>
      <c r="I841" s="2">
        <f t="shared" si="99"/>
        <v>0.79618077657542963</v>
      </c>
      <c r="J841" s="4">
        <v>14800000</v>
      </c>
      <c r="K841" s="2">
        <f t="shared" si="100"/>
        <v>0.94207511139401656</v>
      </c>
      <c r="L841" t="s">
        <v>11692</v>
      </c>
      <c r="M841" t="s">
        <v>139</v>
      </c>
      <c r="N841" t="b">
        <f t="shared" si="101"/>
        <v>0</v>
      </c>
    </row>
    <row r="842" spans="1:14" x14ac:dyDescent="0.15">
      <c r="A842" t="s">
        <v>11556</v>
      </c>
      <c r="B842" t="s">
        <v>11562</v>
      </c>
      <c r="C842" t="s">
        <v>11693</v>
      </c>
      <c r="D842" t="s">
        <v>118</v>
      </c>
      <c r="E842" t="s">
        <v>11694</v>
      </c>
      <c r="F842" s="5">
        <v>17710000</v>
      </c>
      <c r="G842" s="5">
        <v>17710000</v>
      </c>
      <c r="H842" s="4">
        <v>14105000</v>
      </c>
      <c r="I842" s="2">
        <f t="shared" si="99"/>
        <v>0.79644268774703553</v>
      </c>
      <c r="J842" s="4">
        <v>16700000</v>
      </c>
      <c r="K842" s="2">
        <f t="shared" si="100"/>
        <v>0.94297007340485606</v>
      </c>
      <c r="L842" t="s">
        <v>5415</v>
      </c>
      <c r="M842" t="s">
        <v>139</v>
      </c>
      <c r="N842" t="b">
        <f t="shared" si="101"/>
        <v>0</v>
      </c>
    </row>
    <row r="843" spans="1:14" x14ac:dyDescent="0.15">
      <c r="A843" t="s">
        <v>11556</v>
      </c>
      <c r="B843" t="s">
        <v>11559</v>
      </c>
      <c r="C843" t="s">
        <v>11695</v>
      </c>
      <c r="D843" t="s">
        <v>118</v>
      </c>
      <c r="E843" t="s">
        <v>11696</v>
      </c>
      <c r="F843" s="5">
        <v>5854000</v>
      </c>
      <c r="G843" s="5">
        <v>5854000</v>
      </c>
      <c r="H843" s="4">
        <v>4669000</v>
      </c>
      <c r="I843" s="2">
        <f t="shared" si="99"/>
        <v>0.79757430816535702</v>
      </c>
      <c r="J843" s="4">
        <v>5560000</v>
      </c>
      <c r="K843" s="2">
        <f t="shared" si="100"/>
        <v>0.94977792962077212</v>
      </c>
      <c r="L843" t="s">
        <v>11640</v>
      </c>
      <c r="M843" t="s">
        <v>183</v>
      </c>
      <c r="N843" t="b">
        <f t="shared" si="101"/>
        <v>0</v>
      </c>
    </row>
    <row r="844" spans="1:14" x14ac:dyDescent="0.15">
      <c r="A844" t="s">
        <v>11556</v>
      </c>
      <c r="B844" t="s">
        <v>11562</v>
      </c>
      <c r="C844" t="s">
        <v>11697</v>
      </c>
      <c r="D844" t="s">
        <v>118</v>
      </c>
      <c r="E844" t="s">
        <v>11698</v>
      </c>
      <c r="F844" s="5">
        <v>5470000</v>
      </c>
      <c r="G844" s="5">
        <v>5470000</v>
      </c>
      <c r="H844" s="4">
        <v>4359000</v>
      </c>
      <c r="I844" s="2">
        <f t="shared" si="99"/>
        <v>0.79689213893967092</v>
      </c>
      <c r="J844" s="4">
        <v>4359000</v>
      </c>
      <c r="K844" s="2">
        <f t="shared" si="100"/>
        <v>0.79689213893967092</v>
      </c>
      <c r="L844" t="s">
        <v>11655</v>
      </c>
      <c r="M844" t="s">
        <v>1015</v>
      </c>
      <c r="N844" t="b">
        <f t="shared" si="101"/>
        <v>0</v>
      </c>
    </row>
    <row r="845" spans="1:14" x14ac:dyDescent="0.15">
      <c r="A845" t="s">
        <v>11556</v>
      </c>
      <c r="B845" t="s">
        <v>11559</v>
      </c>
      <c r="C845" t="s">
        <v>11631</v>
      </c>
      <c r="D845" t="s">
        <v>118</v>
      </c>
      <c r="E845" t="s">
        <v>11699</v>
      </c>
      <c r="F845" s="5">
        <v>12751000</v>
      </c>
      <c r="G845" s="5">
        <v>12751000</v>
      </c>
      <c r="H845" s="4">
        <v>10147000</v>
      </c>
      <c r="I845" s="2">
        <f t="shared" si="99"/>
        <v>0.79578072308054271</v>
      </c>
      <c r="J845" s="4">
        <v>10147000</v>
      </c>
      <c r="K845" s="2">
        <f t="shared" si="100"/>
        <v>0.79578072308054271</v>
      </c>
      <c r="L845" t="s">
        <v>173</v>
      </c>
      <c r="M845" t="s">
        <v>1498</v>
      </c>
      <c r="N845" t="b">
        <f t="shared" si="101"/>
        <v>0</v>
      </c>
    </row>
    <row r="846" spans="1:14" x14ac:dyDescent="0.15">
      <c r="A846" t="s">
        <v>11556</v>
      </c>
      <c r="B846" t="s">
        <v>11559</v>
      </c>
      <c r="C846" t="s">
        <v>11700</v>
      </c>
      <c r="D846" t="s">
        <v>118</v>
      </c>
      <c r="E846" t="s">
        <v>11701</v>
      </c>
      <c r="F846" s="5">
        <v>21459000</v>
      </c>
      <c r="G846" s="5">
        <v>21459000</v>
      </c>
      <c r="H846" s="4">
        <v>16974000</v>
      </c>
      <c r="I846" s="2">
        <f t="shared" si="99"/>
        <v>0.79099678456591638</v>
      </c>
      <c r="J846" s="4">
        <v>16995000</v>
      </c>
      <c r="K846" s="2">
        <f t="shared" si="100"/>
        <v>0.79197539493918634</v>
      </c>
      <c r="L846" t="s">
        <v>11605</v>
      </c>
      <c r="M846" t="s">
        <v>183</v>
      </c>
      <c r="N846" t="b">
        <f t="shared" si="101"/>
        <v>0</v>
      </c>
    </row>
    <row r="847" spans="1:14" x14ac:dyDescent="0.15">
      <c r="A847" t="s">
        <v>11556</v>
      </c>
      <c r="B847" t="s">
        <v>11562</v>
      </c>
      <c r="C847" t="s">
        <v>11669</v>
      </c>
      <c r="D847" t="s">
        <v>118</v>
      </c>
      <c r="E847" t="s">
        <v>11702</v>
      </c>
      <c r="F847" s="5" t="s">
        <v>145</v>
      </c>
      <c r="G847" s="5">
        <v>11920000</v>
      </c>
      <c r="H847" t="s">
        <v>145</v>
      </c>
      <c r="I847" s="2" t="e">
        <f t="shared" si="99"/>
        <v>#VALUE!</v>
      </c>
      <c r="K847" s="2">
        <f t="shared" si="100"/>
        <v>0</v>
      </c>
      <c r="M847" t="s">
        <v>183</v>
      </c>
      <c r="N847" t="b">
        <f t="shared" si="101"/>
        <v>1</v>
      </c>
    </row>
    <row r="848" spans="1:14" x14ac:dyDescent="0.15">
      <c r="A848" t="s">
        <v>11556</v>
      </c>
      <c r="B848" t="s">
        <v>11559</v>
      </c>
      <c r="C848" t="s">
        <v>11625</v>
      </c>
      <c r="D848" t="s">
        <v>118</v>
      </c>
      <c r="E848" t="s">
        <v>11703</v>
      </c>
      <c r="F848" s="5">
        <v>4120000</v>
      </c>
      <c r="G848" s="5">
        <v>4120000</v>
      </c>
      <c r="H848" s="4">
        <v>3277000</v>
      </c>
      <c r="I848" s="2">
        <f t="shared" si="99"/>
        <v>0.79538834951456305</v>
      </c>
      <c r="J848" s="4">
        <v>3900000</v>
      </c>
      <c r="K848" s="2">
        <f t="shared" si="100"/>
        <v>0.94660194174757284</v>
      </c>
      <c r="L848" t="s">
        <v>11601</v>
      </c>
      <c r="M848" t="s">
        <v>1015</v>
      </c>
      <c r="N848" t="b">
        <f t="shared" si="101"/>
        <v>0</v>
      </c>
    </row>
    <row r="849" spans="1:14" x14ac:dyDescent="0.15">
      <c r="A849" t="s">
        <v>11556</v>
      </c>
      <c r="B849" t="s">
        <v>11559</v>
      </c>
      <c r="C849" t="s">
        <v>11704</v>
      </c>
      <c r="D849" t="s">
        <v>118</v>
      </c>
      <c r="E849" t="s">
        <v>11705</v>
      </c>
      <c r="F849" s="5">
        <v>6321000</v>
      </c>
      <c r="G849" s="5">
        <v>6321000</v>
      </c>
      <c r="H849" s="4">
        <v>5039000</v>
      </c>
      <c r="I849" s="2">
        <f t="shared" si="99"/>
        <v>0.79718398987501982</v>
      </c>
      <c r="J849" s="4">
        <v>5040000</v>
      </c>
      <c r="K849" s="2">
        <f t="shared" si="100"/>
        <v>0.79734219269102991</v>
      </c>
      <c r="L849" t="s">
        <v>11601</v>
      </c>
      <c r="M849" t="s">
        <v>432</v>
      </c>
      <c r="N849" t="b">
        <f t="shared" si="101"/>
        <v>0</v>
      </c>
    </row>
    <row r="850" spans="1:14" x14ac:dyDescent="0.15">
      <c r="A850" t="s">
        <v>11556</v>
      </c>
      <c r="B850" t="s">
        <v>11559</v>
      </c>
      <c r="C850" t="s">
        <v>11706</v>
      </c>
      <c r="D850" t="s">
        <v>118</v>
      </c>
      <c r="E850" t="s">
        <v>11707</v>
      </c>
      <c r="F850" s="5">
        <v>7647000</v>
      </c>
      <c r="G850" s="5">
        <v>7647000</v>
      </c>
      <c r="H850" s="4">
        <v>6081000</v>
      </c>
      <c r="I850" s="2">
        <f t="shared" si="99"/>
        <v>0.79521380933699493</v>
      </c>
      <c r="J850" s="4">
        <v>6960000</v>
      </c>
      <c r="K850" s="2">
        <f t="shared" si="100"/>
        <v>0.91016084739113379</v>
      </c>
      <c r="L850" t="s">
        <v>11640</v>
      </c>
      <c r="M850" t="s">
        <v>183</v>
      </c>
      <c r="N850" t="b">
        <f t="shared" si="101"/>
        <v>0</v>
      </c>
    </row>
    <row r="851" spans="1:14" x14ac:dyDescent="0.15">
      <c r="A851" t="s">
        <v>11556</v>
      </c>
      <c r="B851" t="s">
        <v>11559</v>
      </c>
      <c r="C851" t="s">
        <v>11708</v>
      </c>
      <c r="D851" t="s">
        <v>118</v>
      </c>
      <c r="E851" t="s">
        <v>11709</v>
      </c>
      <c r="F851" s="5">
        <v>4537000</v>
      </c>
      <c r="G851" s="5">
        <v>4537000</v>
      </c>
      <c r="H851" s="4">
        <v>3608000</v>
      </c>
      <c r="I851" s="2">
        <f t="shared" si="99"/>
        <v>0.79523914480934543</v>
      </c>
      <c r="J851" s="4">
        <v>3990000</v>
      </c>
      <c r="K851" s="2">
        <f t="shared" si="100"/>
        <v>0.87943575049592237</v>
      </c>
      <c r="L851" t="s">
        <v>11601</v>
      </c>
      <c r="M851" t="s">
        <v>1015</v>
      </c>
      <c r="N851" t="b">
        <f t="shared" si="101"/>
        <v>0</v>
      </c>
    </row>
    <row r="852" spans="1:14" x14ac:dyDescent="0.15">
      <c r="A852" t="s">
        <v>11556</v>
      </c>
      <c r="B852" t="s">
        <v>11559</v>
      </c>
      <c r="C852" t="s">
        <v>11710</v>
      </c>
      <c r="D852" t="s">
        <v>118</v>
      </c>
      <c r="E852" t="s">
        <v>11711</v>
      </c>
      <c r="F852" s="5">
        <v>8087000</v>
      </c>
      <c r="G852" s="5">
        <v>8087000</v>
      </c>
      <c r="H852" s="4">
        <v>6469000</v>
      </c>
      <c r="I852" s="2">
        <f t="shared" si="99"/>
        <v>0.79992580685050085</v>
      </c>
      <c r="J852" s="4">
        <v>6469000</v>
      </c>
      <c r="K852" s="2">
        <f t="shared" si="100"/>
        <v>0.79992580685050085</v>
      </c>
      <c r="L852" t="s">
        <v>2598</v>
      </c>
      <c r="M852" t="s">
        <v>880</v>
      </c>
      <c r="N852" t="b">
        <f t="shared" si="101"/>
        <v>0</v>
      </c>
    </row>
    <row r="853" spans="1:14" x14ac:dyDescent="0.15">
      <c r="A853" t="s">
        <v>11556</v>
      </c>
      <c r="B853" t="s">
        <v>11562</v>
      </c>
      <c r="C853" t="s">
        <v>11693</v>
      </c>
      <c r="D853" t="s">
        <v>118</v>
      </c>
      <c r="E853" t="s">
        <v>11712</v>
      </c>
      <c r="F853" s="5" t="s">
        <v>145</v>
      </c>
      <c r="G853" s="5">
        <v>17710000</v>
      </c>
      <c r="H853" t="s">
        <v>145</v>
      </c>
      <c r="I853" s="2" t="e">
        <f t="shared" si="99"/>
        <v>#VALUE!</v>
      </c>
      <c r="K853" s="2">
        <f t="shared" si="100"/>
        <v>0</v>
      </c>
      <c r="M853" t="s">
        <v>183</v>
      </c>
      <c r="N853" t="b">
        <f t="shared" si="101"/>
        <v>1</v>
      </c>
    </row>
    <row r="854" spans="1:14" x14ac:dyDescent="0.15">
      <c r="A854" t="s">
        <v>11556</v>
      </c>
      <c r="B854" t="s">
        <v>11559</v>
      </c>
      <c r="C854" t="s">
        <v>11713</v>
      </c>
      <c r="D854" t="s">
        <v>118</v>
      </c>
      <c r="E854" t="s">
        <v>11714</v>
      </c>
      <c r="F854" s="5">
        <v>2569000</v>
      </c>
      <c r="G854" s="5">
        <v>2569000</v>
      </c>
      <c r="H854" s="4">
        <v>2043000</v>
      </c>
      <c r="I854" s="2">
        <f t="shared" si="99"/>
        <v>0.79525107045543009</v>
      </c>
      <c r="J854" s="4">
        <v>2390000</v>
      </c>
      <c r="K854" s="2">
        <f t="shared" si="100"/>
        <v>0.93032308291163879</v>
      </c>
      <c r="L854" t="s">
        <v>11576</v>
      </c>
      <c r="M854" t="s">
        <v>192</v>
      </c>
      <c r="N854" t="b">
        <f t="shared" si="101"/>
        <v>0</v>
      </c>
    </row>
    <row r="855" spans="1:14" x14ac:dyDescent="0.15">
      <c r="A855" t="s">
        <v>11556</v>
      </c>
      <c r="B855" t="s">
        <v>11559</v>
      </c>
      <c r="C855" t="s">
        <v>11715</v>
      </c>
      <c r="D855" t="s">
        <v>118</v>
      </c>
      <c r="E855" t="s">
        <v>11716</v>
      </c>
      <c r="F855" s="5">
        <v>1818000</v>
      </c>
      <c r="G855" s="5">
        <v>1818000</v>
      </c>
      <c r="H855" s="4">
        <v>1445000</v>
      </c>
      <c r="I855" s="2">
        <f t="shared" si="99"/>
        <v>0.79482948294829481</v>
      </c>
      <c r="J855" s="4">
        <v>1690000</v>
      </c>
      <c r="K855" s="2">
        <f t="shared" si="100"/>
        <v>0.92959295929592956</v>
      </c>
      <c r="L855" t="s">
        <v>11614</v>
      </c>
      <c r="M855" t="s">
        <v>192</v>
      </c>
      <c r="N855" t="b">
        <f t="shared" si="101"/>
        <v>0</v>
      </c>
    </row>
    <row r="856" spans="1:14" x14ac:dyDescent="0.15">
      <c r="A856" t="s">
        <v>11556</v>
      </c>
      <c r="B856" t="s">
        <v>11559</v>
      </c>
      <c r="C856" t="s">
        <v>11717</v>
      </c>
      <c r="D856" t="s">
        <v>118</v>
      </c>
      <c r="E856" t="s">
        <v>11718</v>
      </c>
      <c r="F856" s="5">
        <v>2721000</v>
      </c>
      <c r="G856" s="5">
        <v>2721000</v>
      </c>
      <c r="H856" s="4">
        <v>2164000</v>
      </c>
      <c r="I856" s="2">
        <f t="shared" si="99"/>
        <v>0.79529584711503121</v>
      </c>
      <c r="J856" s="4">
        <v>2530000</v>
      </c>
      <c r="K856" s="2">
        <f t="shared" si="100"/>
        <v>0.92980521866960675</v>
      </c>
      <c r="L856" t="s">
        <v>4158</v>
      </c>
      <c r="M856" t="s">
        <v>192</v>
      </c>
      <c r="N856" t="b">
        <f t="shared" si="101"/>
        <v>0</v>
      </c>
    </row>
    <row r="857" spans="1:14" x14ac:dyDescent="0.15">
      <c r="A857" t="s">
        <v>11556</v>
      </c>
      <c r="B857" t="s">
        <v>11559</v>
      </c>
      <c r="C857" t="s">
        <v>11719</v>
      </c>
      <c r="D857" t="s">
        <v>118</v>
      </c>
      <c r="E857" t="s">
        <v>11720</v>
      </c>
      <c r="F857" s="5">
        <v>4654000</v>
      </c>
      <c r="G857" s="5">
        <v>4654000</v>
      </c>
      <c r="H857" s="4">
        <v>3702000</v>
      </c>
      <c r="I857" s="2">
        <f t="shared" si="99"/>
        <v>0.79544477868500219</v>
      </c>
      <c r="J857" s="4">
        <v>4300000</v>
      </c>
      <c r="K857" s="2">
        <f t="shared" si="100"/>
        <v>0.92393639879673395</v>
      </c>
      <c r="L857" t="s">
        <v>752</v>
      </c>
      <c r="M857" t="s">
        <v>192</v>
      </c>
      <c r="N857" t="b">
        <f t="shared" si="101"/>
        <v>0</v>
      </c>
    </row>
    <row r="858" spans="1:14" x14ac:dyDescent="0.15">
      <c r="A858" t="s">
        <v>11556</v>
      </c>
      <c r="B858" t="s">
        <v>11562</v>
      </c>
      <c r="C858" t="s">
        <v>11721</v>
      </c>
      <c r="D858" t="s">
        <v>118</v>
      </c>
      <c r="E858" t="s">
        <v>11722</v>
      </c>
      <c r="F858" s="5">
        <v>13735000</v>
      </c>
      <c r="G858" s="5">
        <v>13735000</v>
      </c>
      <c r="H858" s="4">
        <v>10922000</v>
      </c>
      <c r="I858" s="2">
        <f t="shared" si="99"/>
        <v>0.79519475791772842</v>
      </c>
      <c r="J858" s="4">
        <v>10922000</v>
      </c>
      <c r="K858" s="2">
        <f t="shared" si="100"/>
        <v>0.79519475791772842</v>
      </c>
      <c r="L858" t="s">
        <v>11723</v>
      </c>
      <c r="M858" t="s">
        <v>174</v>
      </c>
      <c r="N858" t="b">
        <f t="shared" si="101"/>
        <v>0</v>
      </c>
    </row>
    <row r="859" spans="1:14" x14ac:dyDescent="0.15">
      <c r="A859" t="s">
        <v>11556</v>
      </c>
      <c r="B859" t="s">
        <v>11562</v>
      </c>
      <c r="C859" t="s">
        <v>11724</v>
      </c>
      <c r="D859" t="s">
        <v>118</v>
      </c>
      <c r="E859" t="s">
        <v>11725</v>
      </c>
      <c r="F859" s="5">
        <v>16936000</v>
      </c>
      <c r="G859" s="5">
        <v>16936000</v>
      </c>
      <c r="H859" s="4">
        <v>13142000</v>
      </c>
      <c r="I859" s="2">
        <f t="shared" si="99"/>
        <v>0.77598016060462915</v>
      </c>
      <c r="J859" s="4">
        <v>13145000</v>
      </c>
      <c r="K859" s="2">
        <f t="shared" si="100"/>
        <v>0.77615729806329714</v>
      </c>
      <c r="L859" t="s">
        <v>11726</v>
      </c>
      <c r="M859" t="s">
        <v>41</v>
      </c>
      <c r="N859" t="b">
        <f t="shared" si="101"/>
        <v>0</v>
      </c>
    </row>
    <row r="860" spans="1:14" x14ac:dyDescent="0.15">
      <c r="A860" t="s">
        <v>11556</v>
      </c>
      <c r="B860" t="s">
        <v>11562</v>
      </c>
      <c r="C860" t="s">
        <v>11727</v>
      </c>
      <c r="D860" t="s">
        <v>118</v>
      </c>
      <c r="E860" t="s">
        <v>11728</v>
      </c>
      <c r="F860" s="5">
        <v>18394000</v>
      </c>
      <c r="G860" s="5">
        <v>18394000</v>
      </c>
      <c r="H860" s="4">
        <v>14572000</v>
      </c>
      <c r="I860" s="2">
        <f t="shared" si="99"/>
        <v>0.79221485266934866</v>
      </c>
      <c r="J860" s="4">
        <v>14588000</v>
      </c>
      <c r="K860" s="2">
        <f t="shared" si="100"/>
        <v>0.79308470153310862</v>
      </c>
      <c r="L860" t="s">
        <v>11729</v>
      </c>
      <c r="M860" t="s">
        <v>432</v>
      </c>
      <c r="N860" t="b">
        <f t="shared" si="101"/>
        <v>0</v>
      </c>
    </row>
    <row r="861" spans="1:14" x14ac:dyDescent="0.15">
      <c r="A861" t="s">
        <v>11556</v>
      </c>
      <c r="B861" t="s">
        <v>11559</v>
      </c>
      <c r="C861" t="s">
        <v>11730</v>
      </c>
      <c r="D861" t="s">
        <v>118</v>
      </c>
      <c r="E861" t="s">
        <v>11728</v>
      </c>
      <c r="F861" s="5">
        <v>11458000</v>
      </c>
      <c r="G861" s="5">
        <v>11458000</v>
      </c>
      <c r="H861" s="4">
        <v>9116000</v>
      </c>
      <c r="I861" s="2">
        <f t="shared" si="99"/>
        <v>0.79560132658404603</v>
      </c>
      <c r="J861" s="4">
        <v>9116000</v>
      </c>
      <c r="K861" s="2">
        <f t="shared" si="100"/>
        <v>0.79560132658404603</v>
      </c>
      <c r="L861" t="s">
        <v>839</v>
      </c>
      <c r="M861" t="s">
        <v>80</v>
      </c>
      <c r="N861" t="b">
        <f t="shared" si="101"/>
        <v>0</v>
      </c>
    </row>
    <row r="862" spans="1:14" x14ac:dyDescent="0.15">
      <c r="A862" t="s">
        <v>11556</v>
      </c>
      <c r="B862" t="s">
        <v>11559</v>
      </c>
      <c r="C862" t="s">
        <v>11731</v>
      </c>
      <c r="D862" t="s">
        <v>118</v>
      </c>
      <c r="E862" t="s">
        <v>11732</v>
      </c>
      <c r="F862" s="5">
        <v>13396000</v>
      </c>
      <c r="G862" s="5">
        <v>13396000</v>
      </c>
      <c r="H862" s="4">
        <v>10655000</v>
      </c>
      <c r="I862" s="2">
        <f t="shared" si="99"/>
        <v>0.79538668259181844</v>
      </c>
      <c r="J862" s="4">
        <v>10655000</v>
      </c>
      <c r="K862" s="2">
        <f t="shared" si="100"/>
        <v>0.79538668259181844</v>
      </c>
      <c r="L862" t="s">
        <v>11733</v>
      </c>
      <c r="M862" t="s">
        <v>1015</v>
      </c>
      <c r="N862" t="b">
        <f t="shared" si="101"/>
        <v>0</v>
      </c>
    </row>
    <row r="863" spans="1:14" x14ac:dyDescent="0.15">
      <c r="A863" t="s">
        <v>11556</v>
      </c>
      <c r="B863" t="s">
        <v>11562</v>
      </c>
      <c r="C863" t="s">
        <v>11734</v>
      </c>
      <c r="D863" t="s">
        <v>118</v>
      </c>
      <c r="E863" t="s">
        <v>11735</v>
      </c>
      <c r="F863" s="5">
        <v>16771000</v>
      </c>
      <c r="G863" s="5">
        <v>16771000</v>
      </c>
      <c r="H863" s="4">
        <v>13337000</v>
      </c>
      <c r="I863" s="2">
        <f t="shared" si="99"/>
        <v>0.79524178641702936</v>
      </c>
      <c r="J863" s="4">
        <v>13337000</v>
      </c>
      <c r="K863" s="2">
        <f t="shared" si="100"/>
        <v>0.79524178641702936</v>
      </c>
      <c r="L863" t="s">
        <v>11692</v>
      </c>
      <c r="M863" t="s">
        <v>183</v>
      </c>
      <c r="N863" t="b">
        <f t="shared" si="101"/>
        <v>0</v>
      </c>
    </row>
    <row r="864" spans="1:14" x14ac:dyDescent="0.15">
      <c r="A864" t="s">
        <v>11556</v>
      </c>
      <c r="B864" t="s">
        <v>11559</v>
      </c>
      <c r="C864" t="s">
        <v>11736</v>
      </c>
      <c r="D864" t="s">
        <v>118</v>
      </c>
      <c r="E864" t="s">
        <v>11737</v>
      </c>
      <c r="F864" s="5">
        <v>17912000</v>
      </c>
      <c r="G864" s="5">
        <v>17912000</v>
      </c>
      <c r="H864" s="4">
        <v>14246000</v>
      </c>
      <c r="I864" s="2">
        <f t="shared" si="99"/>
        <v>0.79533273782938807</v>
      </c>
      <c r="J864" s="4">
        <v>14246000</v>
      </c>
      <c r="K864" s="2">
        <f t="shared" si="100"/>
        <v>0.79533273782938807</v>
      </c>
      <c r="L864" t="s">
        <v>3218</v>
      </c>
      <c r="M864" t="s">
        <v>1972</v>
      </c>
      <c r="N864" t="b">
        <f t="shared" si="101"/>
        <v>0</v>
      </c>
    </row>
    <row r="865" spans="1:14" x14ac:dyDescent="0.15">
      <c r="A865" t="s">
        <v>11556</v>
      </c>
      <c r="B865" t="s">
        <v>11562</v>
      </c>
      <c r="C865" t="s">
        <v>11738</v>
      </c>
      <c r="D865" t="s">
        <v>118</v>
      </c>
      <c r="E865" t="s">
        <v>11739</v>
      </c>
      <c r="F865" s="5">
        <v>53405000</v>
      </c>
      <c r="G865" s="5">
        <v>53405000</v>
      </c>
      <c r="H865" s="4">
        <v>41777000</v>
      </c>
      <c r="I865" s="2">
        <f t="shared" si="99"/>
        <v>0.7822675779421403</v>
      </c>
      <c r="J865" s="4">
        <v>42602000</v>
      </c>
      <c r="K865" s="2">
        <f t="shared" si="100"/>
        <v>0.79771556970321134</v>
      </c>
      <c r="L865" t="s">
        <v>10364</v>
      </c>
      <c r="M865" t="s">
        <v>432</v>
      </c>
      <c r="N865" t="b">
        <f t="shared" si="101"/>
        <v>0</v>
      </c>
    </row>
    <row r="866" spans="1:14" x14ac:dyDescent="0.15">
      <c r="A866" t="s">
        <v>11556</v>
      </c>
      <c r="B866" t="s">
        <v>11562</v>
      </c>
      <c r="C866" t="s">
        <v>11740</v>
      </c>
      <c r="D866" t="s">
        <v>118</v>
      </c>
      <c r="E866" t="s">
        <v>9681</v>
      </c>
      <c r="F866" s="5">
        <v>20763000</v>
      </c>
      <c r="G866" s="5">
        <v>20763000</v>
      </c>
      <c r="H866" s="4">
        <v>16513000</v>
      </c>
      <c r="I866" s="2">
        <f t="shared" si="99"/>
        <v>0.79530896305928811</v>
      </c>
      <c r="J866" s="4">
        <v>16513000</v>
      </c>
      <c r="K866" s="2">
        <f t="shared" si="100"/>
        <v>0.79530896305928811</v>
      </c>
      <c r="L866" t="s">
        <v>11645</v>
      </c>
      <c r="M866" t="s">
        <v>216</v>
      </c>
      <c r="N866" t="b">
        <f t="shared" si="101"/>
        <v>0</v>
      </c>
    </row>
    <row r="867" spans="1:14" x14ac:dyDescent="0.15">
      <c r="A867" t="s">
        <v>11556</v>
      </c>
      <c r="B867" t="s">
        <v>11559</v>
      </c>
      <c r="C867" t="s">
        <v>11741</v>
      </c>
      <c r="D867" t="s">
        <v>118</v>
      </c>
      <c r="E867" t="s">
        <v>11742</v>
      </c>
      <c r="F867" s="5">
        <v>17284000</v>
      </c>
      <c r="G867" s="5">
        <v>17284000</v>
      </c>
      <c r="H867" s="4">
        <v>13746000</v>
      </c>
      <c r="I867" s="2">
        <f t="shared" si="99"/>
        <v>0.79530201342281881</v>
      </c>
      <c r="J867" s="4">
        <v>13746000</v>
      </c>
      <c r="K867" s="2">
        <f t="shared" si="100"/>
        <v>0.79530201342281881</v>
      </c>
      <c r="L867" t="s">
        <v>339</v>
      </c>
      <c r="M867" t="s">
        <v>216</v>
      </c>
      <c r="N867" t="b">
        <f t="shared" si="101"/>
        <v>0</v>
      </c>
    </row>
    <row r="868" spans="1:14" x14ac:dyDescent="0.15">
      <c r="A868" t="s">
        <v>11556</v>
      </c>
      <c r="B868" t="s">
        <v>11562</v>
      </c>
      <c r="C868" t="s">
        <v>11743</v>
      </c>
      <c r="D868" t="s">
        <v>118</v>
      </c>
      <c r="E868" t="s">
        <v>11744</v>
      </c>
      <c r="F868" s="5">
        <v>10598000</v>
      </c>
      <c r="G868" s="5">
        <v>10598000</v>
      </c>
      <c r="H868" s="4">
        <v>8429000</v>
      </c>
      <c r="I868" s="2">
        <f t="shared" si="99"/>
        <v>0.79533874315908659</v>
      </c>
      <c r="J868" s="4">
        <v>9850000</v>
      </c>
      <c r="K868" s="2">
        <f t="shared" si="100"/>
        <v>0.92942064540479341</v>
      </c>
      <c r="L868" t="s">
        <v>11576</v>
      </c>
      <c r="M868" t="s">
        <v>126</v>
      </c>
      <c r="N868" t="b">
        <f t="shared" si="101"/>
        <v>0</v>
      </c>
    </row>
    <row r="869" spans="1:14" x14ac:dyDescent="0.15">
      <c r="A869" t="s">
        <v>11556</v>
      </c>
      <c r="B869" t="s">
        <v>11562</v>
      </c>
      <c r="C869" t="s">
        <v>11745</v>
      </c>
      <c r="D869" t="s">
        <v>118</v>
      </c>
      <c r="E869" t="s">
        <v>9759</v>
      </c>
      <c r="F869" s="5">
        <v>12320000</v>
      </c>
      <c r="G869" s="5">
        <v>12320000</v>
      </c>
      <c r="H869" s="4">
        <v>9800000</v>
      </c>
      <c r="I869" s="2">
        <f t="shared" si="99"/>
        <v>0.79545454545454541</v>
      </c>
      <c r="J869" s="4">
        <v>9800000</v>
      </c>
      <c r="K869" s="2">
        <f t="shared" si="100"/>
        <v>0.79545454545454541</v>
      </c>
      <c r="L869" t="s">
        <v>312</v>
      </c>
      <c r="M869" t="s">
        <v>432</v>
      </c>
      <c r="N869" t="b">
        <f t="shared" si="101"/>
        <v>0</v>
      </c>
    </row>
    <row r="870" spans="1:14" x14ac:dyDescent="0.15">
      <c r="A870" t="s">
        <v>11746</v>
      </c>
      <c r="B870" t="s">
        <v>11749</v>
      </c>
      <c r="C870" t="s">
        <v>11747</v>
      </c>
      <c r="D870" t="s">
        <v>23</v>
      </c>
      <c r="E870" t="s">
        <v>11748</v>
      </c>
      <c r="F870" s="5">
        <v>13204000</v>
      </c>
      <c r="G870" s="5">
        <v>13204000</v>
      </c>
      <c r="H870" s="4">
        <v>10605000</v>
      </c>
      <c r="I870" s="2">
        <f t="shared" si="99"/>
        <v>0.80316570736140569</v>
      </c>
      <c r="J870" s="4">
        <v>10605000</v>
      </c>
      <c r="K870" s="2">
        <f t="shared" si="100"/>
        <v>0.80316570736140569</v>
      </c>
      <c r="L870" t="s">
        <v>1139</v>
      </c>
      <c r="M870" t="s">
        <v>248</v>
      </c>
      <c r="N870" t="b">
        <f t="shared" si="101"/>
        <v>0</v>
      </c>
    </row>
    <row r="871" spans="1:14" x14ac:dyDescent="0.15">
      <c r="A871" t="s">
        <v>11746</v>
      </c>
      <c r="B871" t="s">
        <v>11752</v>
      </c>
      <c r="C871" t="s">
        <v>11750</v>
      </c>
      <c r="D871" t="s">
        <v>23</v>
      </c>
      <c r="E871" t="s">
        <v>11751</v>
      </c>
      <c r="F871" s="5">
        <v>3970000</v>
      </c>
      <c r="G871" s="5">
        <v>3970000</v>
      </c>
      <c r="H871" s="4">
        <v>3186000</v>
      </c>
      <c r="I871" s="2">
        <f t="shared" si="99"/>
        <v>0.80251889168765744</v>
      </c>
      <c r="J871" s="4">
        <v>3690000</v>
      </c>
      <c r="K871" s="2">
        <f t="shared" si="100"/>
        <v>0.92947103274559195</v>
      </c>
      <c r="L871" t="s">
        <v>1783</v>
      </c>
      <c r="M871" t="s">
        <v>165</v>
      </c>
      <c r="N871" t="b">
        <f t="shared" si="101"/>
        <v>0</v>
      </c>
    </row>
    <row r="872" spans="1:14" x14ac:dyDescent="0.15">
      <c r="A872" t="s">
        <v>11746</v>
      </c>
      <c r="B872" t="s">
        <v>11752</v>
      </c>
      <c r="C872" t="s">
        <v>11750</v>
      </c>
      <c r="D872" t="s">
        <v>23</v>
      </c>
      <c r="E872" t="s">
        <v>11753</v>
      </c>
      <c r="F872" s="5">
        <v>4240000</v>
      </c>
      <c r="G872" s="5">
        <v>4240000</v>
      </c>
      <c r="H872" s="4">
        <v>3401000</v>
      </c>
      <c r="I872" s="2">
        <f t="shared" si="99"/>
        <v>0.80212264150943391</v>
      </c>
      <c r="J872" s="4">
        <v>4000000</v>
      </c>
      <c r="K872" s="2">
        <f t="shared" si="100"/>
        <v>0.94339622641509435</v>
      </c>
      <c r="L872" t="s">
        <v>4415</v>
      </c>
      <c r="M872" t="s">
        <v>174</v>
      </c>
      <c r="N872" t="b">
        <f t="shared" si="101"/>
        <v>0</v>
      </c>
    </row>
    <row r="873" spans="1:14" x14ac:dyDescent="0.15">
      <c r="A873" t="s">
        <v>11746</v>
      </c>
      <c r="B873" t="s">
        <v>11749</v>
      </c>
      <c r="C873" t="s">
        <v>11754</v>
      </c>
      <c r="D873" t="s">
        <v>23</v>
      </c>
      <c r="E873" t="s">
        <v>11755</v>
      </c>
      <c r="F873" s="5">
        <v>2706000</v>
      </c>
      <c r="G873" s="5">
        <v>2706000</v>
      </c>
      <c r="H873" s="4">
        <v>2174000</v>
      </c>
      <c r="I873" s="2">
        <f t="shared" si="99"/>
        <v>0.80339985218033994</v>
      </c>
      <c r="J873" s="4">
        <v>2174000</v>
      </c>
      <c r="K873" s="2">
        <f t="shared" si="100"/>
        <v>0.80339985218033994</v>
      </c>
      <c r="L873" t="s">
        <v>1216</v>
      </c>
      <c r="M873" t="s">
        <v>126</v>
      </c>
      <c r="N873" t="b">
        <f t="shared" si="101"/>
        <v>0</v>
      </c>
    </row>
    <row r="874" spans="1:14" x14ac:dyDescent="0.15">
      <c r="A874" t="s">
        <v>11746</v>
      </c>
      <c r="B874" t="s">
        <v>11752</v>
      </c>
      <c r="C874" t="s">
        <v>11756</v>
      </c>
      <c r="D874" t="s">
        <v>23</v>
      </c>
      <c r="E874" t="s">
        <v>11757</v>
      </c>
      <c r="F874" s="5">
        <v>11390000</v>
      </c>
      <c r="G874" s="5">
        <v>11390000</v>
      </c>
      <c r="H874" s="4">
        <v>7973000</v>
      </c>
      <c r="I874" s="2">
        <f t="shared" si="99"/>
        <v>0.7</v>
      </c>
      <c r="J874" s="4">
        <v>10600000</v>
      </c>
      <c r="K874" s="2">
        <f t="shared" si="100"/>
        <v>0.93064091308165053</v>
      </c>
      <c r="L874" t="s">
        <v>11758</v>
      </c>
      <c r="M874" t="s">
        <v>192</v>
      </c>
      <c r="N874" t="b">
        <f t="shared" si="101"/>
        <v>0</v>
      </c>
    </row>
    <row r="875" spans="1:14" x14ac:dyDescent="0.15">
      <c r="A875" t="s">
        <v>11746</v>
      </c>
      <c r="B875" t="s">
        <v>11752</v>
      </c>
      <c r="C875" t="s">
        <v>11759</v>
      </c>
      <c r="D875" t="s">
        <v>23</v>
      </c>
      <c r="E875" t="s">
        <v>11760</v>
      </c>
      <c r="F875" s="5">
        <v>6580000</v>
      </c>
      <c r="G875" s="5">
        <v>6580000</v>
      </c>
      <c r="H875" s="4">
        <v>5289000</v>
      </c>
      <c r="I875" s="2">
        <f t="shared" si="99"/>
        <v>0.80379939209726448</v>
      </c>
      <c r="J875" s="4">
        <v>6280000</v>
      </c>
      <c r="K875" s="2">
        <f t="shared" si="100"/>
        <v>0.95440729483282671</v>
      </c>
      <c r="L875" t="s">
        <v>11761</v>
      </c>
      <c r="M875" t="s">
        <v>174</v>
      </c>
      <c r="N875" t="b">
        <f t="shared" si="101"/>
        <v>0</v>
      </c>
    </row>
    <row r="876" spans="1:14" x14ac:dyDescent="0.15">
      <c r="A876" t="s">
        <v>11746</v>
      </c>
      <c r="B876" t="s">
        <v>11749</v>
      </c>
      <c r="C876" t="s">
        <v>11762</v>
      </c>
      <c r="D876" t="s">
        <v>23</v>
      </c>
      <c r="E876" t="s">
        <v>11763</v>
      </c>
      <c r="F876" s="5">
        <v>1822000</v>
      </c>
      <c r="G876" s="5">
        <v>1822000</v>
      </c>
      <c r="H876" s="4">
        <v>1494000</v>
      </c>
      <c r="I876" s="2">
        <f t="shared" si="99"/>
        <v>0.81997804610318337</v>
      </c>
      <c r="J876" s="4">
        <v>1700000</v>
      </c>
      <c r="K876" s="2">
        <f t="shared" si="100"/>
        <v>0.93304061470911082</v>
      </c>
      <c r="L876" t="s">
        <v>11764</v>
      </c>
      <c r="M876" t="s">
        <v>353</v>
      </c>
      <c r="N876" t="b">
        <f t="shared" si="101"/>
        <v>0</v>
      </c>
    </row>
    <row r="877" spans="1:14" x14ac:dyDescent="0.15">
      <c r="A877" t="s">
        <v>11746</v>
      </c>
      <c r="B877" t="s">
        <v>11749</v>
      </c>
      <c r="C877" t="s">
        <v>11765</v>
      </c>
      <c r="D877" t="s">
        <v>23</v>
      </c>
      <c r="E877" t="s">
        <v>11766</v>
      </c>
      <c r="F877" s="5">
        <v>9308000</v>
      </c>
      <c r="G877" s="5">
        <v>9308000</v>
      </c>
      <c r="H877" s="4">
        <v>6515600</v>
      </c>
      <c r="I877" s="2">
        <f t="shared" si="99"/>
        <v>0.7</v>
      </c>
      <c r="J877" s="4">
        <v>8750000</v>
      </c>
      <c r="K877" s="2">
        <f t="shared" si="100"/>
        <v>0.94005156854318861</v>
      </c>
      <c r="L877" t="s">
        <v>4026</v>
      </c>
      <c r="M877" t="s">
        <v>165</v>
      </c>
      <c r="N877" t="b">
        <f t="shared" si="101"/>
        <v>0</v>
      </c>
    </row>
    <row r="878" spans="1:14" x14ac:dyDescent="0.15">
      <c r="A878" t="s">
        <v>11746</v>
      </c>
      <c r="B878" t="s">
        <v>11752</v>
      </c>
      <c r="C878" t="s">
        <v>11767</v>
      </c>
      <c r="D878" t="s">
        <v>23</v>
      </c>
      <c r="E878" t="s">
        <v>11768</v>
      </c>
      <c r="F878" s="5">
        <v>8070000</v>
      </c>
      <c r="G878" s="5">
        <v>8070000</v>
      </c>
      <c r="H878" s="4">
        <v>6476000</v>
      </c>
      <c r="I878" s="2">
        <f t="shared" si="99"/>
        <v>0.80247831474597275</v>
      </c>
      <c r="J878" s="4">
        <v>7500000</v>
      </c>
      <c r="K878" s="2">
        <f t="shared" si="100"/>
        <v>0.92936802973977695</v>
      </c>
      <c r="L878" t="s">
        <v>11758</v>
      </c>
      <c r="M878" t="s">
        <v>174</v>
      </c>
      <c r="N878" t="b">
        <f t="shared" si="101"/>
        <v>0</v>
      </c>
    </row>
    <row r="879" spans="1:14" x14ac:dyDescent="0.15">
      <c r="A879" t="s">
        <v>11746</v>
      </c>
      <c r="B879" t="s">
        <v>11749</v>
      </c>
      <c r="C879" t="s">
        <v>11769</v>
      </c>
      <c r="D879" t="s">
        <v>23</v>
      </c>
      <c r="E879" t="s">
        <v>11770</v>
      </c>
      <c r="F879" s="5">
        <v>2720000</v>
      </c>
      <c r="G879" s="5">
        <v>2720000</v>
      </c>
      <c r="H879" s="4">
        <v>2182000</v>
      </c>
      <c r="I879" s="2">
        <f t="shared" si="99"/>
        <v>0.80220588235294121</v>
      </c>
      <c r="J879" s="4">
        <v>2500000</v>
      </c>
      <c r="K879" s="2">
        <f t="shared" si="100"/>
        <v>0.91911764705882348</v>
      </c>
      <c r="L879" t="s">
        <v>11764</v>
      </c>
      <c r="M879" t="s">
        <v>104</v>
      </c>
      <c r="N879" t="b">
        <f t="shared" si="101"/>
        <v>0</v>
      </c>
    </row>
    <row r="880" spans="1:14" x14ac:dyDescent="0.15">
      <c r="A880" t="s">
        <v>11746</v>
      </c>
      <c r="B880" t="s">
        <v>11749</v>
      </c>
      <c r="C880" t="s">
        <v>11771</v>
      </c>
      <c r="D880" t="s">
        <v>23</v>
      </c>
      <c r="E880" t="s">
        <v>11772</v>
      </c>
      <c r="F880" s="5">
        <v>4124000</v>
      </c>
      <c r="G880" s="5">
        <v>4124000</v>
      </c>
      <c r="H880" s="4">
        <v>3311000</v>
      </c>
      <c r="I880" s="2">
        <f t="shared" si="99"/>
        <v>0.80286129970902032</v>
      </c>
      <c r="J880" s="4">
        <v>3900000</v>
      </c>
      <c r="K880" s="2">
        <f t="shared" si="100"/>
        <v>0.94568380213385062</v>
      </c>
      <c r="L880" t="s">
        <v>1104</v>
      </c>
      <c r="M880" t="s">
        <v>104</v>
      </c>
      <c r="N880" t="b">
        <f t="shared" si="101"/>
        <v>0</v>
      </c>
    </row>
    <row r="881" spans="1:14" x14ac:dyDescent="0.15">
      <c r="A881" t="s">
        <v>11746</v>
      </c>
      <c r="B881" t="s">
        <v>11752</v>
      </c>
      <c r="C881" t="s">
        <v>11773</v>
      </c>
      <c r="D881" t="s">
        <v>23</v>
      </c>
      <c r="E881" t="s">
        <v>11774</v>
      </c>
      <c r="F881" s="5">
        <v>8780000</v>
      </c>
      <c r="G881" s="5">
        <v>8780000</v>
      </c>
      <c r="H881" s="4">
        <v>7073000</v>
      </c>
      <c r="I881" s="2">
        <f t="shared" si="99"/>
        <v>0.80558086560364461</v>
      </c>
      <c r="J881" s="4">
        <v>8200000</v>
      </c>
      <c r="K881" s="2">
        <f t="shared" si="100"/>
        <v>0.93394077448747148</v>
      </c>
      <c r="L881" t="s">
        <v>11764</v>
      </c>
      <c r="M881" t="s">
        <v>432</v>
      </c>
      <c r="N881" t="b">
        <f t="shared" si="101"/>
        <v>0</v>
      </c>
    </row>
    <row r="882" spans="1:14" x14ac:dyDescent="0.15">
      <c r="A882" t="s">
        <v>11746</v>
      </c>
      <c r="B882" t="s">
        <v>11749</v>
      </c>
      <c r="C882" t="s">
        <v>11775</v>
      </c>
      <c r="D882" t="s">
        <v>23</v>
      </c>
      <c r="E882" t="s">
        <v>11776</v>
      </c>
      <c r="F882" s="5">
        <v>54680000</v>
      </c>
      <c r="G882" s="5">
        <v>54680000</v>
      </c>
      <c r="H882" s="4">
        <v>38276000</v>
      </c>
      <c r="I882" s="2">
        <f t="shared" si="99"/>
        <v>0.7</v>
      </c>
      <c r="J882" s="4">
        <v>41000000</v>
      </c>
      <c r="K882" s="2">
        <f t="shared" si="100"/>
        <v>0.74981711777615212</v>
      </c>
      <c r="L882" t="s">
        <v>11764</v>
      </c>
      <c r="M882" t="s">
        <v>216</v>
      </c>
      <c r="N882" t="b">
        <f t="shared" si="101"/>
        <v>0</v>
      </c>
    </row>
    <row r="883" spans="1:14" x14ac:dyDescent="0.15">
      <c r="A883" t="s">
        <v>11746</v>
      </c>
      <c r="B883" t="s">
        <v>11749</v>
      </c>
      <c r="C883" t="s">
        <v>11777</v>
      </c>
      <c r="D883" t="s">
        <v>23</v>
      </c>
      <c r="E883" t="s">
        <v>11778</v>
      </c>
      <c r="F883" s="5">
        <v>10731000</v>
      </c>
      <c r="G883" s="5">
        <v>10731000</v>
      </c>
      <c r="H883" s="4">
        <v>7511700</v>
      </c>
      <c r="I883" s="2">
        <f t="shared" si="99"/>
        <v>0.7</v>
      </c>
      <c r="J883" s="4">
        <v>10200000</v>
      </c>
      <c r="K883" s="2">
        <f t="shared" si="100"/>
        <v>0.95051719317864136</v>
      </c>
      <c r="L883" t="s">
        <v>11779</v>
      </c>
      <c r="M883" t="s">
        <v>165</v>
      </c>
      <c r="N883" t="b">
        <f t="shared" si="101"/>
        <v>0</v>
      </c>
    </row>
    <row r="884" spans="1:14" x14ac:dyDescent="0.15">
      <c r="A884" t="s">
        <v>11746</v>
      </c>
      <c r="B884" t="s">
        <v>11752</v>
      </c>
      <c r="C884" t="s">
        <v>11780</v>
      </c>
      <c r="D884" t="s">
        <v>23</v>
      </c>
      <c r="E884" t="s">
        <v>11781</v>
      </c>
      <c r="F884" s="5">
        <v>10250000</v>
      </c>
      <c r="G884" s="5">
        <v>10250000</v>
      </c>
      <c r="H884" s="4">
        <v>7175000</v>
      </c>
      <c r="I884" s="2">
        <f t="shared" si="99"/>
        <v>0.7</v>
      </c>
      <c r="J884" s="4">
        <v>9500000</v>
      </c>
      <c r="K884" s="2">
        <f t="shared" si="100"/>
        <v>0.92682926829268297</v>
      </c>
      <c r="L884" t="s">
        <v>10326</v>
      </c>
      <c r="M884" t="s">
        <v>192</v>
      </c>
      <c r="N884" t="b">
        <f t="shared" si="101"/>
        <v>0</v>
      </c>
    </row>
    <row r="885" spans="1:14" x14ac:dyDescent="0.15">
      <c r="A885" t="s">
        <v>11746</v>
      </c>
      <c r="B885" t="s">
        <v>11784</v>
      </c>
      <c r="C885" t="s">
        <v>11782</v>
      </c>
      <c r="D885" t="s">
        <v>23</v>
      </c>
      <c r="E885" t="s">
        <v>11783</v>
      </c>
      <c r="F885" s="5">
        <v>23116000</v>
      </c>
      <c r="G885" s="5">
        <v>23116000</v>
      </c>
      <c r="H885" s="4">
        <v>16181200</v>
      </c>
      <c r="I885" s="2">
        <f t="shared" si="99"/>
        <v>0.7</v>
      </c>
      <c r="J885" s="4">
        <v>22000000</v>
      </c>
      <c r="K885" s="2">
        <f t="shared" si="100"/>
        <v>0.95172175116802216</v>
      </c>
      <c r="L885" t="s">
        <v>4026</v>
      </c>
      <c r="M885" t="s">
        <v>165</v>
      </c>
      <c r="N885" t="b">
        <f t="shared" si="101"/>
        <v>0</v>
      </c>
    </row>
    <row r="886" spans="1:14" x14ac:dyDescent="0.15">
      <c r="A886" t="s">
        <v>11746</v>
      </c>
      <c r="B886" t="s">
        <v>11749</v>
      </c>
      <c r="C886" t="s">
        <v>11785</v>
      </c>
      <c r="D886" t="s">
        <v>23</v>
      </c>
      <c r="E886" t="s">
        <v>11786</v>
      </c>
      <c r="F886" s="5">
        <v>28496000</v>
      </c>
      <c r="G886" s="5">
        <v>28496000</v>
      </c>
      <c r="H886" s="4">
        <v>19947200</v>
      </c>
      <c r="I886" s="2">
        <f t="shared" si="99"/>
        <v>0.7</v>
      </c>
      <c r="J886" s="4">
        <v>26950000</v>
      </c>
      <c r="K886" s="2">
        <f t="shared" si="100"/>
        <v>0.9457467714766985</v>
      </c>
      <c r="L886" t="s">
        <v>2267</v>
      </c>
      <c r="M886" t="s">
        <v>31</v>
      </c>
      <c r="N886" t="b">
        <f t="shared" si="101"/>
        <v>0</v>
      </c>
    </row>
    <row r="887" spans="1:14" x14ac:dyDescent="0.15">
      <c r="A887" t="s">
        <v>11746</v>
      </c>
      <c r="B887" t="s">
        <v>11749</v>
      </c>
      <c r="C887" t="s">
        <v>11787</v>
      </c>
      <c r="D887" t="s">
        <v>23</v>
      </c>
      <c r="E887" t="s">
        <v>11788</v>
      </c>
      <c r="F887" s="5">
        <v>10849000</v>
      </c>
      <c r="G887" s="5">
        <v>10849000</v>
      </c>
      <c r="H887" s="4">
        <v>7594300</v>
      </c>
      <c r="I887" s="2">
        <f t="shared" si="99"/>
        <v>0.7</v>
      </c>
      <c r="J887" s="4">
        <v>7000000</v>
      </c>
      <c r="K887" s="2">
        <f t="shared" si="100"/>
        <v>0.64522075767351827</v>
      </c>
      <c r="L887" t="s">
        <v>11789</v>
      </c>
      <c r="M887" t="s">
        <v>216</v>
      </c>
      <c r="N887" t="b">
        <f t="shared" si="101"/>
        <v>0</v>
      </c>
    </row>
    <row r="888" spans="1:14" x14ac:dyDescent="0.15">
      <c r="A888" t="s">
        <v>11746</v>
      </c>
      <c r="B888" t="s">
        <v>11749</v>
      </c>
      <c r="C888" t="s">
        <v>11790</v>
      </c>
      <c r="D888" t="s">
        <v>23</v>
      </c>
      <c r="E888" t="s">
        <v>11791</v>
      </c>
      <c r="F888" s="5">
        <v>2853000</v>
      </c>
      <c r="G888" s="5">
        <v>2853000</v>
      </c>
      <c r="H888" s="4">
        <v>2291000</v>
      </c>
      <c r="I888" s="2">
        <f t="shared" si="99"/>
        <v>0.80301437083771465</v>
      </c>
      <c r="J888" s="4">
        <v>2291000</v>
      </c>
      <c r="K888" s="2">
        <f t="shared" si="100"/>
        <v>0.80301437083771465</v>
      </c>
      <c r="L888" t="s">
        <v>11792</v>
      </c>
      <c r="M888" t="s">
        <v>104</v>
      </c>
      <c r="N888" t="b">
        <f t="shared" si="101"/>
        <v>0</v>
      </c>
    </row>
    <row r="889" spans="1:14" x14ac:dyDescent="0.15">
      <c r="A889" t="s">
        <v>11746</v>
      </c>
      <c r="B889" t="s">
        <v>11749</v>
      </c>
      <c r="C889" t="s">
        <v>11793</v>
      </c>
      <c r="D889" t="s">
        <v>23</v>
      </c>
      <c r="E889" t="s">
        <v>11794</v>
      </c>
      <c r="F889" s="5">
        <v>10827000</v>
      </c>
      <c r="G889" s="5">
        <v>10827000</v>
      </c>
      <c r="H889" s="4">
        <v>7578900</v>
      </c>
      <c r="I889" s="2">
        <f t="shared" si="99"/>
        <v>0.7</v>
      </c>
      <c r="J889" s="4">
        <v>10170000</v>
      </c>
      <c r="K889" s="2">
        <f t="shared" si="100"/>
        <v>0.93931837073981717</v>
      </c>
      <c r="L889" t="s">
        <v>2267</v>
      </c>
      <c r="M889" t="s">
        <v>165</v>
      </c>
      <c r="N889" t="b">
        <f t="shared" si="101"/>
        <v>0</v>
      </c>
    </row>
    <row r="890" spans="1:14" x14ac:dyDescent="0.15">
      <c r="A890" t="s">
        <v>11746</v>
      </c>
      <c r="B890" t="s">
        <v>11784</v>
      </c>
      <c r="C890" t="s">
        <v>11795</v>
      </c>
      <c r="D890" t="s">
        <v>23</v>
      </c>
      <c r="E890" t="s">
        <v>11796</v>
      </c>
      <c r="F890" s="5">
        <v>7690000</v>
      </c>
      <c r="G890" s="5">
        <v>7690000</v>
      </c>
      <c r="H890" s="4">
        <v>6181000</v>
      </c>
      <c r="I890" s="2">
        <f t="shared" si="99"/>
        <v>0.80377113133940181</v>
      </c>
      <c r="J890" s="4">
        <v>7300000</v>
      </c>
      <c r="K890" s="2">
        <f t="shared" si="100"/>
        <v>0.94928478543563066</v>
      </c>
      <c r="L890" t="s">
        <v>11797</v>
      </c>
      <c r="M890" t="s">
        <v>126</v>
      </c>
      <c r="N890" t="b">
        <f t="shared" si="101"/>
        <v>0</v>
      </c>
    </row>
    <row r="891" spans="1:14" x14ac:dyDescent="0.15">
      <c r="A891" t="s">
        <v>11746</v>
      </c>
      <c r="B891" t="s">
        <v>11752</v>
      </c>
      <c r="C891" t="s">
        <v>11798</v>
      </c>
      <c r="D891" t="s">
        <v>23</v>
      </c>
      <c r="E891" t="s">
        <v>11799</v>
      </c>
      <c r="F891" s="5">
        <v>4410000</v>
      </c>
      <c r="G891" s="5">
        <v>4410000</v>
      </c>
      <c r="H891" s="4">
        <v>3539000</v>
      </c>
      <c r="I891" s="2">
        <f t="shared" si="99"/>
        <v>0.80249433106575963</v>
      </c>
      <c r="J891" s="4">
        <v>4100000</v>
      </c>
      <c r="K891" s="2">
        <f t="shared" si="100"/>
        <v>0.92970521541950113</v>
      </c>
      <c r="L891" t="s">
        <v>1783</v>
      </c>
      <c r="M891" t="s">
        <v>432</v>
      </c>
      <c r="N891" t="b">
        <f t="shared" si="101"/>
        <v>0</v>
      </c>
    </row>
    <row r="892" spans="1:14" x14ac:dyDescent="0.15">
      <c r="A892" t="s">
        <v>11746</v>
      </c>
      <c r="B892" t="s">
        <v>11749</v>
      </c>
      <c r="C892" t="s">
        <v>11800</v>
      </c>
      <c r="D892" t="s">
        <v>23</v>
      </c>
      <c r="E892" t="s">
        <v>11801</v>
      </c>
      <c r="F892" s="5">
        <v>6973000</v>
      </c>
      <c r="G892" s="5">
        <v>6973000</v>
      </c>
      <c r="H892" s="4">
        <v>5524000</v>
      </c>
      <c r="I892" s="2">
        <f t="shared" si="99"/>
        <v>0.79219847985085334</v>
      </c>
      <c r="J892" s="4">
        <v>6600000</v>
      </c>
      <c r="K892" s="2">
        <f t="shared" si="100"/>
        <v>0.94650795927147569</v>
      </c>
      <c r="L892" t="s">
        <v>4026</v>
      </c>
      <c r="M892" t="s">
        <v>165</v>
      </c>
      <c r="N892" t="b">
        <f t="shared" si="101"/>
        <v>0</v>
      </c>
    </row>
    <row r="893" spans="1:14" x14ac:dyDescent="0.15">
      <c r="A893" t="s">
        <v>11746</v>
      </c>
      <c r="B893" t="s">
        <v>11752</v>
      </c>
      <c r="C893" t="s">
        <v>11802</v>
      </c>
      <c r="D893" t="s">
        <v>23</v>
      </c>
      <c r="E893" t="s">
        <v>11803</v>
      </c>
      <c r="F893" s="5">
        <v>4520000</v>
      </c>
      <c r="G893" s="5">
        <v>4520000</v>
      </c>
      <c r="H893" s="4">
        <v>3628000</v>
      </c>
      <c r="I893" s="2">
        <f t="shared" si="99"/>
        <v>0.80265486725663715</v>
      </c>
      <c r="J893" s="4">
        <v>4250000</v>
      </c>
      <c r="K893" s="2">
        <f t="shared" si="100"/>
        <v>0.94026548672566368</v>
      </c>
      <c r="L893" t="s">
        <v>11758</v>
      </c>
      <c r="M893" t="s">
        <v>432</v>
      </c>
      <c r="N893" t="b">
        <f t="shared" si="101"/>
        <v>0</v>
      </c>
    </row>
    <row r="894" spans="1:14" x14ac:dyDescent="0.15">
      <c r="A894" t="s">
        <v>11746</v>
      </c>
      <c r="B894" t="s">
        <v>11752</v>
      </c>
      <c r="C894" t="s">
        <v>11804</v>
      </c>
      <c r="D894" t="s">
        <v>23</v>
      </c>
      <c r="E894" t="s">
        <v>11805</v>
      </c>
      <c r="F894" s="5">
        <v>8710000</v>
      </c>
      <c r="G894" s="5">
        <v>8710000</v>
      </c>
      <c r="H894" s="4">
        <v>7000000</v>
      </c>
      <c r="I894" s="2">
        <f t="shared" si="99"/>
        <v>0.80367393800229625</v>
      </c>
      <c r="J894" s="4">
        <v>8100000</v>
      </c>
      <c r="K894" s="2">
        <f t="shared" si="100"/>
        <v>0.9299655568312285</v>
      </c>
      <c r="L894" t="s">
        <v>10326</v>
      </c>
      <c r="M894" t="s">
        <v>192</v>
      </c>
      <c r="N894" t="b">
        <f t="shared" si="101"/>
        <v>0</v>
      </c>
    </row>
    <row r="895" spans="1:14" x14ac:dyDescent="0.15">
      <c r="A895" t="s">
        <v>11746</v>
      </c>
      <c r="B895" t="s">
        <v>11752</v>
      </c>
      <c r="C895" t="s">
        <v>11806</v>
      </c>
      <c r="D895" t="s">
        <v>23</v>
      </c>
      <c r="E895" t="s">
        <v>11807</v>
      </c>
      <c r="F895" s="5">
        <v>2800000</v>
      </c>
      <c r="G895" s="5">
        <v>2800000</v>
      </c>
      <c r="H895" s="4">
        <v>2253000</v>
      </c>
      <c r="I895" s="2">
        <f t="shared" si="99"/>
        <v>0.8046428571428571</v>
      </c>
      <c r="J895" s="4">
        <v>2600000</v>
      </c>
      <c r="K895" s="2">
        <f t="shared" si="100"/>
        <v>0.9285714285714286</v>
      </c>
      <c r="L895" t="s">
        <v>10326</v>
      </c>
      <c r="M895" t="s">
        <v>432</v>
      </c>
      <c r="N895" t="b">
        <f t="shared" si="101"/>
        <v>0</v>
      </c>
    </row>
    <row r="896" spans="1:14" x14ac:dyDescent="0.15">
      <c r="A896" t="s">
        <v>11746</v>
      </c>
      <c r="B896" t="s">
        <v>11752</v>
      </c>
      <c r="C896" t="s">
        <v>11808</v>
      </c>
      <c r="D896" t="s">
        <v>23</v>
      </c>
      <c r="E896" t="s">
        <v>11809</v>
      </c>
      <c r="F896" s="5">
        <v>9910000</v>
      </c>
      <c r="G896" s="5">
        <v>9910000</v>
      </c>
      <c r="H896" s="4">
        <v>6937000</v>
      </c>
      <c r="I896" s="2">
        <f t="shared" si="99"/>
        <v>0.7</v>
      </c>
      <c r="J896" s="4">
        <v>9300000</v>
      </c>
      <c r="K896" s="2">
        <f t="shared" si="100"/>
        <v>0.93844601412714435</v>
      </c>
      <c r="L896" t="s">
        <v>10326</v>
      </c>
      <c r="M896" t="s">
        <v>165</v>
      </c>
      <c r="N896" t="b">
        <f t="shared" si="101"/>
        <v>0</v>
      </c>
    </row>
    <row r="897" spans="1:14" x14ac:dyDescent="0.15">
      <c r="A897" t="s">
        <v>11746</v>
      </c>
      <c r="B897" t="s">
        <v>11752</v>
      </c>
      <c r="C897" t="s">
        <v>11759</v>
      </c>
      <c r="D897" t="s">
        <v>23</v>
      </c>
      <c r="E897" t="s">
        <v>11810</v>
      </c>
      <c r="F897" s="5">
        <v>5840000</v>
      </c>
      <c r="G897" s="5">
        <v>5840000</v>
      </c>
      <c r="H897" s="4">
        <v>4652000</v>
      </c>
      <c r="I897" s="2">
        <f t="shared" si="99"/>
        <v>0.79657534246575346</v>
      </c>
      <c r="J897" s="4">
        <v>5800000</v>
      </c>
      <c r="K897" s="2">
        <f t="shared" si="100"/>
        <v>0.99315068493150682</v>
      </c>
      <c r="L897" t="s">
        <v>11758</v>
      </c>
      <c r="M897" t="s">
        <v>432</v>
      </c>
      <c r="N897" t="b">
        <f t="shared" si="101"/>
        <v>0</v>
      </c>
    </row>
    <row r="898" spans="1:14" x14ac:dyDescent="0.15">
      <c r="A898" t="s">
        <v>11746</v>
      </c>
      <c r="B898" t="s">
        <v>11752</v>
      </c>
      <c r="C898" t="s">
        <v>11811</v>
      </c>
      <c r="D898" t="s">
        <v>23</v>
      </c>
      <c r="E898" t="s">
        <v>11812</v>
      </c>
      <c r="F898" s="5">
        <v>8380000</v>
      </c>
      <c r="G898" s="5">
        <v>8380000</v>
      </c>
      <c r="H898" s="4">
        <v>6674000</v>
      </c>
      <c r="I898" s="2">
        <f t="shared" si="99"/>
        <v>0.79642004773269692</v>
      </c>
      <c r="J898" s="4">
        <v>8100000</v>
      </c>
      <c r="K898" s="2">
        <f t="shared" si="100"/>
        <v>0.96658711217183768</v>
      </c>
      <c r="L898" t="s">
        <v>11758</v>
      </c>
      <c r="M898" t="s">
        <v>432</v>
      </c>
      <c r="N898" t="b">
        <f t="shared" si="101"/>
        <v>0</v>
      </c>
    </row>
    <row r="899" spans="1:14" x14ac:dyDescent="0.15">
      <c r="A899" t="s">
        <v>11746</v>
      </c>
      <c r="B899" t="s">
        <v>11749</v>
      </c>
      <c r="C899" t="s">
        <v>11762</v>
      </c>
      <c r="D899" t="s">
        <v>23</v>
      </c>
      <c r="E899" t="s">
        <v>11813</v>
      </c>
      <c r="F899" s="5">
        <v>3081000</v>
      </c>
      <c r="G899" s="5">
        <v>3081000</v>
      </c>
      <c r="H899" s="4">
        <v>2526000</v>
      </c>
      <c r="I899" s="2">
        <f t="shared" si="99"/>
        <v>0.81986368062317427</v>
      </c>
      <c r="J899" s="4">
        <v>2900000</v>
      </c>
      <c r="K899" s="2">
        <f t="shared" si="100"/>
        <v>0.94125283998701725</v>
      </c>
      <c r="L899" t="s">
        <v>11764</v>
      </c>
      <c r="M899" t="s">
        <v>248</v>
      </c>
      <c r="N899" t="b">
        <f t="shared" si="101"/>
        <v>0</v>
      </c>
    </row>
    <row r="900" spans="1:14" x14ac:dyDescent="0.15">
      <c r="A900" t="s">
        <v>11746</v>
      </c>
      <c r="B900" t="s">
        <v>11752</v>
      </c>
      <c r="C900" t="s">
        <v>11798</v>
      </c>
      <c r="D900" t="s">
        <v>23</v>
      </c>
      <c r="E900" t="s">
        <v>11814</v>
      </c>
      <c r="F900" s="5">
        <v>3500000</v>
      </c>
      <c r="G900" s="5">
        <v>3500000</v>
      </c>
      <c r="H900" s="4">
        <v>2784000</v>
      </c>
      <c r="I900" s="2">
        <f t="shared" ref="I900:I963" si="102">H900/G900</f>
        <v>0.79542857142857137</v>
      </c>
      <c r="J900" s="4">
        <v>3300000</v>
      </c>
      <c r="K900" s="2">
        <f t="shared" ref="K900:K963" si="103">J900/G900</f>
        <v>0.94285714285714284</v>
      </c>
      <c r="L900" t="s">
        <v>10639</v>
      </c>
      <c r="M900" t="s">
        <v>432</v>
      </c>
      <c r="N900" t="b">
        <f t="shared" ref="N900:N963" si="104">F900&lt;&gt;G900</f>
        <v>0</v>
      </c>
    </row>
    <row r="901" spans="1:14" x14ac:dyDescent="0.15">
      <c r="A901" t="s">
        <v>11746</v>
      </c>
      <c r="B901" t="s">
        <v>11749</v>
      </c>
      <c r="C901" t="s">
        <v>11815</v>
      </c>
      <c r="D901" t="s">
        <v>23</v>
      </c>
      <c r="E901" t="s">
        <v>11816</v>
      </c>
      <c r="F901" s="5">
        <v>7775000</v>
      </c>
      <c r="G901" s="5">
        <v>7775000</v>
      </c>
      <c r="H901" s="4">
        <v>6195000</v>
      </c>
      <c r="I901" s="2">
        <f t="shared" si="102"/>
        <v>0.79678456591639868</v>
      </c>
      <c r="J901" s="4">
        <v>6195000</v>
      </c>
      <c r="K901" s="2">
        <f t="shared" si="103"/>
        <v>0.79678456591639868</v>
      </c>
      <c r="L901" t="s">
        <v>11764</v>
      </c>
      <c r="M901" t="s">
        <v>104</v>
      </c>
      <c r="N901" t="b">
        <f t="shared" si="104"/>
        <v>0</v>
      </c>
    </row>
    <row r="902" spans="1:14" x14ac:dyDescent="0.15">
      <c r="A902" t="s">
        <v>11746</v>
      </c>
      <c r="B902" t="s">
        <v>11752</v>
      </c>
      <c r="C902" t="s">
        <v>11756</v>
      </c>
      <c r="D902" t="s">
        <v>23</v>
      </c>
      <c r="E902" t="s">
        <v>11817</v>
      </c>
      <c r="F902" s="5">
        <v>10690000</v>
      </c>
      <c r="G902" s="5">
        <v>10690000</v>
      </c>
      <c r="H902" s="4">
        <v>7483000</v>
      </c>
      <c r="I902" s="2">
        <f t="shared" si="102"/>
        <v>0.7</v>
      </c>
      <c r="J902" s="4">
        <v>10100000</v>
      </c>
      <c r="K902" s="2">
        <f t="shared" si="103"/>
        <v>0.9448082319925164</v>
      </c>
      <c r="L902" t="s">
        <v>11758</v>
      </c>
      <c r="M902" t="s">
        <v>432</v>
      </c>
      <c r="N902" t="b">
        <f t="shared" si="104"/>
        <v>0</v>
      </c>
    </row>
    <row r="903" spans="1:14" x14ac:dyDescent="0.15">
      <c r="A903" t="s">
        <v>11746</v>
      </c>
      <c r="B903" t="s">
        <v>11749</v>
      </c>
      <c r="C903" t="s">
        <v>11790</v>
      </c>
      <c r="D903" t="s">
        <v>23</v>
      </c>
      <c r="E903" t="s">
        <v>11818</v>
      </c>
      <c r="F903" s="5">
        <v>6736000</v>
      </c>
      <c r="G903" s="5">
        <v>6736000</v>
      </c>
      <c r="H903" s="4">
        <v>5365000</v>
      </c>
      <c r="I903" s="2">
        <f t="shared" si="102"/>
        <v>0.79646674584323041</v>
      </c>
      <c r="J903" s="4">
        <v>6400000</v>
      </c>
      <c r="K903" s="2">
        <f t="shared" si="103"/>
        <v>0.95011876484560565</v>
      </c>
      <c r="L903" t="s">
        <v>11764</v>
      </c>
      <c r="M903" t="s">
        <v>104</v>
      </c>
      <c r="N903" t="b">
        <f t="shared" si="104"/>
        <v>0</v>
      </c>
    </row>
    <row r="904" spans="1:14" x14ac:dyDescent="0.15">
      <c r="A904" t="s">
        <v>11746</v>
      </c>
      <c r="B904" t="s">
        <v>11752</v>
      </c>
      <c r="C904" t="s">
        <v>11819</v>
      </c>
      <c r="D904" t="s">
        <v>23</v>
      </c>
      <c r="E904" t="s">
        <v>11820</v>
      </c>
      <c r="F904" s="5">
        <v>2540000</v>
      </c>
      <c r="G904" s="5">
        <v>2540000</v>
      </c>
      <c r="H904" s="4">
        <v>2020000</v>
      </c>
      <c r="I904" s="2">
        <f t="shared" si="102"/>
        <v>0.79527559055118113</v>
      </c>
      <c r="J904" s="4">
        <v>2400000</v>
      </c>
      <c r="K904" s="2">
        <f t="shared" si="103"/>
        <v>0.94488188976377951</v>
      </c>
      <c r="L904" t="s">
        <v>11797</v>
      </c>
      <c r="M904" t="s">
        <v>432</v>
      </c>
      <c r="N904" t="b">
        <f t="shared" si="104"/>
        <v>0</v>
      </c>
    </row>
    <row r="905" spans="1:14" x14ac:dyDescent="0.15">
      <c r="A905" t="s">
        <v>11746</v>
      </c>
      <c r="B905" t="s">
        <v>11749</v>
      </c>
      <c r="C905" t="s">
        <v>11821</v>
      </c>
      <c r="D905" t="s">
        <v>23</v>
      </c>
      <c r="E905" t="s">
        <v>11822</v>
      </c>
      <c r="F905" s="5">
        <v>39463000</v>
      </c>
      <c r="G905" s="5">
        <v>39463000</v>
      </c>
      <c r="H905" s="4">
        <v>27624100</v>
      </c>
      <c r="I905" s="2">
        <f t="shared" si="102"/>
        <v>0.7</v>
      </c>
      <c r="J905" s="4">
        <v>37000000</v>
      </c>
      <c r="K905" s="2">
        <f t="shared" si="103"/>
        <v>0.93758710691027036</v>
      </c>
      <c r="L905" t="s">
        <v>11764</v>
      </c>
      <c r="M905" t="s">
        <v>104</v>
      </c>
      <c r="N905" t="b">
        <f t="shared" si="104"/>
        <v>0</v>
      </c>
    </row>
    <row r="906" spans="1:14" x14ac:dyDescent="0.15">
      <c r="A906" t="s">
        <v>11746</v>
      </c>
      <c r="B906" t="s">
        <v>11749</v>
      </c>
      <c r="C906" t="s">
        <v>11823</v>
      </c>
      <c r="D906" t="s">
        <v>23</v>
      </c>
      <c r="E906" t="s">
        <v>11824</v>
      </c>
      <c r="F906" s="5">
        <v>16215000</v>
      </c>
      <c r="G906" s="5">
        <v>16215000</v>
      </c>
      <c r="H906" s="4">
        <v>11350500</v>
      </c>
      <c r="I906" s="2">
        <f t="shared" si="102"/>
        <v>0.7</v>
      </c>
      <c r="J906" s="4">
        <v>11350500</v>
      </c>
      <c r="K906" s="2">
        <f t="shared" si="103"/>
        <v>0.7</v>
      </c>
      <c r="L906" t="s">
        <v>903</v>
      </c>
      <c r="M906" t="s">
        <v>216</v>
      </c>
      <c r="N906" t="b">
        <f t="shared" si="104"/>
        <v>0</v>
      </c>
    </row>
    <row r="907" spans="1:14" x14ac:dyDescent="0.15">
      <c r="A907" t="s">
        <v>11746</v>
      </c>
      <c r="B907" t="s">
        <v>11752</v>
      </c>
      <c r="C907" t="s">
        <v>11825</v>
      </c>
      <c r="D907" t="s">
        <v>23</v>
      </c>
      <c r="E907" t="s">
        <v>11826</v>
      </c>
      <c r="F907" s="5">
        <v>2930000</v>
      </c>
      <c r="G907" s="5">
        <v>2930000</v>
      </c>
      <c r="H907" s="4">
        <v>2332000</v>
      </c>
      <c r="I907" s="2">
        <f t="shared" si="102"/>
        <v>0.79590443686006829</v>
      </c>
      <c r="J907" s="4">
        <v>2750000</v>
      </c>
      <c r="K907" s="2">
        <f t="shared" si="103"/>
        <v>0.93856655290102387</v>
      </c>
      <c r="L907" t="s">
        <v>11758</v>
      </c>
      <c r="M907" t="s">
        <v>1015</v>
      </c>
      <c r="N907" t="b">
        <f t="shared" si="104"/>
        <v>0</v>
      </c>
    </row>
    <row r="908" spans="1:14" x14ac:dyDescent="0.15">
      <c r="A908" t="s">
        <v>11746</v>
      </c>
      <c r="B908" t="s">
        <v>11752</v>
      </c>
      <c r="C908" t="s">
        <v>11827</v>
      </c>
      <c r="D908" t="s">
        <v>23</v>
      </c>
      <c r="E908" t="s">
        <v>11828</v>
      </c>
      <c r="F908" s="5">
        <v>10760000</v>
      </c>
      <c r="G908" s="5">
        <v>10760000</v>
      </c>
      <c r="H908" s="4">
        <v>7532000</v>
      </c>
      <c r="I908" s="2">
        <f t="shared" si="102"/>
        <v>0.7</v>
      </c>
      <c r="J908" s="4">
        <v>10200000</v>
      </c>
      <c r="K908" s="2">
        <f t="shared" si="103"/>
        <v>0.94795539033457255</v>
      </c>
      <c r="L908" t="s">
        <v>10326</v>
      </c>
      <c r="M908" t="s">
        <v>174</v>
      </c>
      <c r="N908" t="b">
        <f t="shared" si="104"/>
        <v>0</v>
      </c>
    </row>
    <row r="909" spans="1:14" x14ac:dyDescent="0.15">
      <c r="A909" t="s">
        <v>11746</v>
      </c>
      <c r="B909" t="s">
        <v>11752</v>
      </c>
      <c r="C909" t="s">
        <v>11829</v>
      </c>
      <c r="D909" t="s">
        <v>23</v>
      </c>
      <c r="E909" t="s">
        <v>11830</v>
      </c>
      <c r="F909" s="5">
        <v>7190000</v>
      </c>
      <c r="G909" s="5">
        <v>7190000</v>
      </c>
      <c r="H909" s="4">
        <v>5740000</v>
      </c>
      <c r="I909" s="2">
        <f t="shared" si="102"/>
        <v>0.79833101529902639</v>
      </c>
      <c r="J909" s="4">
        <v>6800000</v>
      </c>
      <c r="K909" s="2">
        <f t="shared" si="103"/>
        <v>0.94575799721835885</v>
      </c>
      <c r="L909" t="s">
        <v>10326</v>
      </c>
      <c r="M909" t="s">
        <v>174</v>
      </c>
      <c r="N909" t="b">
        <f t="shared" si="104"/>
        <v>0</v>
      </c>
    </row>
    <row r="910" spans="1:14" x14ac:dyDescent="0.15">
      <c r="A910" t="s">
        <v>11746</v>
      </c>
      <c r="B910" t="s">
        <v>11749</v>
      </c>
      <c r="C910" t="s">
        <v>11831</v>
      </c>
      <c r="D910" t="s">
        <v>23</v>
      </c>
      <c r="E910" t="s">
        <v>11832</v>
      </c>
      <c r="F910" s="5">
        <v>6115000</v>
      </c>
      <c r="G910" s="5">
        <v>6115000</v>
      </c>
      <c r="H910" s="4">
        <v>4864000</v>
      </c>
      <c r="I910" s="2">
        <f t="shared" si="102"/>
        <v>0.79542109566639407</v>
      </c>
      <c r="J910" s="4">
        <v>5700000</v>
      </c>
      <c r="K910" s="2">
        <f t="shared" si="103"/>
        <v>0.93213409648405565</v>
      </c>
      <c r="L910" t="s">
        <v>4026</v>
      </c>
      <c r="M910" t="s">
        <v>216</v>
      </c>
      <c r="N910" t="b">
        <f t="shared" si="104"/>
        <v>0</v>
      </c>
    </row>
    <row r="911" spans="1:14" x14ac:dyDescent="0.15">
      <c r="A911" t="s">
        <v>11746</v>
      </c>
      <c r="B911" t="s">
        <v>11749</v>
      </c>
      <c r="C911" t="s">
        <v>11793</v>
      </c>
      <c r="D911" t="s">
        <v>23</v>
      </c>
      <c r="E911" t="s">
        <v>11833</v>
      </c>
      <c r="F911" s="5">
        <v>8097000</v>
      </c>
      <c r="G911" s="5">
        <v>8097000</v>
      </c>
      <c r="H911" s="4">
        <v>6477000</v>
      </c>
      <c r="I911" s="2">
        <f t="shared" si="102"/>
        <v>0.79992589848091888</v>
      </c>
      <c r="J911" s="4">
        <v>7600000</v>
      </c>
      <c r="K911" s="2">
        <f t="shared" si="103"/>
        <v>0.93861924169445476</v>
      </c>
      <c r="L911" t="s">
        <v>2267</v>
      </c>
      <c r="M911" t="s">
        <v>216</v>
      </c>
      <c r="N911" t="b">
        <f t="shared" si="104"/>
        <v>0</v>
      </c>
    </row>
    <row r="912" spans="1:14" x14ac:dyDescent="0.15">
      <c r="A912" t="s">
        <v>11746</v>
      </c>
      <c r="B912" t="s">
        <v>11749</v>
      </c>
      <c r="C912" t="s">
        <v>11834</v>
      </c>
      <c r="D912" t="s">
        <v>23</v>
      </c>
      <c r="E912" t="s">
        <v>11835</v>
      </c>
      <c r="F912" s="5">
        <v>1589000</v>
      </c>
      <c r="G912" s="5">
        <v>1589000</v>
      </c>
      <c r="H912" s="4">
        <v>1264000</v>
      </c>
      <c r="I912" s="2">
        <f t="shared" si="102"/>
        <v>0.79546884833228448</v>
      </c>
      <c r="J912" s="4">
        <v>1500000</v>
      </c>
      <c r="K912" s="2">
        <f t="shared" si="103"/>
        <v>0.94398993077407178</v>
      </c>
      <c r="L912" t="s">
        <v>4026</v>
      </c>
      <c r="M912" t="s">
        <v>165</v>
      </c>
      <c r="N912" t="b">
        <f t="shared" si="104"/>
        <v>0</v>
      </c>
    </row>
    <row r="913" spans="1:14" x14ac:dyDescent="0.15">
      <c r="A913" t="s">
        <v>11746</v>
      </c>
      <c r="B913" t="s">
        <v>11784</v>
      </c>
      <c r="C913" t="s">
        <v>11836</v>
      </c>
      <c r="D913" t="s">
        <v>23</v>
      </c>
      <c r="E913" t="s">
        <v>11837</v>
      </c>
      <c r="F913" s="5">
        <v>23615000</v>
      </c>
      <c r="G913" s="5">
        <v>23615000</v>
      </c>
      <c r="H913" s="4">
        <v>16530500</v>
      </c>
      <c r="I913" s="2">
        <f t="shared" si="102"/>
        <v>0.7</v>
      </c>
      <c r="J913" s="4">
        <v>18779000</v>
      </c>
      <c r="K913" s="2">
        <f t="shared" si="103"/>
        <v>0.79521490578022447</v>
      </c>
      <c r="L913" t="s">
        <v>11838</v>
      </c>
      <c r="M913" t="s">
        <v>192</v>
      </c>
      <c r="N913" t="b">
        <f t="shared" si="104"/>
        <v>0</v>
      </c>
    </row>
    <row r="914" spans="1:14" x14ac:dyDescent="0.15">
      <c r="A914" t="s">
        <v>11746</v>
      </c>
      <c r="B914" t="s">
        <v>11752</v>
      </c>
      <c r="C914" t="s">
        <v>11839</v>
      </c>
      <c r="D914" t="s">
        <v>23</v>
      </c>
      <c r="E914" t="s">
        <v>11840</v>
      </c>
      <c r="F914" s="5">
        <v>24970000</v>
      </c>
      <c r="G914" s="5">
        <v>24970000</v>
      </c>
      <c r="H914" s="4">
        <v>17479000</v>
      </c>
      <c r="I914" s="2">
        <f t="shared" si="102"/>
        <v>0.7</v>
      </c>
      <c r="J914" s="4">
        <v>23500000</v>
      </c>
      <c r="K914" s="2">
        <f t="shared" si="103"/>
        <v>0.9411293552262715</v>
      </c>
      <c r="L914" t="s">
        <v>10326</v>
      </c>
      <c r="M914" t="s">
        <v>165</v>
      </c>
      <c r="N914" t="b">
        <f t="shared" si="104"/>
        <v>0</v>
      </c>
    </row>
    <row r="915" spans="1:14" x14ac:dyDescent="0.15">
      <c r="A915" t="s">
        <v>11746</v>
      </c>
      <c r="B915" t="s">
        <v>11749</v>
      </c>
      <c r="C915" t="s">
        <v>11841</v>
      </c>
      <c r="D915" t="s">
        <v>23</v>
      </c>
      <c r="E915" t="s">
        <v>11842</v>
      </c>
      <c r="F915" s="5">
        <v>16180000</v>
      </c>
      <c r="G915" s="5">
        <v>16180000</v>
      </c>
      <c r="H915" s="4">
        <v>11326000</v>
      </c>
      <c r="I915" s="2">
        <f t="shared" si="102"/>
        <v>0.7</v>
      </c>
      <c r="J915" s="4">
        <v>11326000</v>
      </c>
      <c r="K915" s="2">
        <f t="shared" si="103"/>
        <v>0.7</v>
      </c>
      <c r="L915" t="s">
        <v>853</v>
      </c>
      <c r="M915" t="s">
        <v>80</v>
      </c>
      <c r="N915" t="b">
        <f t="shared" si="104"/>
        <v>0</v>
      </c>
    </row>
    <row r="916" spans="1:14" x14ac:dyDescent="0.15">
      <c r="A916" t="s">
        <v>11746</v>
      </c>
      <c r="B916" t="s">
        <v>11749</v>
      </c>
      <c r="C916" t="s">
        <v>11787</v>
      </c>
      <c r="D916" t="s">
        <v>23</v>
      </c>
      <c r="E916" t="s">
        <v>11843</v>
      </c>
      <c r="F916" s="5">
        <v>7884000</v>
      </c>
      <c r="G916" s="5">
        <v>7884000</v>
      </c>
      <c r="H916" s="4">
        <v>6295000</v>
      </c>
      <c r="I916" s="2">
        <f t="shared" si="102"/>
        <v>0.79845256215119231</v>
      </c>
      <c r="J916" s="4">
        <v>6295000</v>
      </c>
      <c r="K916" s="2">
        <f t="shared" si="103"/>
        <v>0.79845256215119231</v>
      </c>
      <c r="L916" t="s">
        <v>11838</v>
      </c>
      <c r="M916" t="s">
        <v>104</v>
      </c>
      <c r="N916" t="b">
        <f t="shared" si="104"/>
        <v>0</v>
      </c>
    </row>
    <row r="917" spans="1:14" x14ac:dyDescent="0.15">
      <c r="A917" t="s">
        <v>11746</v>
      </c>
      <c r="B917" t="s">
        <v>11749</v>
      </c>
      <c r="C917" t="s">
        <v>11844</v>
      </c>
      <c r="D917" t="s">
        <v>23</v>
      </c>
      <c r="E917" t="s">
        <v>11845</v>
      </c>
      <c r="F917" s="5">
        <v>5985000</v>
      </c>
      <c r="G917" s="5">
        <v>5985000</v>
      </c>
      <c r="H917" s="4">
        <v>5087000</v>
      </c>
      <c r="I917" s="2">
        <f t="shared" si="102"/>
        <v>0.84995822890559736</v>
      </c>
      <c r="J917" s="4">
        <v>5300000</v>
      </c>
      <c r="K917" s="2">
        <f t="shared" si="103"/>
        <v>0.88554720133667497</v>
      </c>
      <c r="L917" t="s">
        <v>11846</v>
      </c>
      <c r="M917" t="s">
        <v>80</v>
      </c>
      <c r="N917" t="b">
        <f t="shared" si="104"/>
        <v>0</v>
      </c>
    </row>
    <row r="918" spans="1:14" x14ac:dyDescent="0.15">
      <c r="A918" t="s">
        <v>11746</v>
      </c>
      <c r="B918" t="s">
        <v>11749</v>
      </c>
      <c r="C918" t="s">
        <v>11847</v>
      </c>
      <c r="D918" t="s">
        <v>23</v>
      </c>
      <c r="E918" t="s">
        <v>11848</v>
      </c>
      <c r="F918" s="5">
        <v>11050000</v>
      </c>
      <c r="G918" s="5">
        <v>11050000</v>
      </c>
      <c r="H918" s="4">
        <v>7735000</v>
      </c>
      <c r="I918" s="2">
        <f t="shared" si="102"/>
        <v>0.7</v>
      </c>
      <c r="J918" s="4">
        <v>7735000</v>
      </c>
      <c r="K918" s="2">
        <f t="shared" si="103"/>
        <v>0.7</v>
      </c>
      <c r="L918" t="s">
        <v>853</v>
      </c>
      <c r="M918" t="s">
        <v>80</v>
      </c>
      <c r="N918" t="b">
        <f t="shared" si="104"/>
        <v>0</v>
      </c>
    </row>
    <row r="919" spans="1:14" x14ac:dyDescent="0.15">
      <c r="A919" t="s">
        <v>11746</v>
      </c>
      <c r="B919" t="s">
        <v>11752</v>
      </c>
      <c r="C919" t="s">
        <v>11849</v>
      </c>
      <c r="D919" t="s">
        <v>23</v>
      </c>
      <c r="E919" t="s">
        <v>11850</v>
      </c>
      <c r="F919" s="5">
        <v>5990000</v>
      </c>
      <c r="G919" s="5">
        <v>5990000</v>
      </c>
      <c r="H919" s="4">
        <v>4764000</v>
      </c>
      <c r="I919" s="2">
        <f t="shared" si="102"/>
        <v>0.79532554257095156</v>
      </c>
      <c r="J919" s="4">
        <v>5550000</v>
      </c>
      <c r="K919" s="2">
        <f t="shared" si="103"/>
        <v>0.92654424040066774</v>
      </c>
      <c r="L919" t="s">
        <v>11758</v>
      </c>
      <c r="M919" t="s">
        <v>165</v>
      </c>
      <c r="N919" t="b">
        <f t="shared" si="104"/>
        <v>0</v>
      </c>
    </row>
    <row r="920" spans="1:14" x14ac:dyDescent="0.15">
      <c r="A920" t="s">
        <v>11746</v>
      </c>
      <c r="B920" t="s">
        <v>11784</v>
      </c>
      <c r="C920" t="s">
        <v>11851</v>
      </c>
      <c r="D920" t="s">
        <v>23</v>
      </c>
      <c r="E920" t="s">
        <v>11852</v>
      </c>
      <c r="F920" s="5">
        <v>6176000</v>
      </c>
      <c r="G920" s="5">
        <v>6176000</v>
      </c>
      <c r="H920" s="4">
        <v>4920000</v>
      </c>
      <c r="I920" s="2">
        <f t="shared" si="102"/>
        <v>0.79663212435233166</v>
      </c>
      <c r="J920" s="4">
        <v>5900000</v>
      </c>
      <c r="K920" s="2">
        <f t="shared" si="103"/>
        <v>0.9553108808290155</v>
      </c>
      <c r="L920" t="s">
        <v>4026</v>
      </c>
      <c r="M920" t="s">
        <v>432</v>
      </c>
      <c r="N920" t="b">
        <f t="shared" si="104"/>
        <v>0</v>
      </c>
    </row>
    <row r="921" spans="1:14" x14ac:dyDescent="0.15">
      <c r="A921" t="s">
        <v>11853</v>
      </c>
      <c r="B921" t="s">
        <v>11856</v>
      </c>
      <c r="C921" t="s">
        <v>11854</v>
      </c>
      <c r="D921" t="s">
        <v>23</v>
      </c>
      <c r="E921" t="s">
        <v>11855</v>
      </c>
      <c r="F921" s="5">
        <v>5441000</v>
      </c>
      <c r="G921" s="5">
        <v>5441000</v>
      </c>
      <c r="H921" s="4">
        <v>3675300</v>
      </c>
      <c r="I921" s="2">
        <f t="shared" si="102"/>
        <v>0.67548244807939717</v>
      </c>
      <c r="J921" s="4">
        <v>5150000</v>
      </c>
      <c r="K921" s="2">
        <f t="shared" si="103"/>
        <v>0.94651718434111376</v>
      </c>
      <c r="L921" t="s">
        <v>452</v>
      </c>
      <c r="M921" t="s">
        <v>165</v>
      </c>
      <c r="N921" t="b">
        <f t="shared" si="104"/>
        <v>0</v>
      </c>
    </row>
    <row r="922" spans="1:14" x14ac:dyDescent="0.15">
      <c r="A922" t="s">
        <v>11853</v>
      </c>
      <c r="B922" t="s">
        <v>11859</v>
      </c>
      <c r="C922" t="s">
        <v>11857</v>
      </c>
      <c r="D922" t="s">
        <v>23</v>
      </c>
      <c r="E922" t="s">
        <v>11858</v>
      </c>
      <c r="F922" s="5">
        <v>18157000</v>
      </c>
      <c r="G922" s="5">
        <v>18157000</v>
      </c>
      <c r="H922" s="4">
        <v>12139000</v>
      </c>
      <c r="I922" s="2">
        <f t="shared" si="102"/>
        <v>0.66855758109819907</v>
      </c>
      <c r="J922" s="4">
        <v>17060000</v>
      </c>
      <c r="K922" s="2">
        <f t="shared" si="103"/>
        <v>0.93958253015365978</v>
      </c>
      <c r="L922" t="s">
        <v>1651</v>
      </c>
      <c r="M922" t="s">
        <v>174</v>
      </c>
      <c r="N922" t="b">
        <f t="shared" si="104"/>
        <v>0</v>
      </c>
    </row>
    <row r="923" spans="1:14" x14ac:dyDescent="0.15">
      <c r="A923" t="s">
        <v>11853</v>
      </c>
      <c r="B923" t="s">
        <v>11856</v>
      </c>
      <c r="C923" t="s">
        <v>11860</v>
      </c>
      <c r="D923" t="s">
        <v>23</v>
      </c>
      <c r="E923" t="s">
        <v>11861</v>
      </c>
      <c r="F923" s="5">
        <v>12238000</v>
      </c>
      <c r="G923" s="5">
        <v>12238000</v>
      </c>
      <c r="H923" s="4">
        <v>8226000</v>
      </c>
      <c r="I923" s="2">
        <f t="shared" si="102"/>
        <v>0.67216865500898837</v>
      </c>
      <c r="J923" s="4">
        <v>11580000</v>
      </c>
      <c r="K923" s="2">
        <f t="shared" si="103"/>
        <v>0.94623304461513325</v>
      </c>
      <c r="L923" t="s">
        <v>11862</v>
      </c>
      <c r="M923" t="s">
        <v>174</v>
      </c>
      <c r="N923" t="b">
        <f t="shared" si="104"/>
        <v>0</v>
      </c>
    </row>
    <row r="924" spans="1:14" x14ac:dyDescent="0.15">
      <c r="A924" t="s">
        <v>11853</v>
      </c>
      <c r="B924" t="s">
        <v>11856</v>
      </c>
      <c r="C924" t="s">
        <v>11863</v>
      </c>
      <c r="D924" t="s">
        <v>23</v>
      </c>
      <c r="E924" t="s">
        <v>11864</v>
      </c>
      <c r="F924" s="5">
        <v>1970000</v>
      </c>
      <c r="G924" s="5">
        <v>1970000</v>
      </c>
      <c r="H924" s="4">
        <v>1332300</v>
      </c>
      <c r="I924" s="2">
        <f t="shared" si="102"/>
        <v>0.67629441624365483</v>
      </c>
      <c r="J924" s="4">
        <v>1850000</v>
      </c>
      <c r="K924" s="2">
        <f t="shared" si="103"/>
        <v>0.93908629441624369</v>
      </c>
      <c r="L924" t="s">
        <v>11865</v>
      </c>
      <c r="M924" t="s">
        <v>1015</v>
      </c>
      <c r="N924" t="b">
        <f t="shared" si="104"/>
        <v>0</v>
      </c>
    </row>
    <row r="925" spans="1:14" x14ac:dyDescent="0.15">
      <c r="A925" t="s">
        <v>11853</v>
      </c>
      <c r="B925" t="s">
        <v>11856</v>
      </c>
      <c r="C925" t="s">
        <v>11866</v>
      </c>
      <c r="D925" t="s">
        <v>23</v>
      </c>
      <c r="E925" t="s">
        <v>11867</v>
      </c>
      <c r="F925" s="5">
        <v>14023000</v>
      </c>
      <c r="G925" s="5">
        <v>14023000</v>
      </c>
      <c r="H925" s="4">
        <v>9438000</v>
      </c>
      <c r="I925" s="2">
        <f t="shared" si="102"/>
        <v>0.67303715324823499</v>
      </c>
      <c r="J925" s="4">
        <v>13300000</v>
      </c>
      <c r="K925" s="2">
        <f t="shared" si="103"/>
        <v>0.94844184553947086</v>
      </c>
      <c r="L925" t="s">
        <v>11862</v>
      </c>
      <c r="M925" t="s">
        <v>174</v>
      </c>
      <c r="N925" t="b">
        <f t="shared" si="104"/>
        <v>0</v>
      </c>
    </row>
    <row r="926" spans="1:14" x14ac:dyDescent="0.15">
      <c r="A926" t="s">
        <v>11853</v>
      </c>
      <c r="B926" t="s">
        <v>11856</v>
      </c>
      <c r="C926" t="s">
        <v>11868</v>
      </c>
      <c r="D926" t="s">
        <v>23</v>
      </c>
      <c r="E926" t="s">
        <v>11869</v>
      </c>
      <c r="F926" s="5">
        <v>11284000</v>
      </c>
      <c r="G926" s="5">
        <v>11284000</v>
      </c>
      <c r="H926" s="4">
        <v>7544000</v>
      </c>
      <c r="I926" s="2">
        <f t="shared" si="102"/>
        <v>0.66855724920241044</v>
      </c>
      <c r="J926" s="4">
        <v>10600000</v>
      </c>
      <c r="K926" s="2">
        <f t="shared" si="103"/>
        <v>0.93938319744771359</v>
      </c>
      <c r="L926" t="s">
        <v>1651</v>
      </c>
      <c r="M926" t="s">
        <v>174</v>
      </c>
      <c r="N926" t="b">
        <f t="shared" si="104"/>
        <v>0</v>
      </c>
    </row>
    <row r="927" spans="1:14" x14ac:dyDescent="0.15">
      <c r="A927" t="s">
        <v>11853</v>
      </c>
      <c r="B927" t="s">
        <v>11856</v>
      </c>
      <c r="C927" t="s">
        <v>11870</v>
      </c>
      <c r="D927" t="s">
        <v>23</v>
      </c>
      <c r="E927" t="s">
        <v>11871</v>
      </c>
      <c r="F927" s="5">
        <v>4199000</v>
      </c>
      <c r="G927" s="5">
        <v>4199000</v>
      </c>
      <c r="H927" s="4">
        <v>2807000</v>
      </c>
      <c r="I927" s="2">
        <f t="shared" si="102"/>
        <v>0.66849249821386048</v>
      </c>
      <c r="J927" s="4">
        <v>3950000</v>
      </c>
      <c r="K927" s="2">
        <f t="shared" si="103"/>
        <v>0.9407001667063587</v>
      </c>
      <c r="L927" t="s">
        <v>1651</v>
      </c>
      <c r="M927" t="s">
        <v>432</v>
      </c>
      <c r="N927" t="b">
        <f t="shared" si="104"/>
        <v>0</v>
      </c>
    </row>
    <row r="928" spans="1:14" x14ac:dyDescent="0.15">
      <c r="A928" t="s">
        <v>11853</v>
      </c>
      <c r="B928" t="s">
        <v>11856</v>
      </c>
      <c r="C928" t="s">
        <v>11872</v>
      </c>
      <c r="D928" t="s">
        <v>23</v>
      </c>
      <c r="E928" t="s">
        <v>11873</v>
      </c>
      <c r="F928" s="5">
        <v>54999000</v>
      </c>
      <c r="G928" s="5">
        <v>54999000</v>
      </c>
      <c r="H928" s="4">
        <v>36915000</v>
      </c>
      <c r="I928" s="2">
        <f t="shared" si="102"/>
        <v>0.67119402170948561</v>
      </c>
      <c r="J928" s="4">
        <v>44550000</v>
      </c>
      <c r="K928" s="2">
        <f t="shared" si="103"/>
        <v>0.81001472754050075</v>
      </c>
      <c r="L928" t="s">
        <v>567</v>
      </c>
      <c r="M928" t="s">
        <v>192</v>
      </c>
      <c r="N928" t="b">
        <f t="shared" si="104"/>
        <v>0</v>
      </c>
    </row>
    <row r="929" spans="1:14" x14ac:dyDescent="0.15">
      <c r="A929" t="s">
        <v>11853</v>
      </c>
      <c r="B929" t="s">
        <v>11859</v>
      </c>
      <c r="C929" t="s">
        <v>11874</v>
      </c>
      <c r="D929" t="s">
        <v>23</v>
      </c>
      <c r="E929" t="s">
        <v>11875</v>
      </c>
      <c r="F929" s="5">
        <v>1670000</v>
      </c>
      <c r="G929" s="5">
        <v>1670000</v>
      </c>
      <c r="H929" s="4">
        <v>1129400</v>
      </c>
      <c r="I929" s="2">
        <f t="shared" si="102"/>
        <v>0.67628742514970064</v>
      </c>
      <c r="J929" s="4">
        <v>1550000</v>
      </c>
      <c r="K929" s="2">
        <f t="shared" si="103"/>
        <v>0.92814371257485029</v>
      </c>
      <c r="L929" t="s">
        <v>11865</v>
      </c>
      <c r="M929" t="s">
        <v>1015</v>
      </c>
      <c r="N929" t="b">
        <f t="shared" si="104"/>
        <v>0</v>
      </c>
    </row>
    <row r="930" spans="1:14" x14ac:dyDescent="0.15">
      <c r="A930" t="s">
        <v>11853</v>
      </c>
      <c r="B930" t="s">
        <v>11856</v>
      </c>
      <c r="C930" t="s">
        <v>11876</v>
      </c>
      <c r="D930" t="s">
        <v>23</v>
      </c>
      <c r="E930" t="s">
        <v>11877</v>
      </c>
      <c r="F930" s="5">
        <v>5484000</v>
      </c>
      <c r="G930" s="5">
        <v>5484000</v>
      </c>
      <c r="H930" s="4">
        <v>3658900</v>
      </c>
      <c r="I930" s="2">
        <f t="shared" si="102"/>
        <v>0.66719547775346466</v>
      </c>
      <c r="J930" s="4">
        <v>5120000</v>
      </c>
      <c r="K930" s="2">
        <f t="shared" si="103"/>
        <v>0.93362509117432535</v>
      </c>
      <c r="L930" t="s">
        <v>11865</v>
      </c>
      <c r="M930" t="s">
        <v>165</v>
      </c>
      <c r="N930" t="b">
        <f t="shared" si="104"/>
        <v>0</v>
      </c>
    </row>
    <row r="931" spans="1:14" x14ac:dyDescent="0.15">
      <c r="A931" t="s">
        <v>11853</v>
      </c>
      <c r="B931" t="s">
        <v>11856</v>
      </c>
      <c r="C931" t="s">
        <v>11878</v>
      </c>
      <c r="D931" t="s">
        <v>23</v>
      </c>
      <c r="E931" t="s">
        <v>11879</v>
      </c>
      <c r="F931" s="5">
        <v>6873000</v>
      </c>
      <c r="G931" s="5">
        <v>6873000</v>
      </c>
      <c r="H931" s="4">
        <v>4606200</v>
      </c>
      <c r="I931" s="2">
        <f t="shared" si="102"/>
        <v>0.67018769096464426</v>
      </c>
      <c r="J931" s="4">
        <v>6450000</v>
      </c>
      <c r="K931" s="2">
        <f t="shared" si="103"/>
        <v>0.93845482322130069</v>
      </c>
      <c r="L931" t="s">
        <v>1651</v>
      </c>
      <c r="M931" t="s">
        <v>165</v>
      </c>
      <c r="N931" t="b">
        <f t="shared" si="104"/>
        <v>0</v>
      </c>
    </row>
    <row r="932" spans="1:14" x14ac:dyDescent="0.15">
      <c r="A932" t="s">
        <v>11853</v>
      </c>
      <c r="B932" t="s">
        <v>11859</v>
      </c>
      <c r="C932" t="s">
        <v>11880</v>
      </c>
      <c r="D932" t="s">
        <v>23</v>
      </c>
      <c r="E932" t="s">
        <v>11881</v>
      </c>
      <c r="F932" s="5">
        <v>8100000</v>
      </c>
      <c r="G932" s="5">
        <v>8100000</v>
      </c>
      <c r="H932" s="4">
        <v>5405100</v>
      </c>
      <c r="I932" s="2">
        <f t="shared" si="102"/>
        <v>0.66729629629629628</v>
      </c>
      <c r="J932" s="4">
        <v>7620000</v>
      </c>
      <c r="K932" s="2">
        <f t="shared" si="103"/>
        <v>0.94074074074074077</v>
      </c>
      <c r="L932" t="s">
        <v>11882</v>
      </c>
      <c r="M932" t="s">
        <v>165</v>
      </c>
      <c r="N932" t="b">
        <f t="shared" si="104"/>
        <v>0</v>
      </c>
    </row>
    <row r="933" spans="1:14" x14ac:dyDescent="0.15">
      <c r="A933" t="s">
        <v>11853</v>
      </c>
      <c r="B933" t="s">
        <v>11859</v>
      </c>
      <c r="C933" t="s">
        <v>11883</v>
      </c>
      <c r="D933" t="s">
        <v>23</v>
      </c>
      <c r="E933" t="s">
        <v>11884</v>
      </c>
      <c r="F933" s="5">
        <v>8950000</v>
      </c>
      <c r="G933" s="5">
        <v>8950000</v>
      </c>
      <c r="H933" s="4">
        <v>6028700</v>
      </c>
      <c r="I933" s="2">
        <f t="shared" si="102"/>
        <v>0.67359776536312854</v>
      </c>
      <c r="J933" s="4">
        <v>8400000</v>
      </c>
      <c r="K933" s="2">
        <f t="shared" si="103"/>
        <v>0.93854748603351956</v>
      </c>
      <c r="L933" t="s">
        <v>11885</v>
      </c>
      <c r="M933" t="s">
        <v>165</v>
      </c>
      <c r="N933" t="b">
        <f t="shared" si="104"/>
        <v>0</v>
      </c>
    </row>
    <row r="934" spans="1:14" x14ac:dyDescent="0.15">
      <c r="A934" t="s">
        <v>11853</v>
      </c>
      <c r="B934" t="s">
        <v>11859</v>
      </c>
      <c r="C934" t="s">
        <v>11886</v>
      </c>
      <c r="D934" t="s">
        <v>23</v>
      </c>
      <c r="E934" t="s">
        <v>11887</v>
      </c>
      <c r="F934" s="5">
        <v>9080000</v>
      </c>
      <c r="G934" s="5">
        <v>9080000</v>
      </c>
      <c r="H934" s="4">
        <v>6090800</v>
      </c>
      <c r="I934" s="2">
        <f t="shared" si="102"/>
        <v>0.67079295154185026</v>
      </c>
      <c r="J934" s="4">
        <v>8450000</v>
      </c>
      <c r="K934" s="2">
        <f t="shared" si="103"/>
        <v>0.93061674008810569</v>
      </c>
      <c r="L934" t="s">
        <v>11888</v>
      </c>
      <c r="M934" t="s">
        <v>165</v>
      </c>
      <c r="N934" t="b">
        <f t="shared" si="104"/>
        <v>0</v>
      </c>
    </row>
    <row r="935" spans="1:14" x14ac:dyDescent="0.15">
      <c r="A935" t="s">
        <v>11853</v>
      </c>
      <c r="B935" t="s">
        <v>11859</v>
      </c>
      <c r="C935" t="s">
        <v>11889</v>
      </c>
      <c r="D935" t="s">
        <v>23</v>
      </c>
      <c r="E935" t="s">
        <v>11890</v>
      </c>
      <c r="F935" s="5">
        <v>9620000</v>
      </c>
      <c r="G935" s="5">
        <v>9620000</v>
      </c>
      <c r="H935" s="4">
        <v>6501100</v>
      </c>
      <c r="I935" s="2">
        <f t="shared" si="102"/>
        <v>0.67579002079002082</v>
      </c>
      <c r="J935" s="4">
        <v>8930000</v>
      </c>
      <c r="K935" s="2">
        <f t="shared" si="103"/>
        <v>0.9282744282744283</v>
      </c>
      <c r="L935" t="s">
        <v>1651</v>
      </c>
      <c r="M935" t="s">
        <v>174</v>
      </c>
      <c r="N935" t="b">
        <f t="shared" si="104"/>
        <v>0</v>
      </c>
    </row>
    <row r="936" spans="1:14" x14ac:dyDescent="0.15">
      <c r="A936" t="s">
        <v>11853</v>
      </c>
      <c r="B936" t="s">
        <v>11859</v>
      </c>
      <c r="C936" t="s">
        <v>11891</v>
      </c>
      <c r="D936" t="s">
        <v>23</v>
      </c>
      <c r="E936" t="s">
        <v>11892</v>
      </c>
      <c r="F936" s="5">
        <v>9630000</v>
      </c>
      <c r="G936" s="5">
        <v>9630000</v>
      </c>
      <c r="H936" s="4">
        <v>6476100</v>
      </c>
      <c r="I936" s="2">
        <f t="shared" si="102"/>
        <v>0.67249221183800623</v>
      </c>
      <c r="J936" s="4">
        <v>9050000</v>
      </c>
      <c r="K936" s="2">
        <f t="shared" si="103"/>
        <v>0.93977154724818279</v>
      </c>
      <c r="L936" t="s">
        <v>11893</v>
      </c>
      <c r="M936" t="s">
        <v>174</v>
      </c>
      <c r="N936" t="b">
        <f t="shared" si="104"/>
        <v>0</v>
      </c>
    </row>
    <row r="937" spans="1:14" x14ac:dyDescent="0.15">
      <c r="A937" t="s">
        <v>11853</v>
      </c>
      <c r="B937" t="s">
        <v>11859</v>
      </c>
      <c r="C937" t="s">
        <v>11894</v>
      </c>
      <c r="D937" t="s">
        <v>23</v>
      </c>
      <c r="E937" t="s">
        <v>11895</v>
      </c>
      <c r="F937" s="5">
        <v>9640000</v>
      </c>
      <c r="G937" s="5">
        <v>9640000</v>
      </c>
      <c r="H937" s="4">
        <v>6510800</v>
      </c>
      <c r="I937" s="2">
        <f t="shared" si="102"/>
        <v>0.67539419087136932</v>
      </c>
      <c r="J937" s="4">
        <v>9000000</v>
      </c>
      <c r="K937" s="2">
        <f t="shared" si="103"/>
        <v>0.93360995850622408</v>
      </c>
      <c r="L937" t="s">
        <v>3251</v>
      </c>
      <c r="M937" t="s">
        <v>174</v>
      </c>
      <c r="N937" t="b">
        <f t="shared" si="104"/>
        <v>0</v>
      </c>
    </row>
    <row r="938" spans="1:14" x14ac:dyDescent="0.15">
      <c r="A938" t="s">
        <v>11853</v>
      </c>
      <c r="B938" t="s">
        <v>11859</v>
      </c>
      <c r="C938" t="s">
        <v>11896</v>
      </c>
      <c r="D938" t="s">
        <v>23</v>
      </c>
      <c r="E938" t="s">
        <v>11897</v>
      </c>
      <c r="F938" s="5">
        <v>11100000</v>
      </c>
      <c r="G938" s="5">
        <v>11100000</v>
      </c>
      <c r="H938" s="4">
        <v>7484000</v>
      </c>
      <c r="I938" s="2">
        <f t="shared" si="102"/>
        <v>0.67423423423423423</v>
      </c>
      <c r="J938" s="4">
        <v>10320000</v>
      </c>
      <c r="K938" s="2">
        <f t="shared" si="103"/>
        <v>0.92972972972972978</v>
      </c>
      <c r="L938" t="s">
        <v>11898</v>
      </c>
      <c r="M938" t="s">
        <v>174</v>
      </c>
      <c r="N938" t="b">
        <f t="shared" si="104"/>
        <v>0</v>
      </c>
    </row>
    <row r="939" spans="1:14" x14ac:dyDescent="0.15">
      <c r="A939" t="s">
        <v>11853</v>
      </c>
      <c r="B939" t="s">
        <v>11859</v>
      </c>
      <c r="C939" t="s">
        <v>11899</v>
      </c>
      <c r="D939" t="s">
        <v>23</v>
      </c>
      <c r="E939" t="s">
        <v>11900</v>
      </c>
      <c r="F939" s="5">
        <v>12100000</v>
      </c>
      <c r="G939" s="5">
        <v>12100000</v>
      </c>
      <c r="H939" s="4">
        <v>8162000</v>
      </c>
      <c r="I939" s="2">
        <f t="shared" si="102"/>
        <v>0.67454545454545456</v>
      </c>
      <c r="J939" s="4">
        <v>11200000</v>
      </c>
      <c r="K939" s="2">
        <f t="shared" si="103"/>
        <v>0.92561983471074383</v>
      </c>
      <c r="L939" t="s">
        <v>11901</v>
      </c>
      <c r="M939" t="s">
        <v>174</v>
      </c>
      <c r="N939" t="b">
        <f t="shared" si="104"/>
        <v>0</v>
      </c>
    </row>
    <row r="940" spans="1:14" x14ac:dyDescent="0.15">
      <c r="A940" t="s">
        <v>11853</v>
      </c>
      <c r="B940" t="s">
        <v>11859</v>
      </c>
      <c r="C940" t="s">
        <v>11902</v>
      </c>
      <c r="D940" t="s">
        <v>23</v>
      </c>
      <c r="E940" t="s">
        <v>11903</v>
      </c>
      <c r="F940" s="5">
        <v>12700000</v>
      </c>
      <c r="G940" s="5">
        <v>12700000</v>
      </c>
      <c r="H940" s="4">
        <v>8497000</v>
      </c>
      <c r="I940" s="2">
        <f t="shared" si="102"/>
        <v>0.66905511811023621</v>
      </c>
      <c r="J940" s="4">
        <v>11780000</v>
      </c>
      <c r="K940" s="2">
        <f t="shared" si="103"/>
        <v>0.92755905511811021</v>
      </c>
      <c r="L940" t="s">
        <v>11862</v>
      </c>
      <c r="M940" t="s">
        <v>174</v>
      </c>
      <c r="N940" t="b">
        <f t="shared" si="104"/>
        <v>0</v>
      </c>
    </row>
    <row r="941" spans="1:14" x14ac:dyDescent="0.15">
      <c r="A941" t="s">
        <v>11853</v>
      </c>
      <c r="B941" t="s">
        <v>11859</v>
      </c>
      <c r="C941" t="s">
        <v>11904</v>
      </c>
      <c r="D941" t="s">
        <v>23</v>
      </c>
      <c r="E941" t="s">
        <v>11905</v>
      </c>
      <c r="F941" s="5">
        <v>12740000</v>
      </c>
      <c r="G941" s="5">
        <v>12740000</v>
      </c>
      <c r="H941" s="4">
        <v>8521000</v>
      </c>
      <c r="I941" s="2">
        <f t="shared" si="102"/>
        <v>0.6688383045525903</v>
      </c>
      <c r="J941" s="4">
        <v>11800000</v>
      </c>
      <c r="K941" s="2">
        <f t="shared" si="103"/>
        <v>0.92621664050235475</v>
      </c>
      <c r="L941" t="s">
        <v>11906</v>
      </c>
      <c r="M941" t="s">
        <v>174</v>
      </c>
      <c r="N941" t="b">
        <f t="shared" si="104"/>
        <v>0</v>
      </c>
    </row>
    <row r="942" spans="1:14" x14ac:dyDescent="0.15">
      <c r="A942" t="s">
        <v>11853</v>
      </c>
      <c r="B942" t="s">
        <v>11859</v>
      </c>
      <c r="C942" t="s">
        <v>11907</v>
      </c>
      <c r="D942" t="s">
        <v>23</v>
      </c>
      <c r="E942" t="s">
        <v>11908</v>
      </c>
      <c r="F942" s="5">
        <v>17210000</v>
      </c>
      <c r="G942" s="5">
        <v>17210000</v>
      </c>
      <c r="H942" s="4">
        <v>11544000</v>
      </c>
      <c r="I942" s="2">
        <f t="shared" si="102"/>
        <v>0.67077280650784432</v>
      </c>
      <c r="J942" s="4">
        <v>15980000</v>
      </c>
      <c r="K942" s="2">
        <f t="shared" si="103"/>
        <v>0.92852992446252181</v>
      </c>
      <c r="L942" t="s">
        <v>11865</v>
      </c>
      <c r="M942" t="s">
        <v>174</v>
      </c>
      <c r="N942" t="b">
        <f t="shared" si="104"/>
        <v>0</v>
      </c>
    </row>
    <row r="943" spans="1:14" x14ac:dyDescent="0.15">
      <c r="A943" t="s">
        <v>11853</v>
      </c>
      <c r="B943" t="s">
        <v>11856</v>
      </c>
      <c r="C943" t="s">
        <v>11909</v>
      </c>
      <c r="D943" t="s">
        <v>23</v>
      </c>
      <c r="E943" t="s">
        <v>11910</v>
      </c>
      <c r="F943" s="5">
        <v>33656000</v>
      </c>
      <c r="G943" s="5">
        <v>33656000</v>
      </c>
      <c r="H943" s="4">
        <v>22711000</v>
      </c>
      <c r="I943" s="2">
        <f t="shared" si="102"/>
        <v>0.67479795578797241</v>
      </c>
      <c r="J943" s="4">
        <v>31900000</v>
      </c>
      <c r="K943" s="2">
        <f t="shared" si="103"/>
        <v>0.9478250534822914</v>
      </c>
      <c r="L943" t="s">
        <v>11911</v>
      </c>
      <c r="M943" t="s">
        <v>174</v>
      </c>
      <c r="N943" t="b">
        <f t="shared" si="104"/>
        <v>0</v>
      </c>
    </row>
    <row r="944" spans="1:14" x14ac:dyDescent="0.15">
      <c r="A944" t="s">
        <v>11853</v>
      </c>
      <c r="B944" t="s">
        <v>11856</v>
      </c>
      <c r="C944" t="s">
        <v>11912</v>
      </c>
      <c r="D944" t="s">
        <v>23</v>
      </c>
      <c r="E944" t="s">
        <v>11913</v>
      </c>
      <c r="F944" s="5">
        <v>20857000</v>
      </c>
      <c r="G944" s="5">
        <v>20857000</v>
      </c>
      <c r="H944" s="4">
        <v>14113000</v>
      </c>
      <c r="I944" s="2">
        <f t="shared" si="102"/>
        <v>0.67665531955698321</v>
      </c>
      <c r="J944" s="4">
        <v>19500000</v>
      </c>
      <c r="K944" s="2">
        <f t="shared" si="103"/>
        <v>0.93493791053363384</v>
      </c>
      <c r="L944" t="s">
        <v>1651</v>
      </c>
      <c r="M944" t="s">
        <v>174</v>
      </c>
      <c r="N944" t="b">
        <f t="shared" si="104"/>
        <v>0</v>
      </c>
    </row>
    <row r="945" spans="1:14" x14ac:dyDescent="0.15">
      <c r="A945" t="s">
        <v>11853</v>
      </c>
      <c r="B945" t="s">
        <v>11856</v>
      </c>
      <c r="C945" t="s">
        <v>11914</v>
      </c>
      <c r="D945" t="s">
        <v>23</v>
      </c>
      <c r="E945" t="s">
        <v>11915</v>
      </c>
      <c r="F945" s="5">
        <v>15537000</v>
      </c>
      <c r="G945" s="5">
        <v>15537000</v>
      </c>
      <c r="H945" s="4">
        <v>10467000</v>
      </c>
      <c r="I945" s="2">
        <f t="shared" si="102"/>
        <v>0.67368217802664609</v>
      </c>
      <c r="J945" s="4">
        <v>14800000</v>
      </c>
      <c r="K945" s="2">
        <f t="shared" si="103"/>
        <v>0.95256484520821261</v>
      </c>
      <c r="L945" t="s">
        <v>3251</v>
      </c>
      <c r="M945" t="s">
        <v>174</v>
      </c>
      <c r="N945" t="b">
        <f t="shared" si="104"/>
        <v>0</v>
      </c>
    </row>
    <row r="946" spans="1:14" x14ac:dyDescent="0.15">
      <c r="A946" t="s">
        <v>11853</v>
      </c>
      <c r="B946" t="s">
        <v>11856</v>
      </c>
      <c r="C946" t="s">
        <v>11916</v>
      </c>
      <c r="D946" t="s">
        <v>23</v>
      </c>
      <c r="E946" t="s">
        <v>11917</v>
      </c>
      <c r="F946" s="5">
        <v>12633000</v>
      </c>
      <c r="G946" s="5">
        <v>12633000</v>
      </c>
      <c r="H946" s="4">
        <v>8538000</v>
      </c>
      <c r="I946" s="2">
        <f t="shared" si="102"/>
        <v>0.67584896699121344</v>
      </c>
      <c r="J946" s="4">
        <v>10230000</v>
      </c>
      <c r="K946" s="2">
        <f t="shared" si="103"/>
        <v>0.80978389931132744</v>
      </c>
      <c r="L946" t="s">
        <v>567</v>
      </c>
      <c r="M946" t="s">
        <v>174</v>
      </c>
      <c r="N946" t="b">
        <f t="shared" si="104"/>
        <v>0</v>
      </c>
    </row>
    <row r="947" spans="1:14" x14ac:dyDescent="0.15">
      <c r="A947" t="s">
        <v>11853</v>
      </c>
      <c r="B947" t="s">
        <v>11856</v>
      </c>
      <c r="C947" t="s">
        <v>11918</v>
      </c>
      <c r="D947" t="s">
        <v>23</v>
      </c>
      <c r="E947" t="s">
        <v>11919</v>
      </c>
      <c r="F947" s="5">
        <v>12943000</v>
      </c>
      <c r="G947" s="5">
        <v>12943000</v>
      </c>
      <c r="H947" s="4">
        <v>8651000</v>
      </c>
      <c r="I947" s="2">
        <f t="shared" si="102"/>
        <v>0.6683921811017538</v>
      </c>
      <c r="J947" s="4">
        <v>12300000</v>
      </c>
      <c r="K947" s="2">
        <f t="shared" si="103"/>
        <v>0.95032063663756472</v>
      </c>
      <c r="L947" t="s">
        <v>11862</v>
      </c>
      <c r="M947" t="s">
        <v>174</v>
      </c>
      <c r="N947" t="b">
        <f t="shared" si="104"/>
        <v>0</v>
      </c>
    </row>
    <row r="948" spans="1:14" x14ac:dyDescent="0.15">
      <c r="A948" t="s">
        <v>11853</v>
      </c>
      <c r="B948" t="s">
        <v>11856</v>
      </c>
      <c r="C948" t="s">
        <v>11920</v>
      </c>
      <c r="D948" t="s">
        <v>23</v>
      </c>
      <c r="E948" t="s">
        <v>11921</v>
      </c>
      <c r="F948" s="5">
        <v>18057000</v>
      </c>
      <c r="G948" s="5">
        <v>18057000</v>
      </c>
      <c r="H948" s="4">
        <v>12105000</v>
      </c>
      <c r="I948" s="2">
        <f t="shared" si="102"/>
        <v>0.67037713905964447</v>
      </c>
      <c r="J948" s="4">
        <v>16930000</v>
      </c>
      <c r="K948" s="2">
        <f t="shared" si="103"/>
        <v>0.93758653153901539</v>
      </c>
      <c r="L948" t="s">
        <v>1651</v>
      </c>
      <c r="M948" t="s">
        <v>174</v>
      </c>
      <c r="N948" t="b">
        <f t="shared" si="104"/>
        <v>0</v>
      </c>
    </row>
    <row r="949" spans="1:14" x14ac:dyDescent="0.15">
      <c r="A949" t="s">
        <v>11853</v>
      </c>
      <c r="B949" t="s">
        <v>11856</v>
      </c>
      <c r="C949" t="s">
        <v>11922</v>
      </c>
      <c r="D949" t="s">
        <v>23</v>
      </c>
      <c r="E949" t="s">
        <v>11923</v>
      </c>
      <c r="F949" s="5">
        <v>10193000</v>
      </c>
      <c r="G949" s="5">
        <v>10193000</v>
      </c>
      <c r="H949" s="4">
        <v>6853000</v>
      </c>
      <c r="I949" s="2">
        <f t="shared" si="102"/>
        <v>0.67232414402040619</v>
      </c>
      <c r="J949" s="4">
        <v>9580000</v>
      </c>
      <c r="K949" s="2">
        <f t="shared" si="103"/>
        <v>0.93986068870793682</v>
      </c>
      <c r="L949" t="s">
        <v>11885</v>
      </c>
      <c r="M949" t="s">
        <v>174</v>
      </c>
      <c r="N949" t="b">
        <f t="shared" si="104"/>
        <v>0</v>
      </c>
    </row>
    <row r="950" spans="1:14" x14ac:dyDescent="0.15">
      <c r="A950" t="s">
        <v>11853</v>
      </c>
      <c r="B950" t="s">
        <v>11856</v>
      </c>
      <c r="C950" t="s">
        <v>11924</v>
      </c>
      <c r="D950" t="s">
        <v>23</v>
      </c>
      <c r="E950" t="s">
        <v>11925</v>
      </c>
      <c r="F950" s="5">
        <v>4366000</v>
      </c>
      <c r="G950" s="5">
        <v>4366000</v>
      </c>
      <c r="H950" s="4">
        <v>2936500</v>
      </c>
      <c r="I950" s="2">
        <f t="shared" si="102"/>
        <v>0.67258360054970223</v>
      </c>
      <c r="J950" s="4">
        <v>4100000</v>
      </c>
      <c r="K950" s="2">
        <f t="shared" si="103"/>
        <v>0.93907466788822724</v>
      </c>
      <c r="L950" t="s">
        <v>11865</v>
      </c>
      <c r="M950" t="s">
        <v>432</v>
      </c>
      <c r="N950" t="b">
        <f t="shared" si="104"/>
        <v>0</v>
      </c>
    </row>
    <row r="951" spans="1:14" x14ac:dyDescent="0.15">
      <c r="A951" t="s">
        <v>11853</v>
      </c>
      <c r="B951" t="s">
        <v>11856</v>
      </c>
      <c r="C951" t="s">
        <v>11926</v>
      </c>
      <c r="D951" t="s">
        <v>23</v>
      </c>
      <c r="E951" t="s">
        <v>11927</v>
      </c>
      <c r="F951" s="5">
        <v>6491000</v>
      </c>
      <c r="G951" s="5">
        <v>6491000</v>
      </c>
      <c r="H951" s="4">
        <v>4390500</v>
      </c>
      <c r="I951" s="2">
        <f t="shared" si="102"/>
        <v>0.67639808966260973</v>
      </c>
      <c r="J951" s="4">
        <v>6100000</v>
      </c>
      <c r="K951" s="2">
        <f t="shared" si="103"/>
        <v>0.93976274842089047</v>
      </c>
      <c r="L951" t="s">
        <v>11865</v>
      </c>
      <c r="M951" t="s">
        <v>165</v>
      </c>
      <c r="N951" t="b">
        <f t="shared" si="104"/>
        <v>0</v>
      </c>
    </row>
    <row r="952" spans="1:14" x14ac:dyDescent="0.15">
      <c r="A952" t="s">
        <v>11853</v>
      </c>
      <c r="B952" t="s">
        <v>11856</v>
      </c>
      <c r="C952" t="s">
        <v>11928</v>
      </c>
      <c r="D952" t="s">
        <v>23</v>
      </c>
      <c r="E952" t="s">
        <v>11929</v>
      </c>
      <c r="F952" s="5">
        <v>4889000</v>
      </c>
      <c r="G952" s="5">
        <v>4889000</v>
      </c>
      <c r="H952" s="4">
        <v>3263400</v>
      </c>
      <c r="I952" s="2">
        <f t="shared" si="102"/>
        <v>0.66749846594395579</v>
      </c>
      <c r="J952" s="4">
        <v>4620000</v>
      </c>
      <c r="K952" s="2">
        <f t="shared" si="103"/>
        <v>0.94497852321538145</v>
      </c>
      <c r="L952" t="s">
        <v>11862</v>
      </c>
      <c r="M952" t="s">
        <v>165</v>
      </c>
      <c r="N952" t="b">
        <f t="shared" si="104"/>
        <v>0</v>
      </c>
    </row>
    <row r="953" spans="1:14" x14ac:dyDescent="0.15">
      <c r="A953" t="s">
        <v>11853</v>
      </c>
      <c r="B953" t="s">
        <v>11856</v>
      </c>
      <c r="C953" t="s">
        <v>11930</v>
      </c>
      <c r="D953" t="s">
        <v>23</v>
      </c>
      <c r="E953" t="s">
        <v>11931</v>
      </c>
      <c r="F953" s="5">
        <v>7674000</v>
      </c>
      <c r="G953" s="5">
        <v>7674000</v>
      </c>
      <c r="H953" s="4">
        <v>5190600</v>
      </c>
      <c r="I953" s="2">
        <f t="shared" si="102"/>
        <v>0.67638780297107115</v>
      </c>
      <c r="J953" s="4">
        <v>7210000</v>
      </c>
      <c r="K953" s="2">
        <f t="shared" si="103"/>
        <v>0.9395360959082617</v>
      </c>
      <c r="L953" t="s">
        <v>11882</v>
      </c>
      <c r="M953" t="s">
        <v>165</v>
      </c>
      <c r="N953" t="b">
        <f t="shared" si="104"/>
        <v>0</v>
      </c>
    </row>
    <row r="954" spans="1:14" x14ac:dyDescent="0.15">
      <c r="A954" t="s">
        <v>11853</v>
      </c>
      <c r="B954" t="s">
        <v>11856</v>
      </c>
      <c r="C954" t="s">
        <v>11932</v>
      </c>
      <c r="D954" t="s">
        <v>23</v>
      </c>
      <c r="E954" t="s">
        <v>11933</v>
      </c>
      <c r="F954" s="5">
        <v>3565000</v>
      </c>
      <c r="G954" s="5">
        <v>3565000</v>
      </c>
      <c r="H954" s="4">
        <v>2408100</v>
      </c>
      <c r="I954" s="2">
        <f t="shared" si="102"/>
        <v>0.67548387096774198</v>
      </c>
      <c r="J954" s="4">
        <v>3310000</v>
      </c>
      <c r="K954" s="2">
        <f t="shared" si="103"/>
        <v>0.92847124824684435</v>
      </c>
      <c r="L954" t="s">
        <v>11882</v>
      </c>
      <c r="M954" t="s">
        <v>432</v>
      </c>
      <c r="N954" t="b">
        <f t="shared" si="104"/>
        <v>0</v>
      </c>
    </row>
    <row r="955" spans="1:14" x14ac:dyDescent="0.15">
      <c r="A955" t="s">
        <v>11853</v>
      </c>
      <c r="B955" t="s">
        <v>11856</v>
      </c>
      <c r="C955" t="s">
        <v>11934</v>
      </c>
      <c r="D955" t="s">
        <v>23</v>
      </c>
      <c r="E955" t="s">
        <v>11935</v>
      </c>
      <c r="F955" s="5">
        <v>4176000</v>
      </c>
      <c r="G955" s="5">
        <v>4176000</v>
      </c>
      <c r="H955" s="4">
        <v>2810800</v>
      </c>
      <c r="I955" s="2">
        <f t="shared" si="102"/>
        <v>0.67308429118773949</v>
      </c>
      <c r="J955" s="4">
        <v>4000000</v>
      </c>
      <c r="K955" s="2">
        <f t="shared" si="103"/>
        <v>0.95785440613026818</v>
      </c>
      <c r="L955" t="s">
        <v>431</v>
      </c>
      <c r="M955" t="s">
        <v>432</v>
      </c>
      <c r="N955" t="b">
        <f t="shared" si="104"/>
        <v>0</v>
      </c>
    </row>
    <row r="956" spans="1:14" x14ac:dyDescent="0.15">
      <c r="A956" t="s">
        <v>11853</v>
      </c>
      <c r="B956" t="s">
        <v>11859</v>
      </c>
      <c r="C956" t="s">
        <v>11936</v>
      </c>
      <c r="D956" t="s">
        <v>15</v>
      </c>
      <c r="E956" t="s">
        <v>11937</v>
      </c>
      <c r="F956" s="5">
        <f>G956</f>
        <v>6300000</v>
      </c>
      <c r="G956" s="5">
        <v>6300000</v>
      </c>
      <c r="I956" s="2">
        <f t="shared" si="102"/>
        <v>0</v>
      </c>
      <c r="K956" s="2">
        <f t="shared" si="103"/>
        <v>0</v>
      </c>
      <c r="M956" t="s">
        <v>139</v>
      </c>
      <c r="N956" t="b">
        <f t="shared" si="104"/>
        <v>0</v>
      </c>
    </row>
    <row r="957" spans="1:14" x14ac:dyDescent="0.15">
      <c r="A957" t="s">
        <v>11853</v>
      </c>
      <c r="B957" t="s">
        <v>11856</v>
      </c>
      <c r="C957" t="s">
        <v>11938</v>
      </c>
      <c r="D957" t="s">
        <v>23</v>
      </c>
      <c r="E957" t="s">
        <v>11939</v>
      </c>
      <c r="F957" s="5">
        <v>3183000</v>
      </c>
      <c r="G957" s="5">
        <v>3183000</v>
      </c>
      <c r="H957" s="4">
        <v>2147500</v>
      </c>
      <c r="I957" s="2">
        <f t="shared" si="102"/>
        <v>0.67467797675149233</v>
      </c>
      <c r="J957" s="4">
        <v>3000000</v>
      </c>
      <c r="K957" s="2">
        <f t="shared" si="103"/>
        <v>0.94250706880301605</v>
      </c>
      <c r="L957" t="s">
        <v>11940</v>
      </c>
      <c r="M957" t="s">
        <v>432</v>
      </c>
      <c r="N957" t="b">
        <f t="shared" si="104"/>
        <v>0</v>
      </c>
    </row>
    <row r="958" spans="1:14" x14ac:dyDescent="0.15">
      <c r="A958" t="s">
        <v>11853</v>
      </c>
      <c r="B958" t="s">
        <v>11856</v>
      </c>
      <c r="C958" t="s">
        <v>11941</v>
      </c>
      <c r="D958" t="s">
        <v>23</v>
      </c>
      <c r="E958" t="s">
        <v>11942</v>
      </c>
      <c r="F958" s="5">
        <v>4703000</v>
      </c>
      <c r="G958" s="5">
        <v>4703000</v>
      </c>
      <c r="H958" s="4">
        <v>3141100</v>
      </c>
      <c r="I958" s="2">
        <f t="shared" si="102"/>
        <v>0.66789283436104618</v>
      </c>
      <c r="J958" s="4">
        <v>4430000</v>
      </c>
      <c r="K958" s="2">
        <f t="shared" si="103"/>
        <v>0.94195194556665962</v>
      </c>
      <c r="L958" t="s">
        <v>11862</v>
      </c>
      <c r="M958" t="s">
        <v>165</v>
      </c>
      <c r="N958" t="b">
        <f t="shared" si="104"/>
        <v>0</v>
      </c>
    </row>
    <row r="959" spans="1:14" x14ac:dyDescent="0.15">
      <c r="A959" t="s">
        <v>11853</v>
      </c>
      <c r="B959" t="s">
        <v>11856</v>
      </c>
      <c r="C959" t="s">
        <v>11943</v>
      </c>
      <c r="D959" t="s">
        <v>23</v>
      </c>
      <c r="E959" t="s">
        <v>11944</v>
      </c>
      <c r="F959" s="5">
        <v>5438000</v>
      </c>
      <c r="G959" s="5">
        <v>5438000</v>
      </c>
      <c r="H959" s="4">
        <v>3639100</v>
      </c>
      <c r="I959" s="2">
        <f t="shared" si="102"/>
        <v>0.6691982346450901</v>
      </c>
      <c r="J959" s="4">
        <v>5120000</v>
      </c>
      <c r="K959" s="2">
        <f t="shared" si="103"/>
        <v>0.94152261860978304</v>
      </c>
      <c r="L959" t="s">
        <v>1651</v>
      </c>
      <c r="M959" t="s">
        <v>165</v>
      </c>
      <c r="N959" t="b">
        <f t="shared" si="104"/>
        <v>0</v>
      </c>
    </row>
    <row r="960" spans="1:14" x14ac:dyDescent="0.15">
      <c r="A960" t="s">
        <v>11853</v>
      </c>
      <c r="B960" t="s">
        <v>11859</v>
      </c>
      <c r="C960" t="s">
        <v>11945</v>
      </c>
      <c r="D960" t="s">
        <v>23</v>
      </c>
      <c r="E960" t="s">
        <v>11946</v>
      </c>
      <c r="F960" s="5">
        <v>10790000</v>
      </c>
      <c r="G960" s="5">
        <v>10790000</v>
      </c>
      <c r="H960" s="4">
        <v>7254000</v>
      </c>
      <c r="I960" s="2">
        <f t="shared" si="102"/>
        <v>0.67228915662650601</v>
      </c>
      <c r="J960" s="4">
        <v>10100000</v>
      </c>
      <c r="K960" s="2">
        <f t="shared" si="103"/>
        <v>0.93605189990732163</v>
      </c>
      <c r="L960" t="s">
        <v>1651</v>
      </c>
      <c r="M960" t="s">
        <v>174</v>
      </c>
      <c r="N960" t="b">
        <f t="shared" si="104"/>
        <v>0</v>
      </c>
    </row>
    <row r="961" spans="1:14" x14ac:dyDescent="0.15">
      <c r="A961" t="s">
        <v>11853</v>
      </c>
      <c r="B961" t="s">
        <v>11859</v>
      </c>
      <c r="C961" t="s">
        <v>11947</v>
      </c>
      <c r="D961" t="s">
        <v>23</v>
      </c>
      <c r="E961" t="s">
        <v>11948</v>
      </c>
      <c r="F961" s="5">
        <v>4080000</v>
      </c>
      <c r="G961" s="5">
        <v>4080000</v>
      </c>
      <c r="H961" s="4">
        <v>2736400</v>
      </c>
      <c r="I961" s="2">
        <f t="shared" si="102"/>
        <v>0.67068627450980389</v>
      </c>
      <c r="J961" s="4">
        <v>3850000</v>
      </c>
      <c r="K961" s="2">
        <f t="shared" si="103"/>
        <v>0.94362745098039214</v>
      </c>
      <c r="L961" t="s">
        <v>1651</v>
      </c>
      <c r="M961" t="s">
        <v>432</v>
      </c>
      <c r="N961" t="b">
        <f t="shared" si="104"/>
        <v>0</v>
      </c>
    </row>
    <row r="962" spans="1:14" x14ac:dyDescent="0.15">
      <c r="A962" t="s">
        <v>11853</v>
      </c>
      <c r="B962" t="s">
        <v>11859</v>
      </c>
      <c r="C962" t="s">
        <v>11949</v>
      </c>
      <c r="D962" t="s">
        <v>23</v>
      </c>
      <c r="E962" t="s">
        <v>11950</v>
      </c>
      <c r="F962" s="5">
        <v>6065000</v>
      </c>
      <c r="G962" s="5">
        <v>6065000</v>
      </c>
      <c r="H962" s="4">
        <v>4053800</v>
      </c>
      <c r="I962" s="2">
        <f t="shared" si="102"/>
        <v>0.66839241549876338</v>
      </c>
      <c r="J962" s="4">
        <v>5700000</v>
      </c>
      <c r="K962" s="2">
        <f t="shared" si="103"/>
        <v>0.93981863149216816</v>
      </c>
      <c r="L962" t="s">
        <v>11865</v>
      </c>
      <c r="M962" t="s">
        <v>165</v>
      </c>
      <c r="N962" t="b">
        <f t="shared" si="104"/>
        <v>0</v>
      </c>
    </row>
    <row r="963" spans="1:14" x14ac:dyDescent="0.15">
      <c r="A963" t="s">
        <v>11853</v>
      </c>
      <c r="B963" t="s">
        <v>11859</v>
      </c>
      <c r="C963" t="s">
        <v>11951</v>
      </c>
      <c r="D963" t="s">
        <v>23</v>
      </c>
      <c r="E963" t="s">
        <v>11952</v>
      </c>
      <c r="F963" s="5">
        <v>8433000</v>
      </c>
      <c r="G963" s="5">
        <v>8433000</v>
      </c>
      <c r="H963" s="4">
        <v>5680400</v>
      </c>
      <c r="I963" s="2">
        <f t="shared" si="102"/>
        <v>0.67359184157476582</v>
      </c>
      <c r="J963" s="4">
        <v>7900000</v>
      </c>
      <c r="K963" s="2">
        <f t="shared" si="103"/>
        <v>0.93679592078738294</v>
      </c>
      <c r="L963" t="s">
        <v>11893</v>
      </c>
      <c r="M963" t="s">
        <v>165</v>
      </c>
      <c r="N963" t="b">
        <f t="shared" si="104"/>
        <v>0</v>
      </c>
    </row>
    <row r="964" spans="1:14" x14ac:dyDescent="0.15">
      <c r="A964" t="s">
        <v>11853</v>
      </c>
      <c r="B964" t="s">
        <v>11859</v>
      </c>
      <c r="C964" t="s">
        <v>11886</v>
      </c>
      <c r="D964" t="s">
        <v>23</v>
      </c>
      <c r="E964" t="s">
        <v>11953</v>
      </c>
      <c r="F964" s="5">
        <v>7700000</v>
      </c>
      <c r="G964" s="5">
        <v>7700000</v>
      </c>
      <c r="H964" s="4">
        <v>5209000</v>
      </c>
      <c r="I964" s="2">
        <f t="shared" ref="I964:I1027" si="105">H964/G964</f>
        <v>0.67649350649350648</v>
      </c>
      <c r="J964" s="4">
        <v>7230000</v>
      </c>
      <c r="K964" s="2">
        <f t="shared" ref="K964:K1027" si="106">J964/G964</f>
        <v>0.938961038961039</v>
      </c>
      <c r="L964" t="s">
        <v>11882</v>
      </c>
      <c r="M964" t="s">
        <v>165</v>
      </c>
      <c r="N964" t="b">
        <f t="shared" ref="N964:N1027" si="107">F964&lt;&gt;G964</f>
        <v>0</v>
      </c>
    </row>
    <row r="965" spans="1:14" x14ac:dyDescent="0.15">
      <c r="A965" t="s">
        <v>11853</v>
      </c>
      <c r="B965" t="s">
        <v>11859</v>
      </c>
      <c r="C965" t="s">
        <v>11880</v>
      </c>
      <c r="D965" t="s">
        <v>23</v>
      </c>
      <c r="E965" t="s">
        <v>11954</v>
      </c>
      <c r="F965" s="5">
        <v>8660000</v>
      </c>
      <c r="G965" s="5">
        <v>8660000</v>
      </c>
      <c r="H965" s="4">
        <v>5780500</v>
      </c>
      <c r="I965" s="2">
        <f t="shared" si="105"/>
        <v>0.66749422632794453</v>
      </c>
      <c r="J965" s="4">
        <v>8200000</v>
      </c>
      <c r="K965" s="2">
        <f t="shared" si="106"/>
        <v>0.94688221709006926</v>
      </c>
      <c r="L965" t="s">
        <v>11862</v>
      </c>
      <c r="M965" t="s">
        <v>165</v>
      </c>
      <c r="N965" t="b">
        <f t="shared" si="107"/>
        <v>0</v>
      </c>
    </row>
    <row r="966" spans="1:14" x14ac:dyDescent="0.15">
      <c r="A966" t="s">
        <v>11853</v>
      </c>
      <c r="B966" t="s">
        <v>11859</v>
      </c>
      <c r="C966" t="s">
        <v>11955</v>
      </c>
      <c r="D966" t="s">
        <v>23</v>
      </c>
      <c r="E966" t="s">
        <v>11956</v>
      </c>
      <c r="F966" s="5">
        <v>3560000</v>
      </c>
      <c r="G966" s="5">
        <v>3560000</v>
      </c>
      <c r="H966" s="4">
        <v>2398700</v>
      </c>
      <c r="I966" s="2">
        <f t="shared" si="105"/>
        <v>0.67379213483146072</v>
      </c>
      <c r="J966" s="4">
        <v>3320000</v>
      </c>
      <c r="K966" s="2">
        <f t="shared" si="106"/>
        <v>0.93258426966292129</v>
      </c>
      <c r="L966" t="s">
        <v>11893</v>
      </c>
      <c r="M966" t="s">
        <v>432</v>
      </c>
      <c r="N966" t="b">
        <f t="shared" si="107"/>
        <v>0</v>
      </c>
    </row>
    <row r="967" spans="1:14" x14ac:dyDescent="0.15">
      <c r="A967" t="s">
        <v>11853</v>
      </c>
      <c r="B967" t="s">
        <v>11859</v>
      </c>
      <c r="C967" t="s">
        <v>11957</v>
      </c>
      <c r="D967" t="s">
        <v>23</v>
      </c>
      <c r="E967" t="s">
        <v>11958</v>
      </c>
      <c r="F967" s="5">
        <v>3680000</v>
      </c>
      <c r="G967" s="5">
        <v>3680000</v>
      </c>
      <c r="H967" s="4">
        <v>2459700</v>
      </c>
      <c r="I967" s="2">
        <f t="shared" si="105"/>
        <v>0.66839673913043474</v>
      </c>
      <c r="J967" s="4">
        <v>3450000</v>
      </c>
      <c r="K967" s="2">
        <f t="shared" si="106"/>
        <v>0.9375</v>
      </c>
      <c r="L967" t="s">
        <v>11865</v>
      </c>
      <c r="M967" t="s">
        <v>432</v>
      </c>
      <c r="N967" t="b">
        <f t="shared" si="107"/>
        <v>0</v>
      </c>
    </row>
    <row r="968" spans="1:14" x14ac:dyDescent="0.15">
      <c r="A968" t="s">
        <v>11853</v>
      </c>
      <c r="B968" t="s">
        <v>11859</v>
      </c>
      <c r="C968" t="s">
        <v>11959</v>
      </c>
      <c r="D968" t="s">
        <v>23</v>
      </c>
      <c r="E968" t="s">
        <v>11960</v>
      </c>
      <c r="F968" s="5">
        <v>3680000</v>
      </c>
      <c r="G968" s="5">
        <v>3680000</v>
      </c>
      <c r="H968" s="4">
        <v>2474400</v>
      </c>
      <c r="I968" s="2">
        <f t="shared" si="105"/>
        <v>0.67239130434782612</v>
      </c>
      <c r="J968" s="4">
        <v>3460000</v>
      </c>
      <c r="K968" s="2">
        <f t="shared" si="106"/>
        <v>0.94021739130434778</v>
      </c>
      <c r="L968" t="s">
        <v>3251</v>
      </c>
      <c r="M968" t="s">
        <v>432</v>
      </c>
      <c r="N968" t="b">
        <f t="shared" si="107"/>
        <v>0</v>
      </c>
    </row>
    <row r="969" spans="1:14" x14ac:dyDescent="0.15">
      <c r="A969" t="s">
        <v>11853</v>
      </c>
      <c r="B969" t="s">
        <v>11859</v>
      </c>
      <c r="C969" t="s">
        <v>11961</v>
      </c>
      <c r="D969" t="s">
        <v>23</v>
      </c>
      <c r="E969" t="s">
        <v>11962</v>
      </c>
      <c r="F969" s="5">
        <v>12128000</v>
      </c>
      <c r="G969" s="5">
        <v>12128000</v>
      </c>
      <c r="H969" s="4">
        <v>8122000</v>
      </c>
      <c r="I969" s="2">
        <f t="shared" si="105"/>
        <v>0.66968997361477578</v>
      </c>
      <c r="J969" s="4">
        <v>12000000</v>
      </c>
      <c r="K969" s="2">
        <f t="shared" si="106"/>
        <v>0.98944591029023743</v>
      </c>
      <c r="L969" t="s">
        <v>11963</v>
      </c>
      <c r="M969" t="s">
        <v>174</v>
      </c>
      <c r="N969" t="b">
        <f t="shared" si="107"/>
        <v>0</v>
      </c>
    </row>
    <row r="970" spans="1:14" x14ac:dyDescent="0.15">
      <c r="A970" t="s">
        <v>11853</v>
      </c>
      <c r="B970" t="s">
        <v>11859</v>
      </c>
      <c r="C970" t="s">
        <v>11964</v>
      </c>
      <c r="D970" t="s">
        <v>23</v>
      </c>
      <c r="E970" t="s">
        <v>11965</v>
      </c>
      <c r="F970" s="5">
        <v>4680000</v>
      </c>
      <c r="G970" s="5">
        <v>4680000</v>
      </c>
      <c r="H970" s="4">
        <v>3125700</v>
      </c>
      <c r="I970" s="2">
        <f t="shared" si="105"/>
        <v>0.66788461538461541</v>
      </c>
      <c r="J970" s="4">
        <v>4380000</v>
      </c>
      <c r="K970" s="2">
        <f t="shared" si="106"/>
        <v>0.9358974358974359</v>
      </c>
      <c r="L970" t="s">
        <v>1651</v>
      </c>
      <c r="M970" t="s">
        <v>165</v>
      </c>
      <c r="N970" t="b">
        <f t="shared" si="107"/>
        <v>0</v>
      </c>
    </row>
    <row r="971" spans="1:14" x14ac:dyDescent="0.15">
      <c r="A971" t="s">
        <v>11853</v>
      </c>
      <c r="B971" t="s">
        <v>11859</v>
      </c>
      <c r="C971" t="s">
        <v>11966</v>
      </c>
      <c r="D971" t="s">
        <v>23</v>
      </c>
      <c r="E971" t="s">
        <v>11967</v>
      </c>
      <c r="F971" s="5">
        <v>4800000</v>
      </c>
      <c r="G971" s="5">
        <v>4800000</v>
      </c>
      <c r="H971" s="4">
        <v>3219800</v>
      </c>
      <c r="I971" s="2">
        <f t="shared" si="105"/>
        <v>0.67079166666666667</v>
      </c>
      <c r="J971" s="4">
        <v>4510000</v>
      </c>
      <c r="K971" s="2">
        <f t="shared" si="106"/>
        <v>0.93958333333333333</v>
      </c>
      <c r="L971" t="s">
        <v>11862</v>
      </c>
      <c r="M971" t="s">
        <v>165</v>
      </c>
      <c r="N971" t="b">
        <f t="shared" si="107"/>
        <v>0</v>
      </c>
    </row>
    <row r="972" spans="1:14" x14ac:dyDescent="0.15">
      <c r="A972" t="s">
        <v>11853</v>
      </c>
      <c r="B972" t="s">
        <v>11859</v>
      </c>
      <c r="C972" t="s">
        <v>11968</v>
      </c>
      <c r="D972" t="s">
        <v>23</v>
      </c>
      <c r="E972" t="s">
        <v>11969</v>
      </c>
      <c r="F972" s="5">
        <v>4800000</v>
      </c>
      <c r="G972" s="5">
        <v>4800000</v>
      </c>
      <c r="H972" s="4">
        <v>3238500</v>
      </c>
      <c r="I972" s="2">
        <f t="shared" si="105"/>
        <v>0.6746875</v>
      </c>
      <c r="J972" s="4">
        <v>4500000</v>
      </c>
      <c r="K972" s="2">
        <f t="shared" si="106"/>
        <v>0.9375</v>
      </c>
      <c r="L972" t="s">
        <v>11865</v>
      </c>
      <c r="M972" t="s">
        <v>165</v>
      </c>
      <c r="N972" t="b">
        <f t="shared" si="107"/>
        <v>0</v>
      </c>
    </row>
    <row r="973" spans="1:14" x14ac:dyDescent="0.15">
      <c r="A973" t="s">
        <v>11853</v>
      </c>
      <c r="B973" t="s">
        <v>11859</v>
      </c>
      <c r="C973" t="s">
        <v>11970</v>
      </c>
      <c r="D973" t="s">
        <v>23</v>
      </c>
      <c r="E973" t="s">
        <v>11971</v>
      </c>
      <c r="F973" s="5">
        <v>4300000</v>
      </c>
      <c r="G973" s="5">
        <v>4300000</v>
      </c>
      <c r="H973" s="4">
        <v>2869800</v>
      </c>
      <c r="I973" s="2">
        <f t="shared" si="105"/>
        <v>0.6673953488372093</v>
      </c>
      <c r="J973" s="4">
        <v>4100000</v>
      </c>
      <c r="K973" s="2">
        <f t="shared" si="106"/>
        <v>0.95348837209302328</v>
      </c>
      <c r="L973" t="s">
        <v>11972</v>
      </c>
      <c r="M973" t="s">
        <v>432</v>
      </c>
      <c r="N973" t="b">
        <f t="shared" si="107"/>
        <v>0</v>
      </c>
    </row>
    <row r="974" spans="1:14" x14ac:dyDescent="0.15">
      <c r="A974" t="s">
        <v>11853</v>
      </c>
      <c r="B974" t="s">
        <v>11859</v>
      </c>
      <c r="C974" t="s">
        <v>11973</v>
      </c>
      <c r="D974" t="s">
        <v>23</v>
      </c>
      <c r="E974" t="s">
        <v>11974</v>
      </c>
      <c r="F974" s="5">
        <v>4380000</v>
      </c>
      <c r="G974" s="5">
        <v>4380000</v>
      </c>
      <c r="H974" s="4">
        <v>2937600</v>
      </c>
      <c r="I974" s="2">
        <f t="shared" si="105"/>
        <v>0.67068493150684927</v>
      </c>
      <c r="J974" s="4">
        <v>4150000</v>
      </c>
      <c r="K974" s="2">
        <f t="shared" si="106"/>
        <v>0.94748858447488582</v>
      </c>
      <c r="L974" t="s">
        <v>11901</v>
      </c>
      <c r="M974" t="s">
        <v>432</v>
      </c>
      <c r="N974" t="b">
        <f t="shared" si="107"/>
        <v>0</v>
      </c>
    </row>
    <row r="975" spans="1:14" x14ac:dyDescent="0.15">
      <c r="A975" t="s">
        <v>11853</v>
      </c>
      <c r="B975" t="s">
        <v>11856</v>
      </c>
      <c r="C975" t="s">
        <v>11975</v>
      </c>
      <c r="D975" t="s">
        <v>23</v>
      </c>
      <c r="E975" t="s">
        <v>11976</v>
      </c>
      <c r="F975" s="5">
        <v>8514000</v>
      </c>
      <c r="G975" s="5">
        <v>8514000</v>
      </c>
      <c r="H975" s="4">
        <v>5712800</v>
      </c>
      <c r="I975" s="2">
        <f t="shared" si="105"/>
        <v>0.67098895936105241</v>
      </c>
      <c r="J975" s="4">
        <v>7950000</v>
      </c>
      <c r="K975" s="2">
        <f t="shared" si="106"/>
        <v>0.9337561663143058</v>
      </c>
      <c r="L975" t="s">
        <v>1651</v>
      </c>
      <c r="M975" t="s">
        <v>165</v>
      </c>
      <c r="N975" t="b">
        <f t="shared" si="107"/>
        <v>0</v>
      </c>
    </row>
    <row r="976" spans="1:14" x14ac:dyDescent="0.15">
      <c r="A976" t="s">
        <v>11853</v>
      </c>
      <c r="B976" t="s">
        <v>11859</v>
      </c>
      <c r="C976" t="s">
        <v>11977</v>
      </c>
      <c r="D976" t="s">
        <v>23</v>
      </c>
      <c r="E976" t="s">
        <v>11978</v>
      </c>
      <c r="F976" s="5">
        <v>5623000</v>
      </c>
      <c r="G976" s="5">
        <v>5623000</v>
      </c>
      <c r="H976" s="4">
        <v>3792100</v>
      </c>
      <c r="I976" s="2">
        <f t="shared" si="105"/>
        <v>0.67439089454028101</v>
      </c>
      <c r="J976" s="4">
        <v>5320000</v>
      </c>
      <c r="K976" s="2">
        <f t="shared" si="106"/>
        <v>0.94611417392850794</v>
      </c>
      <c r="L976" t="s">
        <v>11898</v>
      </c>
      <c r="M976" t="s">
        <v>165</v>
      </c>
      <c r="N976" t="b">
        <f t="shared" si="107"/>
        <v>0</v>
      </c>
    </row>
    <row r="977" spans="1:14" x14ac:dyDescent="0.15">
      <c r="A977" t="s">
        <v>11853</v>
      </c>
      <c r="B977" t="s">
        <v>11859</v>
      </c>
      <c r="C977" t="s">
        <v>11979</v>
      </c>
      <c r="D977" t="s">
        <v>23</v>
      </c>
      <c r="E977" t="s">
        <v>11980</v>
      </c>
      <c r="F977" s="5">
        <v>6398000</v>
      </c>
      <c r="G977" s="5">
        <v>6398000</v>
      </c>
      <c r="H977" s="4">
        <v>4289800</v>
      </c>
      <c r="I977" s="2">
        <f t="shared" si="105"/>
        <v>0.67049077836824011</v>
      </c>
      <c r="J977" s="4">
        <v>5950000</v>
      </c>
      <c r="K977" s="2">
        <f t="shared" si="106"/>
        <v>0.92997811816192555</v>
      </c>
      <c r="L977" t="s">
        <v>11906</v>
      </c>
      <c r="M977" t="s">
        <v>165</v>
      </c>
      <c r="N977" t="b">
        <f t="shared" si="107"/>
        <v>0</v>
      </c>
    </row>
    <row r="978" spans="1:14" x14ac:dyDescent="0.15">
      <c r="A978" t="s">
        <v>11853</v>
      </c>
      <c r="B978" t="s">
        <v>11859</v>
      </c>
      <c r="C978" t="s">
        <v>11981</v>
      </c>
      <c r="D978" t="s">
        <v>23</v>
      </c>
      <c r="E978" t="s">
        <v>11982</v>
      </c>
      <c r="F978" s="5">
        <v>11586000</v>
      </c>
      <c r="G978" s="5">
        <v>11586000</v>
      </c>
      <c r="H978" s="4">
        <v>7747000</v>
      </c>
      <c r="I978" s="2">
        <f t="shared" si="105"/>
        <v>0.6686518211634731</v>
      </c>
      <c r="J978" s="4">
        <v>10900000</v>
      </c>
      <c r="K978" s="2">
        <f t="shared" si="106"/>
        <v>0.94079060935611947</v>
      </c>
      <c r="L978" t="s">
        <v>11862</v>
      </c>
      <c r="M978" t="s">
        <v>174</v>
      </c>
      <c r="N978" t="b">
        <f t="shared" si="107"/>
        <v>0</v>
      </c>
    </row>
    <row r="979" spans="1:14" x14ac:dyDescent="0.15">
      <c r="A979" t="s">
        <v>11853</v>
      </c>
      <c r="B979" t="s">
        <v>11859</v>
      </c>
      <c r="C979" t="s">
        <v>11983</v>
      </c>
      <c r="D979" t="s">
        <v>23</v>
      </c>
      <c r="E979" t="s">
        <v>11984</v>
      </c>
      <c r="F979" s="5">
        <v>13849000</v>
      </c>
      <c r="G979" s="5">
        <v>13849000</v>
      </c>
      <c r="H979" s="4">
        <v>9335000</v>
      </c>
      <c r="I979" s="2">
        <f t="shared" si="105"/>
        <v>0.67405588851180587</v>
      </c>
      <c r="J979" s="4">
        <v>13080000</v>
      </c>
      <c r="K979" s="2">
        <f t="shared" si="106"/>
        <v>0.94447252509206436</v>
      </c>
      <c r="L979" t="s">
        <v>11862</v>
      </c>
      <c r="M979" t="s">
        <v>174</v>
      </c>
      <c r="N979" t="b">
        <f t="shared" si="107"/>
        <v>0</v>
      </c>
    </row>
    <row r="980" spans="1:14" x14ac:dyDescent="0.15">
      <c r="A980" t="s">
        <v>11853</v>
      </c>
      <c r="B980" t="s">
        <v>11856</v>
      </c>
      <c r="C980" t="s">
        <v>11985</v>
      </c>
      <c r="D980" t="s">
        <v>23</v>
      </c>
      <c r="E980" t="s">
        <v>11986</v>
      </c>
      <c r="F980" s="5">
        <v>4367000</v>
      </c>
      <c r="G980" s="5">
        <v>4367000</v>
      </c>
      <c r="H980" s="4">
        <v>2931500</v>
      </c>
      <c r="I980" s="2">
        <f t="shared" si="105"/>
        <v>0.67128463476070532</v>
      </c>
      <c r="J980" s="4">
        <v>4060000</v>
      </c>
      <c r="K980" s="2">
        <f t="shared" si="106"/>
        <v>0.92970002289901532</v>
      </c>
      <c r="L980" t="s">
        <v>11888</v>
      </c>
      <c r="M980" t="s">
        <v>432</v>
      </c>
      <c r="N980" t="b">
        <f t="shared" si="107"/>
        <v>0</v>
      </c>
    </row>
    <row r="981" spans="1:14" x14ac:dyDescent="0.15">
      <c r="A981" t="s">
        <v>11853</v>
      </c>
      <c r="B981" t="s">
        <v>11856</v>
      </c>
      <c r="C981" t="s">
        <v>11987</v>
      </c>
      <c r="D981" t="s">
        <v>23</v>
      </c>
      <c r="E981" t="s">
        <v>11988</v>
      </c>
      <c r="F981" s="5">
        <v>7898000</v>
      </c>
      <c r="G981" s="5">
        <v>7898000</v>
      </c>
      <c r="H981" s="4">
        <v>5324000</v>
      </c>
      <c r="I981" s="2">
        <f t="shared" si="105"/>
        <v>0.6740947075208914</v>
      </c>
      <c r="J981" s="4">
        <v>7800000</v>
      </c>
      <c r="K981" s="2">
        <f t="shared" si="106"/>
        <v>0.98759179539123831</v>
      </c>
      <c r="L981" t="s">
        <v>256</v>
      </c>
      <c r="M981" t="s">
        <v>165</v>
      </c>
      <c r="N981" t="b">
        <f t="shared" si="107"/>
        <v>0</v>
      </c>
    </row>
    <row r="982" spans="1:14" x14ac:dyDescent="0.15">
      <c r="A982" t="s">
        <v>11853</v>
      </c>
      <c r="B982" t="s">
        <v>11859</v>
      </c>
      <c r="C982" t="s">
        <v>11989</v>
      </c>
      <c r="D982" t="s">
        <v>23</v>
      </c>
      <c r="E982" t="s">
        <v>11990</v>
      </c>
      <c r="F982" s="5">
        <v>19886000</v>
      </c>
      <c r="G982" s="5">
        <v>19886000</v>
      </c>
      <c r="H982" s="4">
        <v>13393000</v>
      </c>
      <c r="I982" s="2">
        <f t="shared" si="105"/>
        <v>0.67348888665392737</v>
      </c>
      <c r="J982" s="4">
        <v>18850000</v>
      </c>
      <c r="K982" s="2">
        <f t="shared" si="106"/>
        <v>0.94790304737000908</v>
      </c>
      <c r="L982" t="s">
        <v>3251</v>
      </c>
      <c r="M982" t="s">
        <v>174</v>
      </c>
      <c r="N982" t="b">
        <f t="shared" si="107"/>
        <v>0</v>
      </c>
    </row>
    <row r="983" spans="1:14" x14ac:dyDescent="0.15">
      <c r="A983" t="s">
        <v>11853</v>
      </c>
      <c r="B983" t="s">
        <v>11856</v>
      </c>
      <c r="C983" t="s">
        <v>11991</v>
      </c>
      <c r="D983" t="s">
        <v>23</v>
      </c>
      <c r="E983" t="s">
        <v>11992</v>
      </c>
      <c r="F983" s="5">
        <v>15878000</v>
      </c>
      <c r="G983" s="5">
        <v>15878000</v>
      </c>
      <c r="H983" s="4">
        <v>10692000</v>
      </c>
      <c r="I983" s="2">
        <f t="shared" si="105"/>
        <v>0.6733845572490238</v>
      </c>
      <c r="J983" s="4">
        <v>14750000</v>
      </c>
      <c r="K983" s="2">
        <f t="shared" si="106"/>
        <v>0.92895830709157323</v>
      </c>
      <c r="L983" t="s">
        <v>1651</v>
      </c>
      <c r="M983" t="s">
        <v>174</v>
      </c>
      <c r="N983" t="b">
        <f t="shared" si="107"/>
        <v>0</v>
      </c>
    </row>
    <row r="984" spans="1:14" x14ac:dyDescent="0.15">
      <c r="A984" t="s">
        <v>11853</v>
      </c>
      <c r="B984" t="s">
        <v>11859</v>
      </c>
      <c r="C984" t="s">
        <v>11993</v>
      </c>
      <c r="D984" t="s">
        <v>23</v>
      </c>
      <c r="E984" t="s">
        <v>11994</v>
      </c>
      <c r="F984" s="5">
        <v>9003000</v>
      </c>
      <c r="G984" s="5">
        <v>9003000</v>
      </c>
      <c r="H984" s="4">
        <v>6032000</v>
      </c>
      <c r="I984" s="2">
        <f t="shared" si="105"/>
        <v>0.66999888925913587</v>
      </c>
      <c r="J984" s="4">
        <v>8500000</v>
      </c>
      <c r="K984" s="2">
        <f t="shared" si="106"/>
        <v>0.94412973453293347</v>
      </c>
      <c r="L984" t="s">
        <v>11885</v>
      </c>
      <c r="M984" t="s">
        <v>165</v>
      </c>
      <c r="N984" t="b">
        <f t="shared" si="107"/>
        <v>0</v>
      </c>
    </row>
    <row r="985" spans="1:14" x14ac:dyDescent="0.15">
      <c r="A985" t="s">
        <v>11853</v>
      </c>
      <c r="B985" t="s">
        <v>11859</v>
      </c>
      <c r="C985" t="s">
        <v>11995</v>
      </c>
      <c r="D985" t="s">
        <v>23</v>
      </c>
      <c r="E985" t="s">
        <v>11996</v>
      </c>
      <c r="F985" s="5">
        <v>9068000</v>
      </c>
      <c r="G985" s="5">
        <v>9068000</v>
      </c>
      <c r="H985" s="4">
        <v>6107200</v>
      </c>
      <c r="I985" s="2">
        <f t="shared" si="105"/>
        <v>0.6734891927657698</v>
      </c>
      <c r="J985" s="4">
        <v>8500000</v>
      </c>
      <c r="K985" s="2">
        <f t="shared" si="106"/>
        <v>0.93736215262461398</v>
      </c>
      <c r="L985" t="s">
        <v>11865</v>
      </c>
      <c r="M985" t="s">
        <v>165</v>
      </c>
      <c r="N985" t="b">
        <f t="shared" si="107"/>
        <v>0</v>
      </c>
    </row>
    <row r="986" spans="1:14" x14ac:dyDescent="0.15">
      <c r="A986" t="s">
        <v>11853</v>
      </c>
      <c r="B986" t="s">
        <v>11859</v>
      </c>
      <c r="C986" t="s">
        <v>11997</v>
      </c>
      <c r="D986" t="s">
        <v>23</v>
      </c>
      <c r="E986" t="s">
        <v>11998</v>
      </c>
      <c r="F986" s="5">
        <v>15651000</v>
      </c>
      <c r="G986" s="5">
        <v>15651000</v>
      </c>
      <c r="H986" s="4">
        <v>10448000</v>
      </c>
      <c r="I986" s="2">
        <f t="shared" si="105"/>
        <v>0.66756117819947602</v>
      </c>
      <c r="J986" s="4">
        <v>14550000</v>
      </c>
      <c r="K986" s="2">
        <f t="shared" si="106"/>
        <v>0.92965305731263181</v>
      </c>
      <c r="L986" t="s">
        <v>1651</v>
      </c>
      <c r="M986" t="s">
        <v>174</v>
      </c>
      <c r="N986" t="b">
        <f t="shared" si="107"/>
        <v>0</v>
      </c>
    </row>
    <row r="987" spans="1:14" x14ac:dyDescent="0.15">
      <c r="A987" t="s">
        <v>11853</v>
      </c>
      <c r="B987" t="s">
        <v>11859</v>
      </c>
      <c r="C987" t="s">
        <v>11999</v>
      </c>
      <c r="D987" t="s">
        <v>23</v>
      </c>
      <c r="E987" t="s">
        <v>12000</v>
      </c>
      <c r="F987" s="5">
        <v>12850000</v>
      </c>
      <c r="G987" s="5">
        <v>12850000</v>
      </c>
      <c r="H987" s="4">
        <v>8601000</v>
      </c>
      <c r="I987" s="2">
        <f t="shared" si="105"/>
        <v>0.66933852140077821</v>
      </c>
      <c r="J987" s="4">
        <v>12100000</v>
      </c>
      <c r="K987" s="2">
        <f t="shared" si="106"/>
        <v>0.94163424124513617</v>
      </c>
      <c r="L987" t="s">
        <v>11972</v>
      </c>
      <c r="M987" t="s">
        <v>174</v>
      </c>
      <c r="N987" t="b">
        <f t="shared" si="107"/>
        <v>0</v>
      </c>
    </row>
    <row r="988" spans="1:14" x14ac:dyDescent="0.15">
      <c r="A988" t="s">
        <v>11853</v>
      </c>
      <c r="B988" t="s">
        <v>11856</v>
      </c>
      <c r="C988" t="s">
        <v>12001</v>
      </c>
      <c r="D988" t="s">
        <v>23</v>
      </c>
      <c r="E988" t="s">
        <v>12002</v>
      </c>
      <c r="F988" s="5">
        <v>20636000</v>
      </c>
      <c r="G988" s="5">
        <v>20636000</v>
      </c>
      <c r="H988" s="4">
        <v>13883000</v>
      </c>
      <c r="I988" s="2">
        <f t="shared" si="105"/>
        <v>0.67275634812948248</v>
      </c>
      <c r="J988" s="4">
        <v>16720000</v>
      </c>
      <c r="K988" s="2">
        <f t="shared" si="106"/>
        <v>0.81023454157782515</v>
      </c>
      <c r="L988" t="s">
        <v>567</v>
      </c>
      <c r="M988" t="s">
        <v>174</v>
      </c>
      <c r="N988" t="b">
        <f t="shared" si="107"/>
        <v>0</v>
      </c>
    </row>
    <row r="989" spans="1:14" x14ac:dyDescent="0.15">
      <c r="A989" t="s">
        <v>11853</v>
      </c>
      <c r="B989" t="s">
        <v>11856</v>
      </c>
      <c r="C989" t="s">
        <v>12003</v>
      </c>
      <c r="D989" t="s">
        <v>23</v>
      </c>
      <c r="E989" t="s">
        <v>12004</v>
      </c>
      <c r="F989" s="5">
        <v>16053000</v>
      </c>
      <c r="G989" s="5">
        <v>16053000</v>
      </c>
      <c r="H989" s="4">
        <v>10761000</v>
      </c>
      <c r="I989" s="2">
        <f t="shared" si="105"/>
        <v>0.67034199215099977</v>
      </c>
      <c r="J989" s="4">
        <v>13010000</v>
      </c>
      <c r="K989" s="2">
        <f t="shared" si="106"/>
        <v>0.81044041612159723</v>
      </c>
      <c r="L989" t="s">
        <v>567</v>
      </c>
      <c r="M989" t="s">
        <v>174</v>
      </c>
      <c r="N989" t="b">
        <f t="shared" si="107"/>
        <v>0</v>
      </c>
    </row>
    <row r="990" spans="1:14" x14ac:dyDescent="0.15">
      <c r="A990" t="s">
        <v>11853</v>
      </c>
      <c r="B990" t="s">
        <v>11859</v>
      </c>
      <c r="C990" t="s">
        <v>12005</v>
      </c>
      <c r="D990" t="s">
        <v>23</v>
      </c>
      <c r="E990" t="s">
        <v>12006</v>
      </c>
      <c r="F990" s="5">
        <v>7051000</v>
      </c>
      <c r="G990" s="5">
        <v>7051000</v>
      </c>
      <c r="H990" s="4">
        <v>4707200</v>
      </c>
      <c r="I990" s="2">
        <f t="shared" si="105"/>
        <v>0.66759324918451279</v>
      </c>
      <c r="J990" s="4">
        <v>6550000</v>
      </c>
      <c r="K990" s="2">
        <f t="shared" si="106"/>
        <v>0.9289462487590413</v>
      </c>
      <c r="L990" t="s">
        <v>1651</v>
      </c>
      <c r="M990" t="s">
        <v>165</v>
      </c>
      <c r="N990" t="b">
        <f t="shared" si="107"/>
        <v>0</v>
      </c>
    </row>
    <row r="991" spans="1:14" x14ac:dyDescent="0.15">
      <c r="A991" t="s">
        <v>11853</v>
      </c>
      <c r="B991" t="s">
        <v>11859</v>
      </c>
      <c r="C991" t="s">
        <v>12007</v>
      </c>
      <c r="D991" t="s">
        <v>23</v>
      </c>
      <c r="E991" t="s">
        <v>12008</v>
      </c>
      <c r="F991" s="5">
        <v>7051000</v>
      </c>
      <c r="G991" s="5">
        <v>7051000</v>
      </c>
      <c r="H991" s="4">
        <v>4734000</v>
      </c>
      <c r="I991" s="2">
        <f t="shared" si="105"/>
        <v>0.67139412849241242</v>
      </c>
      <c r="J991" s="4">
        <v>6650000</v>
      </c>
      <c r="K991" s="2">
        <f t="shared" si="106"/>
        <v>0.94312863423627857</v>
      </c>
      <c r="L991" t="s">
        <v>11862</v>
      </c>
      <c r="M991" t="s">
        <v>165</v>
      </c>
      <c r="N991" t="b">
        <f t="shared" si="107"/>
        <v>0</v>
      </c>
    </row>
    <row r="992" spans="1:14" x14ac:dyDescent="0.15">
      <c r="A992" t="s">
        <v>11853</v>
      </c>
      <c r="B992" t="s">
        <v>11859</v>
      </c>
      <c r="C992" t="s">
        <v>12009</v>
      </c>
      <c r="D992" t="s">
        <v>23</v>
      </c>
      <c r="E992" t="s">
        <v>12010</v>
      </c>
      <c r="F992" s="5">
        <v>7051000</v>
      </c>
      <c r="G992" s="5">
        <v>7051000</v>
      </c>
      <c r="H992" s="4">
        <v>4763600</v>
      </c>
      <c r="I992" s="2">
        <f t="shared" si="105"/>
        <v>0.67559211459367463</v>
      </c>
      <c r="J992" s="4">
        <v>6550000</v>
      </c>
      <c r="K992" s="2">
        <f t="shared" si="106"/>
        <v>0.9289462487590413</v>
      </c>
      <c r="L992" t="s">
        <v>12011</v>
      </c>
      <c r="M992" t="s">
        <v>165</v>
      </c>
      <c r="N992" t="b">
        <f t="shared" si="107"/>
        <v>0</v>
      </c>
    </row>
    <row r="993" spans="1:14" x14ac:dyDescent="0.15">
      <c r="A993" t="s">
        <v>11853</v>
      </c>
      <c r="B993" t="s">
        <v>11859</v>
      </c>
      <c r="C993" t="s">
        <v>12012</v>
      </c>
      <c r="D993" t="s">
        <v>23</v>
      </c>
      <c r="E993" t="s">
        <v>12013</v>
      </c>
      <c r="F993" s="5">
        <v>17089000</v>
      </c>
      <c r="G993" s="5">
        <v>17089000</v>
      </c>
      <c r="H993" s="4">
        <v>11557000</v>
      </c>
      <c r="I993" s="2">
        <f t="shared" si="105"/>
        <v>0.67628298905728834</v>
      </c>
      <c r="J993" s="4">
        <v>16100000</v>
      </c>
      <c r="K993" s="2">
        <f t="shared" si="106"/>
        <v>0.94212651413189774</v>
      </c>
      <c r="L993" t="s">
        <v>11862</v>
      </c>
      <c r="M993" t="s">
        <v>174</v>
      </c>
      <c r="N993" t="b">
        <f t="shared" si="107"/>
        <v>0</v>
      </c>
    </row>
    <row r="994" spans="1:14" x14ac:dyDescent="0.15">
      <c r="A994" t="s">
        <v>11853</v>
      </c>
      <c r="B994" t="s">
        <v>11859</v>
      </c>
      <c r="C994" t="s">
        <v>12014</v>
      </c>
      <c r="D994" t="s">
        <v>23</v>
      </c>
      <c r="E994" t="s">
        <v>12015</v>
      </c>
      <c r="F994" s="5">
        <v>15770000</v>
      </c>
      <c r="G994" s="5">
        <v>15770000</v>
      </c>
      <c r="H994" s="4">
        <v>10532000</v>
      </c>
      <c r="I994" s="2">
        <f t="shared" si="105"/>
        <v>0.66785034876347493</v>
      </c>
      <c r="J994" s="4">
        <v>13900000</v>
      </c>
      <c r="K994" s="2">
        <f t="shared" si="106"/>
        <v>0.88142041851616992</v>
      </c>
      <c r="L994" t="s">
        <v>12016</v>
      </c>
      <c r="M994" t="s">
        <v>174</v>
      </c>
      <c r="N994" t="b">
        <f t="shared" si="107"/>
        <v>0</v>
      </c>
    </row>
    <row r="995" spans="1:14" x14ac:dyDescent="0.15">
      <c r="A995" t="s">
        <v>11853</v>
      </c>
      <c r="B995" t="s">
        <v>11859</v>
      </c>
      <c r="C995" t="s">
        <v>12017</v>
      </c>
      <c r="D995" t="s">
        <v>23</v>
      </c>
      <c r="E995" t="s">
        <v>12018</v>
      </c>
      <c r="F995" s="5">
        <v>32990000</v>
      </c>
      <c r="G995" s="5">
        <v>32990000</v>
      </c>
      <c r="H995" s="4">
        <v>22017000</v>
      </c>
      <c r="I995" s="2">
        <f t="shared" si="105"/>
        <v>0.66738405577447713</v>
      </c>
      <c r="J995" s="4">
        <v>31300000</v>
      </c>
      <c r="K995" s="2">
        <f t="shared" si="106"/>
        <v>0.94877235525916948</v>
      </c>
      <c r="L995" t="s">
        <v>11972</v>
      </c>
      <c r="M995" t="s">
        <v>192</v>
      </c>
      <c r="N995" t="b">
        <f t="shared" si="107"/>
        <v>0</v>
      </c>
    </row>
    <row r="996" spans="1:14" x14ac:dyDescent="0.15">
      <c r="A996" t="s">
        <v>11853</v>
      </c>
      <c r="B996" t="s">
        <v>11856</v>
      </c>
      <c r="C996" t="s">
        <v>12019</v>
      </c>
      <c r="D996" t="s">
        <v>23</v>
      </c>
      <c r="E996" t="s">
        <v>12020</v>
      </c>
      <c r="F996" s="5">
        <v>8117000</v>
      </c>
      <c r="G996" s="5">
        <v>8117000</v>
      </c>
      <c r="H996" s="4">
        <v>5467600</v>
      </c>
      <c r="I996" s="2">
        <f t="shared" si="105"/>
        <v>0.67359862017986938</v>
      </c>
      <c r="J996" s="4">
        <v>7700000</v>
      </c>
      <c r="K996" s="2">
        <f t="shared" si="106"/>
        <v>0.94862633978070721</v>
      </c>
      <c r="L996" t="s">
        <v>11940</v>
      </c>
      <c r="M996" t="s">
        <v>165</v>
      </c>
      <c r="N996" t="b">
        <f t="shared" si="107"/>
        <v>0</v>
      </c>
    </row>
    <row r="997" spans="1:14" x14ac:dyDescent="0.15">
      <c r="A997" t="s">
        <v>11853</v>
      </c>
      <c r="B997" t="s">
        <v>11859</v>
      </c>
      <c r="C997" t="s">
        <v>12021</v>
      </c>
      <c r="D997" t="s">
        <v>23</v>
      </c>
      <c r="E997" t="s">
        <v>12022</v>
      </c>
      <c r="F997" s="5">
        <v>17183000</v>
      </c>
      <c r="G997" s="5">
        <v>17183000</v>
      </c>
      <c r="H997" s="4">
        <v>11502000</v>
      </c>
      <c r="I997" s="2">
        <f t="shared" si="105"/>
        <v>0.66938252924402031</v>
      </c>
      <c r="J997" s="4">
        <v>16050000</v>
      </c>
      <c r="K997" s="2">
        <f t="shared" si="106"/>
        <v>0.93406273642553683</v>
      </c>
      <c r="L997" t="s">
        <v>1651</v>
      </c>
      <c r="M997" t="s">
        <v>174</v>
      </c>
      <c r="N997" t="b">
        <f t="shared" si="107"/>
        <v>0</v>
      </c>
    </row>
    <row r="998" spans="1:14" x14ac:dyDescent="0.15">
      <c r="A998" t="s">
        <v>11853</v>
      </c>
      <c r="B998" t="s">
        <v>11859</v>
      </c>
      <c r="C998" t="s">
        <v>12023</v>
      </c>
      <c r="D998" t="s">
        <v>23</v>
      </c>
      <c r="E998" t="s">
        <v>12024</v>
      </c>
      <c r="F998" s="5">
        <v>18120000</v>
      </c>
      <c r="G998" s="5">
        <v>18120000</v>
      </c>
      <c r="H998" s="4">
        <v>12084000</v>
      </c>
      <c r="I998" s="2">
        <f t="shared" si="105"/>
        <v>0.66688741721854305</v>
      </c>
      <c r="J998" s="4">
        <v>15900000</v>
      </c>
      <c r="K998" s="2">
        <f t="shared" si="106"/>
        <v>0.87748344370860931</v>
      </c>
      <c r="L998" t="s">
        <v>567</v>
      </c>
      <c r="M998" t="s">
        <v>174</v>
      </c>
      <c r="N998" t="b">
        <f t="shared" si="107"/>
        <v>0</v>
      </c>
    </row>
    <row r="999" spans="1:14" x14ac:dyDescent="0.15">
      <c r="A999" t="s">
        <v>11853</v>
      </c>
      <c r="B999" t="s">
        <v>11859</v>
      </c>
      <c r="C999" t="s">
        <v>12025</v>
      </c>
      <c r="D999" t="s">
        <v>23</v>
      </c>
      <c r="E999" t="s">
        <v>12026</v>
      </c>
      <c r="F999" s="5">
        <v>19091000</v>
      </c>
      <c r="G999" s="5">
        <v>19091000</v>
      </c>
      <c r="H999" s="4">
        <v>12880000</v>
      </c>
      <c r="I999" s="2">
        <f t="shared" si="105"/>
        <v>0.67466345398355243</v>
      </c>
      <c r="J999" s="4">
        <v>18130000</v>
      </c>
      <c r="K999" s="2">
        <f t="shared" si="106"/>
        <v>0.94966214446597874</v>
      </c>
      <c r="L999" t="s">
        <v>11862</v>
      </c>
      <c r="M999" t="s">
        <v>174</v>
      </c>
      <c r="N999" t="b">
        <f t="shared" si="107"/>
        <v>0</v>
      </c>
    </row>
    <row r="1000" spans="1:14" x14ac:dyDescent="0.15">
      <c r="A1000" t="s">
        <v>11853</v>
      </c>
      <c r="B1000" t="s">
        <v>11859</v>
      </c>
      <c r="C1000" t="s">
        <v>12027</v>
      </c>
      <c r="D1000" t="s">
        <v>23</v>
      </c>
      <c r="E1000" t="s">
        <v>12028</v>
      </c>
      <c r="F1000" s="5">
        <v>22000000</v>
      </c>
      <c r="G1000" s="5">
        <v>22000000</v>
      </c>
      <c r="H1000" s="4">
        <v>14707000</v>
      </c>
      <c r="I1000" s="2">
        <f t="shared" si="105"/>
        <v>0.66849999999999998</v>
      </c>
      <c r="J1000" s="4">
        <v>20400000</v>
      </c>
      <c r="K1000" s="2">
        <f t="shared" si="106"/>
        <v>0.92727272727272725</v>
      </c>
      <c r="L1000" t="s">
        <v>1458</v>
      </c>
      <c r="M1000" t="s">
        <v>174</v>
      </c>
      <c r="N1000" t="b">
        <f t="shared" si="107"/>
        <v>0</v>
      </c>
    </row>
    <row r="1001" spans="1:14" x14ac:dyDescent="0.15">
      <c r="A1001" t="s">
        <v>11853</v>
      </c>
      <c r="B1001" t="s">
        <v>11856</v>
      </c>
      <c r="C1001" t="s">
        <v>12029</v>
      </c>
      <c r="D1001" t="s">
        <v>23</v>
      </c>
      <c r="E1001" t="s">
        <v>12030</v>
      </c>
      <c r="F1001" s="5">
        <v>7679000</v>
      </c>
      <c r="G1001" s="5">
        <v>7679000</v>
      </c>
      <c r="H1001" s="4">
        <v>5155600</v>
      </c>
      <c r="I1001" s="2">
        <f t="shared" si="105"/>
        <v>0.67138950384164608</v>
      </c>
      <c r="J1001" s="4">
        <v>7200000</v>
      </c>
      <c r="K1001" s="2">
        <f t="shared" si="106"/>
        <v>0.93762208620914178</v>
      </c>
      <c r="L1001" t="s">
        <v>11865</v>
      </c>
      <c r="M1001" t="s">
        <v>165</v>
      </c>
      <c r="N1001" t="b">
        <f t="shared" si="107"/>
        <v>0</v>
      </c>
    </row>
    <row r="1002" spans="1:14" x14ac:dyDescent="0.15">
      <c r="A1002" t="s">
        <v>11853</v>
      </c>
      <c r="B1002" t="s">
        <v>11859</v>
      </c>
      <c r="C1002" t="s">
        <v>11857</v>
      </c>
      <c r="D1002" t="s">
        <v>23</v>
      </c>
      <c r="E1002" t="s">
        <v>12031</v>
      </c>
      <c r="F1002" s="5">
        <v>17812000</v>
      </c>
      <c r="G1002" s="5">
        <v>17812000</v>
      </c>
      <c r="H1002" s="4">
        <v>12008000</v>
      </c>
      <c r="I1002" s="2">
        <f t="shared" si="105"/>
        <v>0.67415225690545699</v>
      </c>
      <c r="J1002" s="4">
        <v>16650000</v>
      </c>
      <c r="K1002" s="2">
        <f t="shared" si="106"/>
        <v>0.93476308106894224</v>
      </c>
      <c r="L1002" t="s">
        <v>1651</v>
      </c>
      <c r="M1002" t="s">
        <v>174</v>
      </c>
      <c r="N1002" t="b">
        <f t="shared" si="107"/>
        <v>0</v>
      </c>
    </row>
    <row r="1003" spans="1:14" x14ac:dyDescent="0.15">
      <c r="A1003" t="s">
        <v>11853</v>
      </c>
      <c r="B1003" t="s">
        <v>11856</v>
      </c>
      <c r="C1003" t="s">
        <v>12032</v>
      </c>
      <c r="D1003" t="s">
        <v>23</v>
      </c>
      <c r="E1003" t="s">
        <v>12033</v>
      </c>
      <c r="F1003" s="5">
        <v>5188000</v>
      </c>
      <c r="G1003" s="5">
        <v>5188000</v>
      </c>
      <c r="H1003" s="4">
        <v>3507000</v>
      </c>
      <c r="I1003" s="2">
        <f t="shared" si="105"/>
        <v>0.67598303777949109</v>
      </c>
      <c r="J1003" s="4">
        <v>4860000</v>
      </c>
      <c r="K1003" s="2">
        <f t="shared" si="106"/>
        <v>0.93677717810331529</v>
      </c>
      <c r="L1003" t="s">
        <v>1651</v>
      </c>
      <c r="M1003" t="s">
        <v>165</v>
      </c>
      <c r="N1003" t="b">
        <f t="shared" si="107"/>
        <v>0</v>
      </c>
    </row>
    <row r="1004" spans="1:14" x14ac:dyDescent="0.15">
      <c r="A1004" t="s">
        <v>11853</v>
      </c>
      <c r="B1004" t="s">
        <v>11856</v>
      </c>
      <c r="C1004" t="s">
        <v>12034</v>
      </c>
      <c r="D1004" t="s">
        <v>23</v>
      </c>
      <c r="E1004" t="s">
        <v>12035</v>
      </c>
      <c r="F1004" s="5">
        <v>4135000</v>
      </c>
      <c r="G1004" s="5">
        <v>4135000</v>
      </c>
      <c r="H1004" s="4">
        <v>2781200</v>
      </c>
      <c r="I1004" s="2">
        <f t="shared" si="105"/>
        <v>0.67259975816203144</v>
      </c>
      <c r="J1004" s="4">
        <v>2784000</v>
      </c>
      <c r="K1004" s="2">
        <f t="shared" si="106"/>
        <v>0.67327690447400246</v>
      </c>
      <c r="L1004" t="s">
        <v>12036</v>
      </c>
      <c r="M1004" t="s">
        <v>1015</v>
      </c>
      <c r="N1004" t="b">
        <f t="shared" si="107"/>
        <v>0</v>
      </c>
    </row>
    <row r="1005" spans="1:14" x14ac:dyDescent="0.15">
      <c r="A1005" t="s">
        <v>11853</v>
      </c>
      <c r="B1005" t="s">
        <v>11856</v>
      </c>
      <c r="C1005" t="s">
        <v>12037</v>
      </c>
      <c r="D1005" t="s">
        <v>23</v>
      </c>
      <c r="E1005" t="s">
        <v>12038</v>
      </c>
      <c r="F1005" s="5">
        <v>3431000</v>
      </c>
      <c r="G1005" s="5">
        <v>3431000</v>
      </c>
      <c r="H1005" s="4">
        <v>2307000</v>
      </c>
      <c r="I1005" s="2">
        <f t="shared" si="105"/>
        <v>0.67239871757505099</v>
      </c>
      <c r="J1005" s="4">
        <v>2800000</v>
      </c>
      <c r="K1005" s="2">
        <f t="shared" si="106"/>
        <v>0.81608860390556692</v>
      </c>
      <c r="L1005" t="s">
        <v>567</v>
      </c>
      <c r="M1005" t="s">
        <v>432</v>
      </c>
      <c r="N1005" t="b">
        <f t="shared" si="107"/>
        <v>0</v>
      </c>
    </row>
    <row r="1006" spans="1:14" x14ac:dyDescent="0.15">
      <c r="A1006" t="s">
        <v>11853</v>
      </c>
      <c r="B1006" t="s">
        <v>11859</v>
      </c>
      <c r="C1006" t="s">
        <v>11896</v>
      </c>
      <c r="D1006" t="s">
        <v>23</v>
      </c>
      <c r="E1006" t="s">
        <v>12039</v>
      </c>
      <c r="F1006" s="5">
        <v>8750000</v>
      </c>
      <c r="G1006" s="5">
        <v>8750000</v>
      </c>
      <c r="H1006" s="4">
        <v>5901000</v>
      </c>
      <c r="I1006" s="2">
        <f t="shared" si="105"/>
        <v>0.6744</v>
      </c>
      <c r="J1006" s="4">
        <v>8300000</v>
      </c>
      <c r="K1006" s="2">
        <f t="shared" si="106"/>
        <v>0.94857142857142862</v>
      </c>
      <c r="L1006" t="s">
        <v>3251</v>
      </c>
      <c r="M1006" t="s">
        <v>165</v>
      </c>
      <c r="N1006" t="b">
        <f t="shared" si="107"/>
        <v>0</v>
      </c>
    </row>
    <row r="1007" spans="1:14" x14ac:dyDescent="0.15">
      <c r="A1007" t="s">
        <v>11853</v>
      </c>
      <c r="B1007" t="s">
        <v>11859</v>
      </c>
      <c r="C1007" t="s">
        <v>11904</v>
      </c>
      <c r="D1007" t="s">
        <v>23</v>
      </c>
      <c r="E1007" t="s">
        <v>12040</v>
      </c>
      <c r="F1007" s="5">
        <v>8750000</v>
      </c>
      <c r="G1007" s="5">
        <v>8750000</v>
      </c>
      <c r="H1007" s="4">
        <v>5880000</v>
      </c>
      <c r="I1007" s="2">
        <f t="shared" si="105"/>
        <v>0.67200000000000004</v>
      </c>
      <c r="J1007" s="4">
        <v>8137000</v>
      </c>
      <c r="K1007" s="2">
        <f t="shared" si="106"/>
        <v>0.92994285714285718</v>
      </c>
      <c r="L1007" t="s">
        <v>11901</v>
      </c>
      <c r="M1007" t="s">
        <v>165</v>
      </c>
      <c r="N1007" t="b">
        <f t="shared" si="107"/>
        <v>0</v>
      </c>
    </row>
    <row r="1008" spans="1:14" x14ac:dyDescent="0.15">
      <c r="A1008" t="s">
        <v>11853</v>
      </c>
      <c r="B1008" t="s">
        <v>11859</v>
      </c>
      <c r="C1008" t="s">
        <v>11907</v>
      </c>
      <c r="D1008" t="s">
        <v>23</v>
      </c>
      <c r="E1008" t="s">
        <v>12041</v>
      </c>
      <c r="F1008" s="5">
        <v>8750000</v>
      </c>
      <c r="G1008" s="5">
        <v>8750000</v>
      </c>
      <c r="H1008" s="4">
        <v>5902700</v>
      </c>
      <c r="I1008" s="2">
        <f t="shared" si="105"/>
        <v>0.6745942857142857</v>
      </c>
      <c r="J1008" s="4">
        <v>8300000</v>
      </c>
      <c r="K1008" s="2">
        <f t="shared" si="106"/>
        <v>0.94857142857142862</v>
      </c>
      <c r="L1008" t="s">
        <v>11888</v>
      </c>
      <c r="M1008" t="s">
        <v>165</v>
      </c>
      <c r="N1008" t="b">
        <f t="shared" si="107"/>
        <v>0</v>
      </c>
    </row>
    <row r="1009" spans="1:14" x14ac:dyDescent="0.15">
      <c r="A1009" t="s">
        <v>11853</v>
      </c>
      <c r="B1009" t="s">
        <v>11859</v>
      </c>
      <c r="C1009" t="s">
        <v>11894</v>
      </c>
      <c r="D1009" t="s">
        <v>23</v>
      </c>
      <c r="E1009" t="s">
        <v>12042</v>
      </c>
      <c r="F1009" s="5">
        <v>8760000</v>
      </c>
      <c r="G1009" s="5">
        <v>8760000</v>
      </c>
      <c r="H1009" s="4">
        <v>5845500</v>
      </c>
      <c r="I1009" s="2">
        <f t="shared" si="105"/>
        <v>0.66729452054794525</v>
      </c>
      <c r="J1009" s="4">
        <v>8146000</v>
      </c>
      <c r="K1009" s="2">
        <f t="shared" si="106"/>
        <v>0.92990867579908676</v>
      </c>
      <c r="L1009" t="s">
        <v>11906</v>
      </c>
      <c r="M1009" t="s">
        <v>165</v>
      </c>
      <c r="N1009" t="b">
        <f t="shared" si="107"/>
        <v>0</v>
      </c>
    </row>
    <row r="1010" spans="1:14" x14ac:dyDescent="0.15">
      <c r="A1010" t="s">
        <v>11853</v>
      </c>
      <c r="B1010" t="s">
        <v>11859</v>
      </c>
      <c r="C1010" t="s">
        <v>11889</v>
      </c>
      <c r="D1010" t="s">
        <v>23</v>
      </c>
      <c r="E1010" t="s">
        <v>12043</v>
      </c>
      <c r="F1010" s="5">
        <v>8830000</v>
      </c>
      <c r="G1010" s="5">
        <v>8830000</v>
      </c>
      <c r="H1010" s="4">
        <v>5964600</v>
      </c>
      <c r="I1010" s="2">
        <f t="shared" si="105"/>
        <v>0.67549263873159682</v>
      </c>
      <c r="J1010" s="4">
        <v>8250000</v>
      </c>
      <c r="K1010" s="2">
        <f t="shared" si="106"/>
        <v>0.93431483578708951</v>
      </c>
      <c r="L1010" t="s">
        <v>11882</v>
      </c>
      <c r="M1010" t="s">
        <v>165</v>
      </c>
      <c r="N1010" t="b">
        <f t="shared" si="107"/>
        <v>0</v>
      </c>
    </row>
    <row r="1011" spans="1:14" x14ac:dyDescent="0.15">
      <c r="A1011" t="s">
        <v>11853</v>
      </c>
      <c r="B1011" t="s">
        <v>11859</v>
      </c>
      <c r="C1011" t="s">
        <v>11891</v>
      </c>
      <c r="D1011" t="s">
        <v>23</v>
      </c>
      <c r="E1011" t="s">
        <v>12044</v>
      </c>
      <c r="F1011" s="5">
        <v>9560000</v>
      </c>
      <c r="G1011" s="5">
        <v>9560000</v>
      </c>
      <c r="H1011" s="4">
        <v>6389900</v>
      </c>
      <c r="I1011" s="2">
        <f t="shared" si="105"/>
        <v>0.66839958158995816</v>
      </c>
      <c r="J1011" s="4">
        <v>8890000</v>
      </c>
      <c r="K1011" s="2">
        <f t="shared" si="106"/>
        <v>0.92991631799163177</v>
      </c>
      <c r="L1011" t="s">
        <v>11893</v>
      </c>
      <c r="M1011" t="s">
        <v>174</v>
      </c>
      <c r="N1011" t="b">
        <f t="shared" si="107"/>
        <v>0</v>
      </c>
    </row>
    <row r="1012" spans="1:14" x14ac:dyDescent="0.15">
      <c r="A1012" t="s">
        <v>11853</v>
      </c>
      <c r="B1012" t="s">
        <v>11859</v>
      </c>
      <c r="C1012" t="s">
        <v>11902</v>
      </c>
      <c r="D1012" t="s">
        <v>23</v>
      </c>
      <c r="E1012" t="s">
        <v>12045</v>
      </c>
      <c r="F1012" s="5">
        <v>9560000</v>
      </c>
      <c r="G1012" s="5">
        <v>9560000</v>
      </c>
      <c r="H1012" s="4">
        <v>6390800</v>
      </c>
      <c r="I1012" s="2">
        <f t="shared" si="105"/>
        <v>0.66849372384937233</v>
      </c>
      <c r="J1012" s="4">
        <v>8938000</v>
      </c>
      <c r="K1012" s="2">
        <f t="shared" si="106"/>
        <v>0.9349372384937239</v>
      </c>
      <c r="L1012" t="s">
        <v>11898</v>
      </c>
      <c r="M1012" t="s">
        <v>174</v>
      </c>
      <c r="N1012" t="b">
        <f t="shared" si="107"/>
        <v>0</v>
      </c>
    </row>
    <row r="1013" spans="1:14" x14ac:dyDescent="0.15">
      <c r="A1013" t="s">
        <v>11853</v>
      </c>
      <c r="B1013" t="s">
        <v>11859</v>
      </c>
      <c r="C1013" t="s">
        <v>11899</v>
      </c>
      <c r="D1013" t="s">
        <v>23</v>
      </c>
      <c r="E1013" t="s">
        <v>12046</v>
      </c>
      <c r="F1013" s="5">
        <v>9560000</v>
      </c>
      <c r="G1013" s="5">
        <v>9560000</v>
      </c>
      <c r="H1013" s="4">
        <v>6404200</v>
      </c>
      <c r="I1013" s="2">
        <f t="shared" si="105"/>
        <v>0.66989539748953975</v>
      </c>
      <c r="J1013" s="4">
        <v>8980000</v>
      </c>
      <c r="K1013" s="2">
        <f t="shared" si="106"/>
        <v>0.93933054393305437</v>
      </c>
      <c r="L1013" t="s">
        <v>11885</v>
      </c>
      <c r="M1013" t="s">
        <v>174</v>
      </c>
      <c r="N1013" t="b">
        <f t="shared" si="107"/>
        <v>0</v>
      </c>
    </row>
    <row r="1014" spans="1:14" x14ac:dyDescent="0.15">
      <c r="A1014" t="s">
        <v>11853</v>
      </c>
      <c r="B1014" t="s">
        <v>11859</v>
      </c>
      <c r="C1014" t="s">
        <v>12047</v>
      </c>
      <c r="D1014" t="s">
        <v>23</v>
      </c>
      <c r="E1014" t="s">
        <v>12048</v>
      </c>
      <c r="F1014" s="5">
        <v>10060000</v>
      </c>
      <c r="G1014" s="5">
        <v>10060000</v>
      </c>
      <c r="H1014" s="4">
        <v>6763000</v>
      </c>
      <c r="I1014" s="2">
        <f t="shared" si="105"/>
        <v>0.67226640159045725</v>
      </c>
      <c r="J1014" s="4">
        <v>9450000</v>
      </c>
      <c r="K1014" s="2">
        <f t="shared" si="106"/>
        <v>0.93936381709741545</v>
      </c>
      <c r="L1014" t="s">
        <v>1458</v>
      </c>
      <c r="M1014" t="s">
        <v>174</v>
      </c>
      <c r="N1014" t="b">
        <f t="shared" si="107"/>
        <v>0</v>
      </c>
    </row>
    <row r="1015" spans="1:14" x14ac:dyDescent="0.15">
      <c r="A1015" t="s">
        <v>11853</v>
      </c>
      <c r="B1015" t="s">
        <v>11856</v>
      </c>
      <c r="C1015" t="s">
        <v>12049</v>
      </c>
      <c r="D1015" t="s">
        <v>23</v>
      </c>
      <c r="E1015" t="s">
        <v>12050</v>
      </c>
      <c r="F1015" s="5">
        <v>14361000</v>
      </c>
      <c r="G1015" s="5">
        <v>14361000</v>
      </c>
      <c r="H1015" s="4">
        <v>9662000</v>
      </c>
      <c r="I1015" s="2">
        <f t="shared" si="105"/>
        <v>0.67279437365085992</v>
      </c>
      <c r="J1015" s="4">
        <v>13550000</v>
      </c>
      <c r="K1015" s="2">
        <f t="shared" si="106"/>
        <v>0.94352760949794579</v>
      </c>
      <c r="L1015" t="s">
        <v>1651</v>
      </c>
      <c r="M1015" t="s">
        <v>174</v>
      </c>
      <c r="N1015" t="b">
        <f t="shared" si="107"/>
        <v>0</v>
      </c>
    </row>
    <row r="1016" spans="1:14" x14ac:dyDescent="0.15">
      <c r="A1016" t="s">
        <v>11853</v>
      </c>
      <c r="B1016" t="s">
        <v>11856</v>
      </c>
      <c r="C1016" t="s">
        <v>12051</v>
      </c>
      <c r="D1016" t="s">
        <v>23</v>
      </c>
      <c r="E1016" t="s">
        <v>12052</v>
      </c>
      <c r="F1016" s="5">
        <v>16140000</v>
      </c>
      <c r="G1016" s="5">
        <v>16140000</v>
      </c>
      <c r="H1016" s="4">
        <v>10897000</v>
      </c>
      <c r="I1016" s="2">
        <f t="shared" si="105"/>
        <v>0.67515489467162326</v>
      </c>
      <c r="J1016" s="4">
        <v>15300000</v>
      </c>
      <c r="K1016" s="2">
        <f t="shared" si="106"/>
        <v>0.94795539033457255</v>
      </c>
      <c r="L1016" t="s">
        <v>11862</v>
      </c>
      <c r="M1016" t="s">
        <v>174</v>
      </c>
      <c r="N1016" t="b">
        <f t="shared" si="107"/>
        <v>0</v>
      </c>
    </row>
    <row r="1017" spans="1:14" x14ac:dyDescent="0.15">
      <c r="A1017" t="s">
        <v>11853</v>
      </c>
      <c r="B1017" t="s">
        <v>11856</v>
      </c>
      <c r="C1017" t="s">
        <v>12053</v>
      </c>
      <c r="D1017" t="s">
        <v>23</v>
      </c>
      <c r="E1017" t="s">
        <v>12054</v>
      </c>
      <c r="F1017" s="5">
        <v>6127000</v>
      </c>
      <c r="G1017" s="5">
        <v>6127000</v>
      </c>
      <c r="H1017" s="4">
        <v>4129500</v>
      </c>
      <c r="I1017" s="2">
        <f t="shared" si="105"/>
        <v>0.67398400522278434</v>
      </c>
      <c r="J1017" s="4">
        <v>5760000</v>
      </c>
      <c r="K1017" s="2">
        <f t="shared" si="106"/>
        <v>0.94010119144769055</v>
      </c>
      <c r="L1017" t="s">
        <v>11885</v>
      </c>
      <c r="M1017" t="s">
        <v>165</v>
      </c>
      <c r="N1017" t="b">
        <f t="shared" si="107"/>
        <v>0</v>
      </c>
    </row>
    <row r="1018" spans="1:14" x14ac:dyDescent="0.15">
      <c r="A1018" t="s">
        <v>11853</v>
      </c>
      <c r="B1018" t="s">
        <v>11856</v>
      </c>
      <c r="C1018" t="s">
        <v>12055</v>
      </c>
      <c r="D1018" t="s">
        <v>23</v>
      </c>
      <c r="E1018" t="s">
        <v>12056</v>
      </c>
      <c r="F1018" s="5">
        <v>4107000</v>
      </c>
      <c r="G1018" s="5">
        <v>4107000</v>
      </c>
      <c r="H1018" s="4">
        <v>2738500</v>
      </c>
      <c r="I1018" s="2">
        <f t="shared" si="105"/>
        <v>0.66678841003165323</v>
      </c>
      <c r="J1018" s="4">
        <v>3850000</v>
      </c>
      <c r="K1018" s="2">
        <f t="shared" si="106"/>
        <v>0.93742391039688333</v>
      </c>
      <c r="L1018" t="s">
        <v>1651</v>
      </c>
      <c r="M1018" t="s">
        <v>432</v>
      </c>
      <c r="N1018" t="b">
        <f t="shared" si="107"/>
        <v>0</v>
      </c>
    </row>
    <row r="1019" spans="1:14" x14ac:dyDescent="0.15">
      <c r="A1019" t="s">
        <v>11853</v>
      </c>
      <c r="B1019" t="s">
        <v>11856</v>
      </c>
      <c r="C1019" t="s">
        <v>12057</v>
      </c>
      <c r="D1019" t="s">
        <v>23</v>
      </c>
      <c r="E1019" t="s">
        <v>12058</v>
      </c>
      <c r="F1019" s="5">
        <v>6635000</v>
      </c>
      <c r="G1019" s="5">
        <v>6635000</v>
      </c>
      <c r="H1019" s="4">
        <v>4450700</v>
      </c>
      <c r="I1019" s="2">
        <f t="shared" si="105"/>
        <v>0.67079125847776944</v>
      </c>
      <c r="J1019" s="4">
        <v>6280000</v>
      </c>
      <c r="K1019" s="2">
        <f t="shared" si="106"/>
        <v>0.9464958553127355</v>
      </c>
      <c r="L1019" t="s">
        <v>11862</v>
      </c>
      <c r="M1019" t="s">
        <v>165</v>
      </c>
      <c r="N1019" t="b">
        <f t="shared" si="107"/>
        <v>0</v>
      </c>
    </row>
    <row r="1020" spans="1:14" x14ac:dyDescent="0.15">
      <c r="A1020" t="s">
        <v>11853</v>
      </c>
      <c r="B1020" t="s">
        <v>11856</v>
      </c>
      <c r="C1020" t="s">
        <v>12059</v>
      </c>
      <c r="D1020" t="s">
        <v>23</v>
      </c>
      <c r="E1020" t="s">
        <v>12060</v>
      </c>
      <c r="F1020" s="5">
        <v>3785000</v>
      </c>
      <c r="G1020" s="5">
        <v>3785000</v>
      </c>
      <c r="H1020" s="4">
        <v>2559000</v>
      </c>
      <c r="I1020" s="2">
        <f t="shared" si="105"/>
        <v>0.67608982826948483</v>
      </c>
      <c r="J1020" s="4">
        <v>3550000</v>
      </c>
      <c r="K1020" s="2">
        <f t="shared" si="106"/>
        <v>0.93791281373844126</v>
      </c>
      <c r="L1020" t="s">
        <v>1651</v>
      </c>
      <c r="M1020" t="s">
        <v>432</v>
      </c>
      <c r="N1020" t="b">
        <f t="shared" si="107"/>
        <v>0</v>
      </c>
    </row>
    <row r="1021" spans="1:14" x14ac:dyDescent="0.15">
      <c r="A1021" t="s">
        <v>11853</v>
      </c>
      <c r="B1021" t="s">
        <v>11856</v>
      </c>
      <c r="C1021" t="s">
        <v>12061</v>
      </c>
      <c r="D1021" t="s">
        <v>23</v>
      </c>
      <c r="E1021" t="s">
        <v>12062</v>
      </c>
      <c r="F1021" s="5">
        <v>1676000</v>
      </c>
      <c r="G1021" s="5">
        <v>1676000</v>
      </c>
      <c r="H1021" s="4">
        <v>1124200</v>
      </c>
      <c r="I1021" s="2">
        <f t="shared" si="105"/>
        <v>0.67076372315035804</v>
      </c>
      <c r="J1021" s="4">
        <v>1570000</v>
      </c>
      <c r="K1021" s="2">
        <f t="shared" si="106"/>
        <v>0.93675417661097848</v>
      </c>
      <c r="L1021" t="s">
        <v>11862</v>
      </c>
      <c r="M1021" t="s">
        <v>1015</v>
      </c>
      <c r="N1021" t="b">
        <f t="shared" si="107"/>
        <v>0</v>
      </c>
    </row>
    <row r="1022" spans="1:14" x14ac:dyDescent="0.15">
      <c r="A1022" t="s">
        <v>11853</v>
      </c>
      <c r="B1022" t="s">
        <v>11859</v>
      </c>
      <c r="C1022" t="s">
        <v>12063</v>
      </c>
      <c r="D1022" t="s">
        <v>23</v>
      </c>
      <c r="E1022" t="s">
        <v>12064</v>
      </c>
      <c r="F1022" s="5">
        <v>8089000</v>
      </c>
      <c r="G1022" s="5">
        <v>8089000</v>
      </c>
      <c r="H1022" s="4">
        <v>5452700</v>
      </c>
      <c r="I1022" s="2">
        <f t="shared" si="105"/>
        <v>0.67408826801829647</v>
      </c>
      <c r="J1022" s="4">
        <v>7510000</v>
      </c>
      <c r="K1022" s="2">
        <f t="shared" si="106"/>
        <v>0.92842131289405361</v>
      </c>
      <c r="L1022" t="s">
        <v>11882</v>
      </c>
      <c r="M1022" t="s">
        <v>165</v>
      </c>
      <c r="N1022" t="b">
        <f t="shared" si="107"/>
        <v>0</v>
      </c>
    </row>
    <row r="1023" spans="1:14" x14ac:dyDescent="0.15">
      <c r="A1023" t="s">
        <v>11853</v>
      </c>
      <c r="B1023" t="s">
        <v>11859</v>
      </c>
      <c r="C1023" t="s">
        <v>12065</v>
      </c>
      <c r="D1023" t="s">
        <v>23</v>
      </c>
      <c r="E1023" t="s">
        <v>12066</v>
      </c>
      <c r="F1023" s="5">
        <v>11580000</v>
      </c>
      <c r="G1023" s="5">
        <v>11580000</v>
      </c>
      <c r="H1023" s="4">
        <v>7767000</v>
      </c>
      <c r="I1023" s="2">
        <f t="shared" si="105"/>
        <v>0.67072538860103625</v>
      </c>
      <c r="J1023" s="4">
        <v>10740000</v>
      </c>
      <c r="K1023" s="2">
        <f t="shared" si="106"/>
        <v>0.92746113989637302</v>
      </c>
      <c r="L1023" t="s">
        <v>11888</v>
      </c>
      <c r="M1023" t="s">
        <v>174</v>
      </c>
      <c r="N1023" t="b">
        <f t="shared" si="107"/>
        <v>0</v>
      </c>
    </row>
    <row r="1024" spans="1:14" x14ac:dyDescent="0.15">
      <c r="A1024" t="s">
        <v>11853</v>
      </c>
      <c r="B1024" t="s">
        <v>11859</v>
      </c>
      <c r="C1024" t="s">
        <v>11997</v>
      </c>
      <c r="D1024" t="s">
        <v>23</v>
      </c>
      <c r="E1024" t="s">
        <v>12067</v>
      </c>
      <c r="F1024" s="5">
        <v>15235000</v>
      </c>
      <c r="G1024" s="5">
        <v>15235000</v>
      </c>
      <c r="H1024" s="4">
        <v>10268000</v>
      </c>
      <c r="I1024" s="2">
        <f t="shared" si="105"/>
        <v>0.67397440105021333</v>
      </c>
      <c r="J1024" s="4">
        <v>14150000</v>
      </c>
      <c r="K1024" s="2">
        <f t="shared" si="106"/>
        <v>0.9287824089268133</v>
      </c>
      <c r="L1024" t="s">
        <v>1651</v>
      </c>
      <c r="M1024" t="s">
        <v>174</v>
      </c>
      <c r="N1024" t="b">
        <f t="shared" si="107"/>
        <v>0</v>
      </c>
    </row>
    <row r="1025" spans="1:14" x14ac:dyDescent="0.15">
      <c r="A1025" t="s">
        <v>11853</v>
      </c>
      <c r="B1025" t="s">
        <v>11856</v>
      </c>
      <c r="C1025" t="s">
        <v>12068</v>
      </c>
      <c r="D1025" t="s">
        <v>23</v>
      </c>
      <c r="E1025" t="s">
        <v>12069</v>
      </c>
      <c r="F1025" s="5">
        <v>7761000</v>
      </c>
      <c r="G1025" s="5">
        <v>7761000</v>
      </c>
      <c r="H1025" s="4">
        <v>5230900</v>
      </c>
      <c r="I1025" s="2">
        <f t="shared" si="105"/>
        <v>0.67399819610874889</v>
      </c>
      <c r="J1025" s="4">
        <v>7200000</v>
      </c>
      <c r="K1025" s="2">
        <f t="shared" si="106"/>
        <v>0.92771550057982222</v>
      </c>
      <c r="L1025" t="s">
        <v>1651</v>
      </c>
      <c r="M1025" t="s">
        <v>165</v>
      </c>
      <c r="N1025" t="b">
        <f t="shared" si="107"/>
        <v>0</v>
      </c>
    </row>
    <row r="1026" spans="1:14" x14ac:dyDescent="0.15">
      <c r="A1026" t="s">
        <v>11853</v>
      </c>
      <c r="B1026" t="s">
        <v>11859</v>
      </c>
      <c r="C1026" t="s">
        <v>11973</v>
      </c>
      <c r="D1026" t="s">
        <v>23</v>
      </c>
      <c r="E1026" t="s">
        <v>12070</v>
      </c>
      <c r="F1026" s="5">
        <v>4760000</v>
      </c>
      <c r="G1026" s="5">
        <v>4760000</v>
      </c>
      <c r="H1026" s="4">
        <v>3198200</v>
      </c>
      <c r="I1026" s="2">
        <f t="shared" si="105"/>
        <v>0.67189075630252104</v>
      </c>
      <c r="J1026" s="4">
        <v>4420000</v>
      </c>
      <c r="K1026" s="2">
        <f t="shared" si="106"/>
        <v>0.9285714285714286</v>
      </c>
      <c r="L1026" t="s">
        <v>3251</v>
      </c>
      <c r="M1026" t="s">
        <v>165</v>
      </c>
      <c r="N1026" t="b">
        <f t="shared" si="107"/>
        <v>0</v>
      </c>
    </row>
    <row r="1027" spans="1:14" x14ac:dyDescent="0.15">
      <c r="A1027" t="s">
        <v>11853</v>
      </c>
      <c r="B1027" t="s">
        <v>11859</v>
      </c>
      <c r="C1027" t="s">
        <v>11880</v>
      </c>
      <c r="D1027" t="s">
        <v>23</v>
      </c>
      <c r="E1027" t="s">
        <v>12071</v>
      </c>
      <c r="F1027" s="5">
        <v>9500000</v>
      </c>
      <c r="G1027" s="5">
        <v>9500000</v>
      </c>
      <c r="H1027" s="4">
        <v>6365000</v>
      </c>
      <c r="I1027" s="2">
        <f t="shared" si="105"/>
        <v>0.67</v>
      </c>
      <c r="J1027" s="4">
        <v>8800000</v>
      </c>
      <c r="K1027" s="2">
        <f t="shared" si="106"/>
        <v>0.9263157894736842</v>
      </c>
      <c r="L1027" t="s">
        <v>11906</v>
      </c>
      <c r="M1027" t="s">
        <v>174</v>
      </c>
      <c r="N1027" t="b">
        <f t="shared" si="107"/>
        <v>0</v>
      </c>
    </row>
    <row r="1028" spans="1:14" x14ac:dyDescent="0.15">
      <c r="A1028" t="s">
        <v>11853</v>
      </c>
      <c r="B1028" t="s">
        <v>11859</v>
      </c>
      <c r="C1028" t="s">
        <v>11883</v>
      </c>
      <c r="D1028" t="s">
        <v>23</v>
      </c>
      <c r="E1028" t="s">
        <v>12072</v>
      </c>
      <c r="F1028" s="5">
        <v>9589000</v>
      </c>
      <c r="G1028" s="5">
        <v>9589000</v>
      </c>
      <c r="H1028" s="4">
        <v>6431300</v>
      </c>
      <c r="I1028" s="2">
        <f t="shared" ref="I1028:I1091" si="108">H1028/G1028</f>
        <v>0.67069558869538015</v>
      </c>
      <c r="J1028" s="4">
        <v>8900000</v>
      </c>
      <c r="K1028" s="2">
        <f t="shared" ref="K1028:K1091" si="109">J1028/G1028</f>
        <v>0.92814683491500682</v>
      </c>
      <c r="L1028" t="s">
        <v>11865</v>
      </c>
      <c r="M1028" t="s">
        <v>174</v>
      </c>
      <c r="N1028" t="b">
        <f t="shared" ref="N1028:N1091" si="110">F1028&lt;&gt;G1028</f>
        <v>0</v>
      </c>
    </row>
    <row r="1029" spans="1:14" x14ac:dyDescent="0.15">
      <c r="A1029" t="s">
        <v>11853</v>
      </c>
      <c r="B1029" t="s">
        <v>11859</v>
      </c>
      <c r="C1029" t="s">
        <v>11957</v>
      </c>
      <c r="D1029" t="s">
        <v>23</v>
      </c>
      <c r="E1029" t="s">
        <v>12073</v>
      </c>
      <c r="F1029" s="5">
        <v>4230000</v>
      </c>
      <c r="G1029" s="5">
        <v>4230000</v>
      </c>
      <c r="H1029" s="4">
        <v>2820500</v>
      </c>
      <c r="I1029" s="2">
        <f t="shared" si="108"/>
        <v>0.66678486997635933</v>
      </c>
      <c r="J1029" s="4">
        <v>3920000</v>
      </c>
      <c r="K1029" s="2">
        <f t="shared" si="109"/>
        <v>0.92671394799054374</v>
      </c>
      <c r="L1029" t="s">
        <v>11901</v>
      </c>
      <c r="M1029" t="s">
        <v>432</v>
      </c>
      <c r="N1029" t="b">
        <f t="shared" si="110"/>
        <v>0</v>
      </c>
    </row>
    <row r="1030" spans="1:14" x14ac:dyDescent="0.15">
      <c r="A1030" t="s">
        <v>11853</v>
      </c>
      <c r="B1030" t="s">
        <v>11859</v>
      </c>
      <c r="C1030" t="s">
        <v>11959</v>
      </c>
      <c r="D1030" t="s">
        <v>23</v>
      </c>
      <c r="E1030" t="s">
        <v>12074</v>
      </c>
      <c r="F1030" s="5">
        <v>4240000</v>
      </c>
      <c r="G1030" s="5">
        <v>4240000</v>
      </c>
      <c r="H1030" s="4">
        <v>2852600</v>
      </c>
      <c r="I1030" s="2">
        <f t="shared" si="108"/>
        <v>0.67278301886792458</v>
      </c>
      <c r="J1030" s="4">
        <v>3940000</v>
      </c>
      <c r="K1030" s="2">
        <f t="shared" si="109"/>
        <v>0.92924528301886788</v>
      </c>
      <c r="L1030" t="s">
        <v>11893</v>
      </c>
      <c r="M1030" t="s">
        <v>432</v>
      </c>
      <c r="N1030" t="b">
        <f t="shared" si="110"/>
        <v>0</v>
      </c>
    </row>
    <row r="1031" spans="1:14" x14ac:dyDescent="0.15">
      <c r="A1031" t="s">
        <v>11853</v>
      </c>
      <c r="B1031" t="s">
        <v>11859</v>
      </c>
      <c r="C1031" t="s">
        <v>11955</v>
      </c>
      <c r="D1031" t="s">
        <v>23</v>
      </c>
      <c r="E1031" t="s">
        <v>12075</v>
      </c>
      <c r="F1031" s="5">
        <v>4360000</v>
      </c>
      <c r="G1031" s="5">
        <v>4360000</v>
      </c>
      <c r="H1031" s="4">
        <v>2909800</v>
      </c>
      <c r="I1031" s="2">
        <f t="shared" si="108"/>
        <v>0.66738532110091742</v>
      </c>
      <c r="J1031" s="4">
        <v>4050000</v>
      </c>
      <c r="K1031" s="2">
        <f t="shared" si="109"/>
        <v>0.92889908256880738</v>
      </c>
      <c r="L1031" t="s">
        <v>11862</v>
      </c>
      <c r="M1031" t="s">
        <v>432</v>
      </c>
      <c r="N1031" t="b">
        <f t="shared" si="110"/>
        <v>0</v>
      </c>
    </row>
    <row r="1032" spans="1:14" x14ac:dyDescent="0.15">
      <c r="A1032" t="s">
        <v>11853</v>
      </c>
      <c r="B1032" t="s">
        <v>11859</v>
      </c>
      <c r="C1032" t="s">
        <v>12076</v>
      </c>
      <c r="D1032" t="s">
        <v>23</v>
      </c>
      <c r="E1032" t="s">
        <v>12077</v>
      </c>
      <c r="F1032" s="5">
        <v>8437000</v>
      </c>
      <c r="G1032" s="5">
        <v>8437000</v>
      </c>
      <c r="H1032" s="4">
        <v>5630800</v>
      </c>
      <c r="I1032" s="2">
        <f t="shared" si="108"/>
        <v>0.66739362332582675</v>
      </c>
      <c r="J1032" s="4">
        <v>7980000</v>
      </c>
      <c r="K1032" s="2">
        <f t="shared" si="109"/>
        <v>0.94583382718975939</v>
      </c>
      <c r="L1032" t="s">
        <v>11862</v>
      </c>
      <c r="M1032" t="s">
        <v>165</v>
      </c>
      <c r="N1032" t="b">
        <f t="shared" si="110"/>
        <v>0</v>
      </c>
    </row>
    <row r="1033" spans="1:14" x14ac:dyDescent="0.15">
      <c r="A1033" t="s">
        <v>11853</v>
      </c>
      <c r="B1033" t="s">
        <v>11856</v>
      </c>
      <c r="C1033" t="s">
        <v>12078</v>
      </c>
      <c r="D1033" t="s">
        <v>23</v>
      </c>
      <c r="E1033" t="s">
        <v>12079</v>
      </c>
      <c r="F1033" s="5">
        <v>10579000</v>
      </c>
      <c r="G1033" s="5">
        <v>10579000</v>
      </c>
      <c r="H1033" s="4">
        <v>7151000</v>
      </c>
      <c r="I1033" s="2">
        <f t="shared" si="108"/>
        <v>0.67596181113526799</v>
      </c>
      <c r="J1033" s="4">
        <v>10050000</v>
      </c>
      <c r="K1033" s="2">
        <f t="shared" si="109"/>
        <v>0.94999527365535497</v>
      </c>
      <c r="L1033" t="s">
        <v>11963</v>
      </c>
      <c r="M1033" t="s">
        <v>174</v>
      </c>
      <c r="N1033" t="b">
        <f t="shared" si="110"/>
        <v>0</v>
      </c>
    </row>
    <row r="1034" spans="1:14" x14ac:dyDescent="0.15">
      <c r="A1034" t="s">
        <v>11853</v>
      </c>
      <c r="B1034" t="s">
        <v>11859</v>
      </c>
      <c r="C1034" t="s">
        <v>11968</v>
      </c>
      <c r="D1034" t="s">
        <v>23</v>
      </c>
      <c r="E1034" t="s">
        <v>12080</v>
      </c>
      <c r="F1034" s="5">
        <v>3390000</v>
      </c>
      <c r="G1034" s="5">
        <v>3390000</v>
      </c>
      <c r="H1034" s="4">
        <v>2291300</v>
      </c>
      <c r="I1034" s="2">
        <f t="shared" si="108"/>
        <v>0.67589970501474927</v>
      </c>
      <c r="J1034" s="4">
        <v>3120000</v>
      </c>
      <c r="K1034" s="2">
        <f t="shared" si="109"/>
        <v>0.92035398230088494</v>
      </c>
      <c r="L1034" t="s">
        <v>11865</v>
      </c>
      <c r="M1034" t="s">
        <v>432</v>
      </c>
      <c r="N1034" t="b">
        <f t="shared" si="110"/>
        <v>0</v>
      </c>
    </row>
    <row r="1035" spans="1:14" x14ac:dyDescent="0.15">
      <c r="A1035" t="s">
        <v>11853</v>
      </c>
      <c r="B1035" t="s">
        <v>11859</v>
      </c>
      <c r="C1035" t="s">
        <v>11966</v>
      </c>
      <c r="D1035" t="s">
        <v>23</v>
      </c>
      <c r="E1035" t="s">
        <v>12081</v>
      </c>
      <c r="F1035" s="5">
        <v>3590000</v>
      </c>
      <c r="G1035" s="5">
        <v>3590000</v>
      </c>
      <c r="H1035" s="4">
        <v>2403500</v>
      </c>
      <c r="I1035" s="2">
        <f t="shared" si="108"/>
        <v>0.66949860724233978</v>
      </c>
      <c r="J1035" s="4">
        <v>3330000</v>
      </c>
      <c r="K1035" s="2">
        <f t="shared" si="109"/>
        <v>0.92757660167130918</v>
      </c>
      <c r="L1035" t="s">
        <v>11882</v>
      </c>
      <c r="M1035" t="s">
        <v>432</v>
      </c>
      <c r="N1035" t="b">
        <f t="shared" si="110"/>
        <v>0</v>
      </c>
    </row>
    <row r="1036" spans="1:14" x14ac:dyDescent="0.15">
      <c r="A1036" t="s">
        <v>11853</v>
      </c>
      <c r="B1036" t="s">
        <v>11859</v>
      </c>
      <c r="C1036" t="s">
        <v>11964</v>
      </c>
      <c r="D1036" t="s">
        <v>23</v>
      </c>
      <c r="E1036" t="s">
        <v>12082</v>
      </c>
      <c r="F1036" s="5">
        <v>3810000</v>
      </c>
      <c r="G1036" s="5">
        <v>3810000</v>
      </c>
      <c r="H1036" s="4">
        <v>2541600</v>
      </c>
      <c r="I1036" s="2">
        <f t="shared" si="108"/>
        <v>0.66708661417322834</v>
      </c>
      <c r="J1036" s="4">
        <v>3540000</v>
      </c>
      <c r="K1036" s="2">
        <f t="shared" si="109"/>
        <v>0.92913385826771655</v>
      </c>
      <c r="L1036" t="s">
        <v>11888</v>
      </c>
      <c r="M1036" t="s">
        <v>432</v>
      </c>
      <c r="N1036" t="b">
        <f t="shared" si="110"/>
        <v>0</v>
      </c>
    </row>
    <row r="1037" spans="1:14" x14ac:dyDescent="0.15">
      <c r="A1037" t="s">
        <v>11853</v>
      </c>
      <c r="B1037" t="s">
        <v>11856</v>
      </c>
      <c r="C1037" t="s">
        <v>12083</v>
      </c>
      <c r="D1037" t="s">
        <v>23</v>
      </c>
      <c r="E1037" t="s">
        <v>12084</v>
      </c>
      <c r="F1037" s="5">
        <v>15005000</v>
      </c>
      <c r="G1037" s="5">
        <v>15005000</v>
      </c>
      <c r="H1037" s="4">
        <v>10147000</v>
      </c>
      <c r="I1037" s="2">
        <f t="shared" si="108"/>
        <v>0.67624125291569481</v>
      </c>
      <c r="J1037" s="4">
        <v>14000000</v>
      </c>
      <c r="K1037" s="2">
        <f t="shared" si="109"/>
        <v>0.93302232589136957</v>
      </c>
      <c r="L1037" t="s">
        <v>1651</v>
      </c>
      <c r="M1037" t="s">
        <v>174</v>
      </c>
      <c r="N1037" t="b">
        <f t="shared" si="110"/>
        <v>0</v>
      </c>
    </row>
    <row r="1038" spans="1:14" x14ac:dyDescent="0.15">
      <c r="A1038" t="s">
        <v>11853</v>
      </c>
      <c r="B1038" t="s">
        <v>11856</v>
      </c>
      <c r="C1038" t="s">
        <v>12085</v>
      </c>
      <c r="D1038" t="s">
        <v>23</v>
      </c>
      <c r="E1038" t="s">
        <v>12086</v>
      </c>
      <c r="F1038" s="5">
        <v>30067000</v>
      </c>
      <c r="G1038" s="5">
        <v>30067000</v>
      </c>
      <c r="H1038" s="4">
        <v>20337000</v>
      </c>
      <c r="I1038" s="2">
        <f t="shared" si="108"/>
        <v>0.67638939701333689</v>
      </c>
      <c r="J1038" s="4">
        <v>29700000</v>
      </c>
      <c r="K1038" s="2">
        <f t="shared" si="109"/>
        <v>0.98779392689659762</v>
      </c>
      <c r="L1038" t="s">
        <v>1651</v>
      </c>
      <c r="M1038" t="s">
        <v>192</v>
      </c>
      <c r="N1038" t="b">
        <f t="shared" si="110"/>
        <v>0</v>
      </c>
    </row>
    <row r="1039" spans="1:14" x14ac:dyDescent="0.15">
      <c r="A1039" t="s">
        <v>11853</v>
      </c>
      <c r="B1039" t="s">
        <v>11859</v>
      </c>
      <c r="C1039" t="s">
        <v>11979</v>
      </c>
      <c r="D1039" t="s">
        <v>23</v>
      </c>
      <c r="E1039" t="s">
        <v>7668</v>
      </c>
      <c r="F1039" s="5">
        <v>6140000</v>
      </c>
      <c r="G1039" s="5">
        <v>6140000</v>
      </c>
      <c r="H1039" s="4">
        <v>4100200</v>
      </c>
      <c r="I1039" s="2">
        <f t="shared" si="108"/>
        <v>0.66778501628664499</v>
      </c>
      <c r="J1039" s="4">
        <v>5750000</v>
      </c>
      <c r="K1039" s="2">
        <f t="shared" si="109"/>
        <v>0.93648208469055372</v>
      </c>
      <c r="L1039" t="s">
        <v>11893</v>
      </c>
      <c r="M1039" t="s">
        <v>165</v>
      </c>
      <c r="N1039" t="b">
        <f t="shared" si="110"/>
        <v>0</v>
      </c>
    </row>
    <row r="1040" spans="1:14" x14ac:dyDescent="0.15">
      <c r="A1040" t="s">
        <v>11853</v>
      </c>
      <c r="B1040" t="s">
        <v>11859</v>
      </c>
      <c r="C1040" t="s">
        <v>11977</v>
      </c>
      <c r="D1040" t="s">
        <v>23</v>
      </c>
      <c r="E1040" t="s">
        <v>7678</v>
      </c>
      <c r="F1040" s="5">
        <v>6140000</v>
      </c>
      <c r="G1040" s="5">
        <v>6140000</v>
      </c>
      <c r="H1040" s="4">
        <v>4123000</v>
      </c>
      <c r="I1040" s="2">
        <f t="shared" si="108"/>
        <v>0.67149837133550494</v>
      </c>
      <c r="J1040" s="4">
        <v>5760000</v>
      </c>
      <c r="K1040" s="2">
        <f t="shared" si="109"/>
        <v>0.93811074918566772</v>
      </c>
      <c r="L1040" t="s">
        <v>11901</v>
      </c>
      <c r="M1040" t="s">
        <v>165</v>
      </c>
      <c r="N1040" t="b">
        <f t="shared" si="110"/>
        <v>0</v>
      </c>
    </row>
    <row r="1041" spans="1:14" x14ac:dyDescent="0.15">
      <c r="A1041" t="s">
        <v>11853</v>
      </c>
      <c r="B1041" t="s">
        <v>11859</v>
      </c>
      <c r="C1041" t="s">
        <v>11981</v>
      </c>
      <c r="D1041" t="s">
        <v>23</v>
      </c>
      <c r="E1041" t="s">
        <v>7690</v>
      </c>
      <c r="F1041" s="5">
        <v>6965000</v>
      </c>
      <c r="G1041" s="5">
        <v>6965000</v>
      </c>
      <c r="H1041" s="4">
        <v>4695800</v>
      </c>
      <c r="I1041" s="2">
        <f t="shared" si="108"/>
        <v>0.67419956927494618</v>
      </c>
      <c r="J1041" s="4">
        <v>6580000</v>
      </c>
      <c r="K1041" s="2">
        <f t="shared" si="109"/>
        <v>0.94472361809045224</v>
      </c>
      <c r="L1041" t="s">
        <v>11862</v>
      </c>
      <c r="M1041" t="s">
        <v>165</v>
      </c>
      <c r="N1041" t="b">
        <f t="shared" si="110"/>
        <v>0</v>
      </c>
    </row>
    <row r="1042" spans="1:14" x14ac:dyDescent="0.15">
      <c r="A1042" t="s">
        <v>11853</v>
      </c>
      <c r="B1042" t="s">
        <v>11859</v>
      </c>
      <c r="C1042" t="s">
        <v>12087</v>
      </c>
      <c r="D1042" t="s">
        <v>23</v>
      </c>
      <c r="E1042" t="s">
        <v>12088</v>
      </c>
      <c r="F1042" s="5">
        <v>14402000</v>
      </c>
      <c r="G1042" s="5">
        <v>14402000</v>
      </c>
      <c r="H1042" s="4">
        <v>9698000</v>
      </c>
      <c r="I1042" s="2">
        <f t="shared" si="108"/>
        <v>0.67337869740313849</v>
      </c>
      <c r="J1042" s="4">
        <v>13500000</v>
      </c>
      <c r="K1042" s="2">
        <f t="shared" si="109"/>
        <v>0.93736980974864603</v>
      </c>
      <c r="L1042" t="s">
        <v>1458</v>
      </c>
      <c r="M1042" t="s">
        <v>174</v>
      </c>
      <c r="N1042" t="b">
        <f t="shared" si="110"/>
        <v>0</v>
      </c>
    </row>
    <row r="1043" spans="1:14" x14ac:dyDescent="0.15">
      <c r="A1043" t="s">
        <v>11853</v>
      </c>
      <c r="B1043" t="s">
        <v>11856</v>
      </c>
      <c r="C1043" t="s">
        <v>12089</v>
      </c>
      <c r="D1043" t="s">
        <v>23</v>
      </c>
      <c r="E1043" t="s">
        <v>12090</v>
      </c>
      <c r="F1043" s="5">
        <v>7235000</v>
      </c>
      <c r="G1043" s="5">
        <v>7235000</v>
      </c>
      <c r="H1043" s="4">
        <v>4868400</v>
      </c>
      <c r="I1043" s="2">
        <f t="shared" si="108"/>
        <v>0.67289564616447828</v>
      </c>
      <c r="J1043" s="4">
        <v>6720000</v>
      </c>
      <c r="K1043" s="2">
        <f t="shared" si="109"/>
        <v>0.92881824464409124</v>
      </c>
      <c r="L1043" t="s">
        <v>1651</v>
      </c>
      <c r="M1043" t="s">
        <v>165</v>
      </c>
      <c r="N1043" t="b">
        <f t="shared" si="110"/>
        <v>0</v>
      </c>
    </row>
    <row r="1044" spans="1:14" x14ac:dyDescent="0.15">
      <c r="A1044" t="s">
        <v>11853</v>
      </c>
      <c r="B1044" t="s">
        <v>11856</v>
      </c>
      <c r="C1044" t="s">
        <v>12091</v>
      </c>
      <c r="D1044" t="s">
        <v>23</v>
      </c>
      <c r="E1044" t="s">
        <v>12092</v>
      </c>
      <c r="F1044" s="5">
        <v>5763000</v>
      </c>
      <c r="G1044" s="5">
        <v>5763000</v>
      </c>
      <c r="H1044" s="4">
        <v>3870400</v>
      </c>
      <c r="I1044" s="2">
        <f t="shared" si="108"/>
        <v>0.67159465556133957</v>
      </c>
      <c r="J1044" s="4">
        <v>5360000</v>
      </c>
      <c r="K1044" s="2">
        <f t="shared" si="109"/>
        <v>0.93007114350164843</v>
      </c>
      <c r="L1044" t="s">
        <v>1651</v>
      </c>
      <c r="M1044" t="s">
        <v>165</v>
      </c>
      <c r="N1044" t="b">
        <f t="shared" si="110"/>
        <v>0</v>
      </c>
    </row>
    <row r="1045" spans="1:14" x14ac:dyDescent="0.15">
      <c r="A1045" t="s">
        <v>11853</v>
      </c>
      <c r="B1045" t="s">
        <v>11856</v>
      </c>
      <c r="C1045" t="s">
        <v>12093</v>
      </c>
      <c r="D1045" t="s">
        <v>23</v>
      </c>
      <c r="E1045" t="s">
        <v>12094</v>
      </c>
      <c r="F1045" s="5">
        <v>18033000</v>
      </c>
      <c r="G1045" s="5">
        <v>18033000</v>
      </c>
      <c r="H1045" s="4">
        <v>12060000</v>
      </c>
      <c r="I1045" s="2">
        <f t="shared" si="108"/>
        <v>0.66877391449010148</v>
      </c>
      <c r="J1045" s="4">
        <v>16800000</v>
      </c>
      <c r="K1045" s="2">
        <f t="shared" si="109"/>
        <v>0.93162535351854936</v>
      </c>
      <c r="L1045" t="s">
        <v>1651</v>
      </c>
      <c r="M1045" t="s">
        <v>174</v>
      </c>
      <c r="N1045" t="b">
        <f t="shared" si="110"/>
        <v>0</v>
      </c>
    </row>
    <row r="1046" spans="1:14" x14ac:dyDescent="0.15">
      <c r="A1046" t="s">
        <v>11853</v>
      </c>
      <c r="B1046" t="s">
        <v>11856</v>
      </c>
      <c r="C1046" t="s">
        <v>12095</v>
      </c>
      <c r="D1046" t="s">
        <v>23</v>
      </c>
      <c r="E1046" t="s">
        <v>12096</v>
      </c>
      <c r="F1046" s="5">
        <v>6978000</v>
      </c>
      <c r="G1046" s="5">
        <v>6978000</v>
      </c>
      <c r="H1046" s="4">
        <v>4684300</v>
      </c>
      <c r="I1046" s="2">
        <f t="shared" si="108"/>
        <v>0.67129550014330752</v>
      </c>
      <c r="J1046" s="4">
        <v>6580000</v>
      </c>
      <c r="K1046" s="2">
        <f t="shared" si="109"/>
        <v>0.94296359988535394</v>
      </c>
      <c r="L1046" t="s">
        <v>11862</v>
      </c>
      <c r="M1046" t="s">
        <v>165</v>
      </c>
      <c r="N1046" t="b">
        <f t="shared" si="110"/>
        <v>0</v>
      </c>
    </row>
    <row r="1047" spans="1:14" x14ac:dyDescent="0.15">
      <c r="A1047" t="s">
        <v>11853</v>
      </c>
      <c r="B1047" t="s">
        <v>11859</v>
      </c>
      <c r="C1047" t="s">
        <v>12097</v>
      </c>
      <c r="D1047" t="s">
        <v>23</v>
      </c>
      <c r="E1047" t="s">
        <v>12098</v>
      </c>
      <c r="F1047" s="5">
        <v>6718000</v>
      </c>
      <c r="G1047" s="5">
        <v>6718000</v>
      </c>
      <c r="H1047" s="4">
        <v>4508400</v>
      </c>
      <c r="I1047" s="2">
        <f t="shared" si="108"/>
        <v>0.67109258707948793</v>
      </c>
      <c r="J1047" s="4">
        <v>6300000</v>
      </c>
      <c r="K1047" s="2">
        <f t="shared" si="109"/>
        <v>0.93777910092289374</v>
      </c>
      <c r="L1047" t="s">
        <v>11862</v>
      </c>
      <c r="M1047" t="s">
        <v>165</v>
      </c>
      <c r="N1047" t="b">
        <f t="shared" si="110"/>
        <v>0</v>
      </c>
    </row>
    <row r="1048" spans="1:14" x14ac:dyDescent="0.15">
      <c r="A1048" t="s">
        <v>11853</v>
      </c>
      <c r="B1048" t="s">
        <v>11859</v>
      </c>
      <c r="C1048" t="s">
        <v>12099</v>
      </c>
      <c r="D1048" t="s">
        <v>23</v>
      </c>
      <c r="E1048" t="s">
        <v>12100</v>
      </c>
      <c r="F1048" s="5">
        <v>9710000</v>
      </c>
      <c r="G1048" s="5">
        <v>9710000</v>
      </c>
      <c r="H1048" s="4">
        <v>6530900</v>
      </c>
      <c r="I1048" s="2">
        <f t="shared" si="108"/>
        <v>0.67259526261585989</v>
      </c>
      <c r="J1048" s="4">
        <v>9100000</v>
      </c>
      <c r="K1048" s="2">
        <f t="shared" si="109"/>
        <v>0.93717816683831101</v>
      </c>
      <c r="L1048" t="s">
        <v>11972</v>
      </c>
      <c r="M1048" t="s">
        <v>174</v>
      </c>
      <c r="N1048" t="b">
        <f t="shared" si="110"/>
        <v>0</v>
      </c>
    </row>
    <row r="1049" spans="1:14" x14ac:dyDescent="0.15">
      <c r="A1049" t="s">
        <v>11853</v>
      </c>
      <c r="B1049" t="s">
        <v>11856</v>
      </c>
      <c r="C1049" t="s">
        <v>12101</v>
      </c>
      <c r="D1049" t="s">
        <v>23</v>
      </c>
      <c r="E1049" t="s">
        <v>12102</v>
      </c>
      <c r="F1049" s="5">
        <v>8477000</v>
      </c>
      <c r="G1049" s="5">
        <v>8477000</v>
      </c>
      <c r="H1049" s="4">
        <v>5716800</v>
      </c>
      <c r="I1049" s="2">
        <f t="shared" si="108"/>
        <v>0.67438952459596557</v>
      </c>
      <c r="J1049" s="4">
        <v>6866000</v>
      </c>
      <c r="K1049" s="2">
        <f t="shared" si="109"/>
        <v>0.80995635248318976</v>
      </c>
      <c r="L1049" t="s">
        <v>567</v>
      </c>
      <c r="M1049" t="s">
        <v>165</v>
      </c>
      <c r="N1049" t="b">
        <f t="shared" si="110"/>
        <v>0</v>
      </c>
    </row>
    <row r="1050" spans="1:14" x14ac:dyDescent="0.15">
      <c r="A1050" t="s">
        <v>11853</v>
      </c>
      <c r="B1050" t="s">
        <v>11856</v>
      </c>
      <c r="C1050" t="s">
        <v>12103</v>
      </c>
      <c r="D1050" t="s">
        <v>23</v>
      </c>
      <c r="E1050" t="s">
        <v>12104</v>
      </c>
      <c r="F1050" s="5">
        <v>9278000</v>
      </c>
      <c r="G1050" s="5">
        <v>9278000</v>
      </c>
      <c r="H1050" s="4">
        <v>6227300</v>
      </c>
      <c r="I1050" s="2">
        <f t="shared" si="108"/>
        <v>0.67118991161888342</v>
      </c>
      <c r="J1050" s="4">
        <v>8720000</v>
      </c>
      <c r="K1050" s="2">
        <f t="shared" si="109"/>
        <v>0.93985772795861178</v>
      </c>
      <c r="L1050" t="s">
        <v>11862</v>
      </c>
      <c r="M1050" t="s">
        <v>174</v>
      </c>
      <c r="N1050" t="b">
        <f t="shared" si="110"/>
        <v>0</v>
      </c>
    </row>
    <row r="1051" spans="1:14" x14ac:dyDescent="0.15">
      <c r="A1051" t="s">
        <v>11853</v>
      </c>
      <c r="B1051" t="s">
        <v>11856</v>
      </c>
      <c r="C1051" t="s">
        <v>11991</v>
      </c>
      <c r="D1051" t="s">
        <v>23</v>
      </c>
      <c r="E1051" t="s">
        <v>12105</v>
      </c>
      <c r="F1051" s="5">
        <v>14906000</v>
      </c>
      <c r="G1051" s="5">
        <v>14906000</v>
      </c>
      <c r="H1051" s="4">
        <v>9948000</v>
      </c>
      <c r="I1051" s="2">
        <f t="shared" si="108"/>
        <v>0.66738226217630481</v>
      </c>
      <c r="J1051" s="4">
        <v>13950000</v>
      </c>
      <c r="K1051" s="2">
        <f t="shared" si="109"/>
        <v>0.93586475244867839</v>
      </c>
      <c r="L1051" t="s">
        <v>1651</v>
      </c>
      <c r="M1051" t="s">
        <v>174</v>
      </c>
      <c r="N1051" t="b">
        <f t="shared" si="110"/>
        <v>0</v>
      </c>
    </row>
    <row r="1052" spans="1:14" x14ac:dyDescent="0.15">
      <c r="A1052" t="s">
        <v>11853</v>
      </c>
      <c r="B1052" t="s">
        <v>11859</v>
      </c>
      <c r="C1052" t="s">
        <v>12005</v>
      </c>
      <c r="D1052" t="s">
        <v>23</v>
      </c>
      <c r="E1052" t="s">
        <v>12106</v>
      </c>
      <c r="F1052" s="5">
        <v>7671000</v>
      </c>
      <c r="G1052" s="5">
        <v>7671000</v>
      </c>
      <c r="H1052" s="4">
        <v>5128800</v>
      </c>
      <c r="I1052" s="2">
        <f t="shared" si="108"/>
        <v>0.66859601095033239</v>
      </c>
      <c r="J1052" s="4">
        <v>7150000</v>
      </c>
      <c r="K1052" s="2">
        <f t="shared" si="109"/>
        <v>0.9320818667709555</v>
      </c>
      <c r="L1052" t="s">
        <v>12107</v>
      </c>
      <c r="M1052" t="s">
        <v>165</v>
      </c>
      <c r="N1052" t="b">
        <f t="shared" si="110"/>
        <v>0</v>
      </c>
    </row>
    <row r="1053" spans="1:14" x14ac:dyDescent="0.15">
      <c r="A1053" t="s">
        <v>11853</v>
      </c>
      <c r="B1053" t="s">
        <v>11859</v>
      </c>
      <c r="C1053" t="s">
        <v>12007</v>
      </c>
      <c r="D1053" t="s">
        <v>23</v>
      </c>
      <c r="E1053" t="s">
        <v>12108</v>
      </c>
      <c r="F1053" s="5">
        <v>7671000</v>
      </c>
      <c r="G1053" s="5">
        <v>7671000</v>
      </c>
      <c r="H1053" s="4">
        <v>5128800</v>
      </c>
      <c r="I1053" s="2">
        <f t="shared" si="108"/>
        <v>0.66859601095033239</v>
      </c>
      <c r="J1053" s="4">
        <v>7100000</v>
      </c>
      <c r="K1053" s="2">
        <f t="shared" si="109"/>
        <v>0.92556381175857128</v>
      </c>
      <c r="L1053" t="s">
        <v>12011</v>
      </c>
      <c r="M1053" t="s">
        <v>165</v>
      </c>
      <c r="N1053" t="b">
        <f t="shared" si="110"/>
        <v>0</v>
      </c>
    </row>
    <row r="1054" spans="1:14" x14ac:dyDescent="0.15">
      <c r="A1054" t="s">
        <v>11853</v>
      </c>
      <c r="B1054" t="s">
        <v>11859</v>
      </c>
      <c r="C1054" t="s">
        <v>12109</v>
      </c>
      <c r="D1054" t="s">
        <v>23</v>
      </c>
      <c r="E1054" t="s">
        <v>12110</v>
      </c>
      <c r="F1054" s="5">
        <v>34700000</v>
      </c>
      <c r="G1054" s="5">
        <v>34700000</v>
      </c>
      <c r="H1054" s="4">
        <v>23443000</v>
      </c>
      <c r="I1054" s="2">
        <f t="shared" si="108"/>
        <v>0.67559077809798274</v>
      </c>
      <c r="J1054" s="4">
        <v>33500000</v>
      </c>
      <c r="K1054" s="2">
        <f t="shared" si="109"/>
        <v>0.96541786743515845</v>
      </c>
      <c r="L1054" t="s">
        <v>11972</v>
      </c>
      <c r="M1054" t="s">
        <v>192</v>
      </c>
      <c r="N1054" t="b">
        <f t="shared" si="110"/>
        <v>0</v>
      </c>
    </row>
    <row r="1055" spans="1:14" x14ac:dyDescent="0.15">
      <c r="A1055" t="s">
        <v>11853</v>
      </c>
      <c r="B1055" t="s">
        <v>11859</v>
      </c>
      <c r="C1055" t="s">
        <v>12021</v>
      </c>
      <c r="D1055" t="s">
        <v>23</v>
      </c>
      <c r="E1055" t="s">
        <v>12111</v>
      </c>
      <c r="F1055" s="5">
        <v>17528000</v>
      </c>
      <c r="G1055" s="5">
        <v>17528000</v>
      </c>
      <c r="H1055" s="4">
        <v>11691000</v>
      </c>
      <c r="I1055" s="2">
        <f t="shared" si="108"/>
        <v>0.66698995892286628</v>
      </c>
      <c r="J1055" s="4">
        <v>16400000</v>
      </c>
      <c r="K1055" s="2">
        <f t="shared" si="109"/>
        <v>0.9356458238247376</v>
      </c>
      <c r="L1055" t="s">
        <v>1651</v>
      </c>
      <c r="M1055" t="s">
        <v>174</v>
      </c>
      <c r="N1055" t="b">
        <f t="shared" si="110"/>
        <v>0</v>
      </c>
    </row>
    <row r="1056" spans="1:14" x14ac:dyDescent="0.15">
      <c r="A1056" t="s">
        <v>11853</v>
      </c>
      <c r="B1056" t="s">
        <v>11856</v>
      </c>
      <c r="C1056" t="s">
        <v>12112</v>
      </c>
      <c r="D1056" t="s">
        <v>23</v>
      </c>
      <c r="E1056" t="s">
        <v>12113</v>
      </c>
      <c r="F1056" s="5">
        <v>14357000</v>
      </c>
      <c r="G1056" s="5">
        <v>14357000</v>
      </c>
      <c r="H1056" s="4">
        <v>9660000</v>
      </c>
      <c r="I1056" s="2">
        <f t="shared" si="108"/>
        <v>0.6728425158459288</v>
      </c>
      <c r="J1056" s="4">
        <v>11629000</v>
      </c>
      <c r="K1056" s="2">
        <f t="shared" si="109"/>
        <v>0.80998815908616006</v>
      </c>
      <c r="L1056" t="s">
        <v>567</v>
      </c>
      <c r="M1056" t="s">
        <v>174</v>
      </c>
      <c r="N1056" t="b">
        <f t="shared" si="110"/>
        <v>0</v>
      </c>
    </row>
    <row r="1057" spans="1:14" x14ac:dyDescent="0.15">
      <c r="A1057" t="s">
        <v>11853</v>
      </c>
      <c r="B1057" t="s">
        <v>11856</v>
      </c>
      <c r="C1057" t="s">
        <v>12114</v>
      </c>
      <c r="D1057" t="s">
        <v>23</v>
      </c>
      <c r="E1057" t="s">
        <v>12115</v>
      </c>
      <c r="F1057" s="5">
        <v>9438000</v>
      </c>
      <c r="G1057" s="5">
        <v>9438000</v>
      </c>
      <c r="H1057" s="4">
        <v>6321500</v>
      </c>
      <c r="I1057" s="2">
        <f t="shared" si="108"/>
        <v>0.66979232888323792</v>
      </c>
      <c r="J1057" s="4">
        <v>8850000</v>
      </c>
      <c r="K1057" s="2">
        <f t="shared" si="109"/>
        <v>0.9376986649713922</v>
      </c>
      <c r="L1057" t="s">
        <v>11885</v>
      </c>
      <c r="M1057" t="s">
        <v>174</v>
      </c>
      <c r="N1057" t="b">
        <f t="shared" si="110"/>
        <v>0</v>
      </c>
    </row>
    <row r="1058" spans="1:14" x14ac:dyDescent="0.15">
      <c r="A1058" t="s">
        <v>11853</v>
      </c>
      <c r="B1058" t="s">
        <v>11856</v>
      </c>
      <c r="C1058" t="s">
        <v>12116</v>
      </c>
      <c r="D1058" t="s">
        <v>23</v>
      </c>
      <c r="E1058" t="s">
        <v>12117</v>
      </c>
      <c r="F1058" s="5">
        <v>63267000</v>
      </c>
      <c r="G1058" s="5">
        <v>63267000</v>
      </c>
      <c r="H1058" s="4">
        <v>42515000</v>
      </c>
      <c r="I1058" s="2">
        <f t="shared" si="108"/>
        <v>0.67199329824395027</v>
      </c>
      <c r="J1058" s="4">
        <v>60000000</v>
      </c>
      <c r="K1058" s="2">
        <f t="shared" si="109"/>
        <v>0.94836170515434581</v>
      </c>
      <c r="L1058" t="s">
        <v>1915</v>
      </c>
      <c r="M1058" t="s">
        <v>192</v>
      </c>
      <c r="N1058" t="b">
        <f t="shared" si="110"/>
        <v>0</v>
      </c>
    </row>
    <row r="1059" spans="1:14" x14ac:dyDescent="0.15">
      <c r="A1059" t="s">
        <v>11853</v>
      </c>
      <c r="B1059" t="s">
        <v>11859</v>
      </c>
      <c r="C1059" t="s">
        <v>12118</v>
      </c>
      <c r="D1059" t="s">
        <v>23</v>
      </c>
      <c r="E1059" t="s">
        <v>12119</v>
      </c>
      <c r="F1059" s="5">
        <v>20047000</v>
      </c>
      <c r="G1059" s="5">
        <v>20047000</v>
      </c>
      <c r="H1059" s="4">
        <v>13373000</v>
      </c>
      <c r="I1059" s="2">
        <f t="shared" si="108"/>
        <v>0.66708235646231351</v>
      </c>
      <c r="J1059" s="4">
        <v>19000000</v>
      </c>
      <c r="K1059" s="2">
        <f t="shared" si="109"/>
        <v>0.94777273407492391</v>
      </c>
      <c r="L1059" t="s">
        <v>11963</v>
      </c>
      <c r="M1059" t="s">
        <v>174</v>
      </c>
      <c r="N1059" t="b">
        <f t="shared" si="110"/>
        <v>0</v>
      </c>
    </row>
    <row r="1060" spans="1:14" x14ac:dyDescent="0.15">
      <c r="A1060" t="s">
        <v>11853</v>
      </c>
      <c r="B1060" t="s">
        <v>11856</v>
      </c>
      <c r="C1060" t="s">
        <v>12120</v>
      </c>
      <c r="D1060" t="s">
        <v>23</v>
      </c>
      <c r="E1060" t="s">
        <v>12121</v>
      </c>
      <c r="F1060" s="5">
        <v>36422000</v>
      </c>
      <c r="G1060" s="5">
        <v>36422000</v>
      </c>
      <c r="H1060" s="4">
        <v>24533000</v>
      </c>
      <c r="I1060" s="2">
        <f t="shared" si="108"/>
        <v>0.67357640986217127</v>
      </c>
      <c r="J1060" s="4">
        <v>26440000</v>
      </c>
      <c r="K1060" s="2">
        <f t="shared" si="109"/>
        <v>0.72593487452638517</v>
      </c>
      <c r="L1060" t="s">
        <v>30</v>
      </c>
      <c r="M1060" t="s">
        <v>192</v>
      </c>
      <c r="N1060" t="b">
        <f t="shared" si="110"/>
        <v>0</v>
      </c>
    </row>
    <row r="1061" spans="1:14" x14ac:dyDescent="0.15">
      <c r="A1061" t="s">
        <v>11853</v>
      </c>
      <c r="B1061" t="s">
        <v>11856</v>
      </c>
      <c r="C1061" t="s">
        <v>12122</v>
      </c>
      <c r="D1061" t="s">
        <v>23</v>
      </c>
      <c r="E1061" t="s">
        <v>9271</v>
      </c>
      <c r="F1061" s="5">
        <v>6284000</v>
      </c>
      <c r="G1061" s="5">
        <v>6284000</v>
      </c>
      <c r="H1061" s="4">
        <v>4232200</v>
      </c>
      <c r="I1061" s="2">
        <f t="shared" si="108"/>
        <v>0.67348822406110753</v>
      </c>
      <c r="J1061" s="4">
        <v>5900000</v>
      </c>
      <c r="K1061" s="2">
        <f t="shared" si="109"/>
        <v>0.93889242520687455</v>
      </c>
      <c r="L1061" t="s">
        <v>11862</v>
      </c>
      <c r="M1061" t="s">
        <v>165</v>
      </c>
      <c r="N1061" t="b">
        <f t="shared" si="110"/>
        <v>0</v>
      </c>
    </row>
    <row r="1062" spans="1:14" x14ac:dyDescent="0.15">
      <c r="A1062" t="s">
        <v>11853</v>
      </c>
      <c r="B1062" t="s">
        <v>11856</v>
      </c>
      <c r="C1062" t="s">
        <v>12123</v>
      </c>
      <c r="D1062" t="s">
        <v>23</v>
      </c>
      <c r="E1062" t="s">
        <v>12124</v>
      </c>
      <c r="F1062" s="5">
        <v>6390000</v>
      </c>
      <c r="G1062" s="5">
        <v>6390000</v>
      </c>
      <c r="H1062" s="4">
        <v>4301100</v>
      </c>
      <c r="I1062" s="2">
        <f t="shared" si="108"/>
        <v>0.67309859154929574</v>
      </c>
      <c r="J1062" s="4">
        <v>6000000</v>
      </c>
      <c r="K1062" s="2">
        <f t="shared" si="109"/>
        <v>0.93896713615023475</v>
      </c>
      <c r="L1062" t="s">
        <v>11882</v>
      </c>
      <c r="M1062" t="s">
        <v>165</v>
      </c>
      <c r="N1062" t="b">
        <f t="shared" si="110"/>
        <v>0</v>
      </c>
    </row>
    <row r="1063" spans="1:14" x14ac:dyDescent="0.15">
      <c r="A1063" t="s">
        <v>11853</v>
      </c>
      <c r="B1063" t="s">
        <v>11859</v>
      </c>
      <c r="C1063" t="s">
        <v>11983</v>
      </c>
      <c r="D1063" t="s">
        <v>23</v>
      </c>
      <c r="E1063" t="s">
        <v>12125</v>
      </c>
      <c r="F1063" s="5">
        <v>13818000</v>
      </c>
      <c r="G1063" s="5">
        <v>13818000</v>
      </c>
      <c r="H1063" s="4">
        <v>9255000</v>
      </c>
      <c r="I1063" s="2">
        <f t="shared" si="108"/>
        <v>0.66977854971775941</v>
      </c>
      <c r="J1063" s="4">
        <v>12980000</v>
      </c>
      <c r="K1063" s="2">
        <f t="shared" si="109"/>
        <v>0.9393544651903315</v>
      </c>
      <c r="L1063" t="s">
        <v>11862</v>
      </c>
      <c r="M1063" t="s">
        <v>174</v>
      </c>
      <c r="N1063" t="b">
        <f t="shared" si="110"/>
        <v>0</v>
      </c>
    </row>
    <row r="1064" spans="1:14" x14ac:dyDescent="0.15">
      <c r="A1064" t="s">
        <v>11853</v>
      </c>
      <c r="B1064" t="s">
        <v>11859</v>
      </c>
      <c r="C1064" t="s">
        <v>12126</v>
      </c>
      <c r="D1064" t="s">
        <v>23</v>
      </c>
      <c r="E1064" t="s">
        <v>12127</v>
      </c>
      <c r="F1064" s="5">
        <v>13818000</v>
      </c>
      <c r="G1064" s="5">
        <v>13818000</v>
      </c>
      <c r="H1064" s="4">
        <v>9267000</v>
      </c>
      <c r="I1064" s="2">
        <f t="shared" si="108"/>
        <v>0.67064698219713414</v>
      </c>
      <c r="J1064" s="4">
        <v>12890000</v>
      </c>
      <c r="K1064" s="2">
        <f t="shared" si="109"/>
        <v>0.93284122159502103</v>
      </c>
      <c r="L1064" t="s">
        <v>11898</v>
      </c>
      <c r="M1064" t="s">
        <v>174</v>
      </c>
      <c r="N1064" t="b">
        <f t="shared" si="110"/>
        <v>0</v>
      </c>
    </row>
    <row r="1065" spans="1:14" x14ac:dyDescent="0.15">
      <c r="A1065" t="s">
        <v>11853</v>
      </c>
      <c r="B1065" t="s">
        <v>11859</v>
      </c>
      <c r="C1065" t="s">
        <v>12128</v>
      </c>
      <c r="D1065" t="s">
        <v>23</v>
      </c>
      <c r="E1065" t="s">
        <v>12129</v>
      </c>
      <c r="F1065" s="5">
        <v>7671000</v>
      </c>
      <c r="G1065" s="5">
        <v>7671000</v>
      </c>
      <c r="H1065" s="4">
        <v>5124200</v>
      </c>
      <c r="I1065" s="2">
        <f t="shared" si="108"/>
        <v>0.6679963498891931</v>
      </c>
      <c r="J1065" s="4">
        <v>7100000</v>
      </c>
      <c r="K1065" s="2">
        <f t="shared" si="109"/>
        <v>0.92556381175857128</v>
      </c>
      <c r="L1065" t="s">
        <v>12130</v>
      </c>
      <c r="M1065" t="s">
        <v>165</v>
      </c>
      <c r="N1065" t="b">
        <f t="shared" si="110"/>
        <v>0</v>
      </c>
    </row>
    <row r="1066" spans="1:14" x14ac:dyDescent="0.15">
      <c r="A1066" t="s">
        <v>11853</v>
      </c>
      <c r="B1066" t="s">
        <v>11859</v>
      </c>
      <c r="C1066" t="s">
        <v>11857</v>
      </c>
      <c r="D1066" t="s">
        <v>23</v>
      </c>
      <c r="E1066" t="s">
        <v>12131</v>
      </c>
      <c r="F1066" s="5">
        <v>17337000</v>
      </c>
      <c r="G1066" s="5">
        <v>17337000</v>
      </c>
      <c r="H1066" s="4">
        <v>11638000</v>
      </c>
      <c r="I1066" s="2">
        <f t="shared" si="108"/>
        <v>0.67128107515717828</v>
      </c>
      <c r="J1066" s="4">
        <v>16120000</v>
      </c>
      <c r="K1066" s="2">
        <f t="shared" si="109"/>
        <v>0.92980331083809198</v>
      </c>
      <c r="L1066" t="s">
        <v>1651</v>
      </c>
      <c r="M1066" t="s">
        <v>174</v>
      </c>
      <c r="N1066" t="b">
        <f t="shared" si="110"/>
        <v>0</v>
      </c>
    </row>
    <row r="1067" spans="1:14" x14ac:dyDescent="0.15">
      <c r="A1067" t="s">
        <v>11853</v>
      </c>
      <c r="B1067" t="s">
        <v>11856</v>
      </c>
      <c r="C1067" t="s">
        <v>11866</v>
      </c>
      <c r="D1067" t="s">
        <v>23</v>
      </c>
      <c r="E1067" t="s">
        <v>12132</v>
      </c>
      <c r="F1067" s="5">
        <v>8079000</v>
      </c>
      <c r="G1067" s="5">
        <v>8079000</v>
      </c>
      <c r="H1067" s="4">
        <v>5452500</v>
      </c>
      <c r="I1067" s="2">
        <f t="shared" si="108"/>
        <v>0.6748978834014111</v>
      </c>
      <c r="J1067" s="4">
        <v>7500000</v>
      </c>
      <c r="K1067" s="2">
        <f t="shared" si="109"/>
        <v>0.92833271444485699</v>
      </c>
      <c r="L1067" t="s">
        <v>11862</v>
      </c>
      <c r="M1067" t="s">
        <v>165</v>
      </c>
      <c r="N1067" t="b">
        <f t="shared" si="110"/>
        <v>0</v>
      </c>
    </row>
    <row r="1068" spans="1:14" x14ac:dyDescent="0.15">
      <c r="A1068" t="s">
        <v>11853</v>
      </c>
      <c r="B1068" t="s">
        <v>11856</v>
      </c>
      <c r="C1068" t="s">
        <v>12133</v>
      </c>
      <c r="D1068" t="s">
        <v>23</v>
      </c>
      <c r="E1068" t="s">
        <v>11373</v>
      </c>
      <c r="F1068" s="5">
        <v>8394000</v>
      </c>
      <c r="G1068" s="5">
        <v>8394000</v>
      </c>
      <c r="H1068" s="4">
        <v>5613900</v>
      </c>
      <c r="I1068" s="2">
        <f t="shared" si="108"/>
        <v>0.66879914224446035</v>
      </c>
      <c r="J1068" s="4">
        <v>7800000</v>
      </c>
      <c r="K1068" s="2">
        <f t="shared" si="109"/>
        <v>0.92923516797712646</v>
      </c>
      <c r="L1068" t="s">
        <v>1651</v>
      </c>
      <c r="M1068" t="s">
        <v>165</v>
      </c>
      <c r="N1068" t="b">
        <f t="shared" si="110"/>
        <v>0</v>
      </c>
    </row>
    <row r="1069" spans="1:14" x14ac:dyDescent="0.15">
      <c r="A1069" t="s">
        <v>11853</v>
      </c>
      <c r="B1069" t="s">
        <v>11856</v>
      </c>
      <c r="C1069" t="s">
        <v>11876</v>
      </c>
      <c r="D1069" t="s">
        <v>23</v>
      </c>
      <c r="E1069" t="s">
        <v>11377</v>
      </c>
      <c r="F1069" s="5">
        <v>6124000</v>
      </c>
      <c r="G1069" s="5">
        <v>6124000</v>
      </c>
      <c r="H1069" s="4">
        <v>4085300</v>
      </c>
      <c r="I1069" s="2">
        <f t="shared" si="108"/>
        <v>0.66709666884389285</v>
      </c>
      <c r="J1069" s="4">
        <v>5750000</v>
      </c>
      <c r="K1069" s="2">
        <f t="shared" si="109"/>
        <v>0.93892880470280859</v>
      </c>
      <c r="L1069" t="s">
        <v>3251</v>
      </c>
      <c r="M1069" t="s">
        <v>165</v>
      </c>
      <c r="N1069" t="b">
        <f t="shared" si="110"/>
        <v>0</v>
      </c>
    </row>
    <row r="1070" spans="1:14" x14ac:dyDescent="0.15">
      <c r="A1070" t="s">
        <v>11853</v>
      </c>
      <c r="B1070" t="s">
        <v>11856</v>
      </c>
      <c r="C1070" t="s">
        <v>12134</v>
      </c>
      <c r="D1070" t="s">
        <v>23</v>
      </c>
      <c r="E1070" t="s">
        <v>12135</v>
      </c>
      <c r="F1070" s="5">
        <v>8764000</v>
      </c>
      <c r="G1070" s="5">
        <v>8764000</v>
      </c>
      <c r="H1070" s="4">
        <v>5877100</v>
      </c>
      <c r="I1070" s="2">
        <f t="shared" si="108"/>
        <v>0.6705956184390689</v>
      </c>
      <c r="J1070" s="4">
        <v>8100000</v>
      </c>
      <c r="K1070" s="2">
        <f t="shared" si="109"/>
        <v>0.92423550890004569</v>
      </c>
      <c r="L1070" t="s">
        <v>11865</v>
      </c>
      <c r="M1070" t="s">
        <v>165</v>
      </c>
      <c r="N1070" t="b">
        <f t="shared" si="110"/>
        <v>0</v>
      </c>
    </row>
    <row r="1071" spans="1:14" x14ac:dyDescent="0.15">
      <c r="A1071" t="s">
        <v>11853</v>
      </c>
      <c r="B1071" t="s">
        <v>11856</v>
      </c>
      <c r="C1071" t="s">
        <v>11868</v>
      </c>
      <c r="D1071" t="s">
        <v>23</v>
      </c>
      <c r="E1071" t="s">
        <v>12136</v>
      </c>
      <c r="F1071" s="5">
        <v>17882000</v>
      </c>
      <c r="G1071" s="5">
        <v>17882000</v>
      </c>
      <c r="H1071" s="4">
        <v>11950000</v>
      </c>
      <c r="I1071" s="2">
        <f t="shared" si="108"/>
        <v>0.66826976848227271</v>
      </c>
      <c r="J1071" s="4">
        <v>16630000</v>
      </c>
      <c r="K1071" s="2">
        <f t="shared" si="109"/>
        <v>0.92998546023934681</v>
      </c>
      <c r="L1071" t="s">
        <v>1651</v>
      </c>
      <c r="M1071" t="s">
        <v>174</v>
      </c>
      <c r="N1071" t="b">
        <f t="shared" si="110"/>
        <v>0</v>
      </c>
    </row>
    <row r="1072" spans="1:14" x14ac:dyDescent="0.15">
      <c r="A1072" t="s">
        <v>11853</v>
      </c>
      <c r="B1072" t="s">
        <v>11856</v>
      </c>
      <c r="C1072" t="s">
        <v>12137</v>
      </c>
      <c r="D1072" t="s">
        <v>23</v>
      </c>
      <c r="E1072" t="s">
        <v>12138</v>
      </c>
      <c r="F1072" s="5">
        <v>7824000</v>
      </c>
      <c r="G1072" s="5">
        <v>7824000</v>
      </c>
      <c r="H1072" s="4">
        <v>5232600</v>
      </c>
      <c r="I1072" s="2">
        <f t="shared" si="108"/>
        <v>0.66878834355828221</v>
      </c>
      <c r="J1072" s="4">
        <v>7300000</v>
      </c>
      <c r="K1072" s="2">
        <f t="shared" si="109"/>
        <v>0.93302658486707568</v>
      </c>
      <c r="L1072" t="s">
        <v>11865</v>
      </c>
      <c r="M1072" t="s">
        <v>165</v>
      </c>
      <c r="N1072" t="b">
        <f t="shared" si="110"/>
        <v>0</v>
      </c>
    </row>
    <row r="1073" spans="1:14" x14ac:dyDescent="0.15">
      <c r="A1073" t="s">
        <v>11853</v>
      </c>
      <c r="B1073" t="s">
        <v>11856</v>
      </c>
      <c r="C1073" t="s">
        <v>12139</v>
      </c>
      <c r="D1073" t="s">
        <v>23</v>
      </c>
      <c r="E1073" t="s">
        <v>12140</v>
      </c>
      <c r="F1073" s="5">
        <v>5644000</v>
      </c>
      <c r="G1073" s="5">
        <v>5644000</v>
      </c>
      <c r="H1073" s="4">
        <v>3783700</v>
      </c>
      <c r="I1073" s="2">
        <f t="shared" si="108"/>
        <v>0.67039333805811485</v>
      </c>
      <c r="J1073" s="4">
        <v>5240000</v>
      </c>
      <c r="K1073" s="2">
        <f t="shared" si="109"/>
        <v>0.92841956059532249</v>
      </c>
      <c r="L1073" t="s">
        <v>1651</v>
      </c>
      <c r="M1073" t="s">
        <v>165</v>
      </c>
      <c r="N1073" t="b">
        <f t="shared" si="110"/>
        <v>0</v>
      </c>
    </row>
    <row r="1074" spans="1:14" x14ac:dyDescent="0.15">
      <c r="A1074" t="s">
        <v>11853</v>
      </c>
      <c r="B1074" t="s">
        <v>11856</v>
      </c>
      <c r="C1074" t="s">
        <v>12141</v>
      </c>
      <c r="D1074" t="s">
        <v>23</v>
      </c>
      <c r="E1074" t="s">
        <v>11850</v>
      </c>
      <c r="F1074" s="5">
        <v>2740000</v>
      </c>
      <c r="G1074" s="5">
        <v>2740000</v>
      </c>
      <c r="H1074" s="4">
        <v>1847500</v>
      </c>
      <c r="I1074" s="2">
        <f t="shared" si="108"/>
        <v>0.6742700729927007</v>
      </c>
      <c r="J1074" s="4">
        <v>2600000</v>
      </c>
      <c r="K1074" s="2">
        <f t="shared" si="109"/>
        <v>0.94890510948905105</v>
      </c>
      <c r="L1074" t="s">
        <v>11940</v>
      </c>
      <c r="M1074" t="s">
        <v>432</v>
      </c>
      <c r="N1074" t="b">
        <f t="shared" si="110"/>
        <v>0</v>
      </c>
    </row>
    <row r="1075" spans="1:14" x14ac:dyDescent="0.15">
      <c r="A1075" t="s">
        <v>11853</v>
      </c>
      <c r="B1075" t="s">
        <v>11856</v>
      </c>
      <c r="C1075" t="s">
        <v>12142</v>
      </c>
      <c r="D1075" t="s">
        <v>23</v>
      </c>
      <c r="E1075" t="s">
        <v>12143</v>
      </c>
      <c r="F1075" s="5">
        <v>5095000</v>
      </c>
      <c r="G1075" s="5">
        <v>5095000</v>
      </c>
      <c r="H1075" s="4">
        <v>3414100</v>
      </c>
      <c r="I1075" s="2">
        <f t="shared" si="108"/>
        <v>0.6700883218842002</v>
      </c>
      <c r="J1075" s="4">
        <v>4800000</v>
      </c>
      <c r="K1075" s="2">
        <f t="shared" si="109"/>
        <v>0.94210009813542694</v>
      </c>
      <c r="L1075" t="s">
        <v>11882</v>
      </c>
      <c r="M1075" t="s">
        <v>165</v>
      </c>
      <c r="N1075" t="b">
        <f t="shared" si="110"/>
        <v>0</v>
      </c>
    </row>
    <row r="1076" spans="1:14" x14ac:dyDescent="0.15">
      <c r="A1076" t="s">
        <v>11853</v>
      </c>
      <c r="B1076" t="s">
        <v>11859</v>
      </c>
      <c r="C1076" t="s">
        <v>12012</v>
      </c>
      <c r="D1076" t="s">
        <v>23</v>
      </c>
      <c r="E1076" t="s">
        <v>12144</v>
      </c>
      <c r="F1076" s="5">
        <v>18165000</v>
      </c>
      <c r="G1076" s="5">
        <v>18165000</v>
      </c>
      <c r="H1076" s="4">
        <v>12194000</v>
      </c>
      <c r="I1076" s="2">
        <f t="shared" si="108"/>
        <v>0.67129094412331403</v>
      </c>
      <c r="J1076" s="4">
        <v>17280000</v>
      </c>
      <c r="K1076" s="2">
        <f t="shared" si="109"/>
        <v>0.95127993393889343</v>
      </c>
      <c r="L1076" t="s">
        <v>11862</v>
      </c>
      <c r="M1076" t="s">
        <v>174</v>
      </c>
      <c r="N1076" t="b">
        <f t="shared" si="110"/>
        <v>0</v>
      </c>
    </row>
    <row r="1077" spans="1:14" x14ac:dyDescent="0.15">
      <c r="A1077" t="s">
        <v>11853</v>
      </c>
      <c r="B1077" t="s">
        <v>11856</v>
      </c>
      <c r="C1077" t="s">
        <v>12145</v>
      </c>
      <c r="D1077" t="s">
        <v>23</v>
      </c>
      <c r="E1077" t="s">
        <v>12146</v>
      </c>
      <c r="F1077" s="5">
        <v>9958000</v>
      </c>
      <c r="G1077" s="5">
        <v>9958000</v>
      </c>
      <c r="H1077" s="4">
        <v>6722600</v>
      </c>
      <c r="I1077" s="2">
        <f t="shared" si="108"/>
        <v>0.675095400682868</v>
      </c>
      <c r="J1077" s="4">
        <v>9250000</v>
      </c>
      <c r="K1077" s="2">
        <f t="shared" si="109"/>
        <v>0.9289013858204459</v>
      </c>
      <c r="L1077" t="s">
        <v>1651</v>
      </c>
      <c r="M1077" t="s">
        <v>174</v>
      </c>
      <c r="N1077" t="b">
        <f t="shared" si="110"/>
        <v>0</v>
      </c>
    </row>
    <row r="1078" spans="1:14" x14ac:dyDescent="0.15">
      <c r="A1078" t="s">
        <v>11853</v>
      </c>
      <c r="B1078" t="s">
        <v>11859</v>
      </c>
      <c r="C1078" t="s">
        <v>12147</v>
      </c>
      <c r="D1078" t="s">
        <v>23</v>
      </c>
      <c r="E1078" t="s">
        <v>12148</v>
      </c>
      <c r="F1078" s="5">
        <v>2867000</v>
      </c>
      <c r="G1078" s="5">
        <v>2867000</v>
      </c>
      <c r="H1078" s="4">
        <v>1912500</v>
      </c>
      <c r="I1078" s="2">
        <f t="shared" si="108"/>
        <v>0.66707359609347749</v>
      </c>
      <c r="J1078" s="4">
        <v>2650000</v>
      </c>
      <c r="K1078" s="2">
        <f t="shared" si="109"/>
        <v>0.92431112661318449</v>
      </c>
      <c r="L1078" t="s">
        <v>1651</v>
      </c>
      <c r="M1078" t="s">
        <v>432</v>
      </c>
      <c r="N1078" t="b">
        <f t="shared" si="110"/>
        <v>0</v>
      </c>
    </row>
    <row r="1079" spans="1:14" x14ac:dyDescent="0.15">
      <c r="A1079" t="s">
        <v>11853</v>
      </c>
      <c r="B1079" t="s">
        <v>11856</v>
      </c>
      <c r="C1079" t="s">
        <v>12149</v>
      </c>
      <c r="D1079" t="s">
        <v>23</v>
      </c>
      <c r="E1079" t="s">
        <v>12150</v>
      </c>
      <c r="F1079" s="5">
        <v>3429000</v>
      </c>
      <c r="G1079" s="5">
        <v>3429000</v>
      </c>
      <c r="H1079" s="4">
        <v>2305600</v>
      </c>
      <c r="I1079" s="2">
        <f t="shared" si="108"/>
        <v>0.67238261883931172</v>
      </c>
      <c r="J1079" s="4">
        <v>3150000</v>
      </c>
      <c r="K1079" s="2">
        <f t="shared" si="109"/>
        <v>0.9186351706036745</v>
      </c>
      <c r="L1079" t="s">
        <v>1651</v>
      </c>
      <c r="M1079" t="s">
        <v>432</v>
      </c>
      <c r="N1079" t="b">
        <f t="shared" si="110"/>
        <v>0</v>
      </c>
    </row>
    <row r="1080" spans="1:14" x14ac:dyDescent="0.15">
      <c r="A1080" t="s">
        <v>11853</v>
      </c>
      <c r="B1080" t="s">
        <v>11856</v>
      </c>
      <c r="C1080" t="s">
        <v>12151</v>
      </c>
      <c r="D1080" t="s">
        <v>23</v>
      </c>
      <c r="E1080" t="s">
        <v>12152</v>
      </c>
      <c r="F1080" s="5">
        <v>4129000</v>
      </c>
      <c r="G1080" s="5">
        <v>4129000</v>
      </c>
      <c r="H1080" s="4">
        <v>2780800</v>
      </c>
      <c r="I1080" s="2">
        <f t="shared" si="108"/>
        <v>0.67348026156454344</v>
      </c>
      <c r="J1080" s="4">
        <v>3850000</v>
      </c>
      <c r="K1080" s="2">
        <f t="shared" si="109"/>
        <v>0.93242915960280937</v>
      </c>
      <c r="L1080" t="s">
        <v>11865</v>
      </c>
      <c r="M1080" t="s">
        <v>432</v>
      </c>
      <c r="N1080" t="b">
        <f t="shared" si="110"/>
        <v>0</v>
      </c>
    </row>
    <row r="1081" spans="1:14" x14ac:dyDescent="0.15">
      <c r="A1081" t="s">
        <v>11853</v>
      </c>
      <c r="B1081" t="s">
        <v>11856</v>
      </c>
      <c r="C1081" t="s">
        <v>12153</v>
      </c>
      <c r="D1081" t="s">
        <v>23</v>
      </c>
      <c r="E1081" t="s">
        <v>12154</v>
      </c>
      <c r="F1081" s="5">
        <v>5196000</v>
      </c>
      <c r="G1081" s="5">
        <v>5196000</v>
      </c>
      <c r="H1081" s="4">
        <v>3475000</v>
      </c>
      <c r="I1081" s="2">
        <f t="shared" si="108"/>
        <v>0.66878367975365671</v>
      </c>
      <c r="J1081" s="4">
        <v>4840000</v>
      </c>
      <c r="K1081" s="2">
        <f t="shared" si="109"/>
        <v>0.93148575827559665</v>
      </c>
      <c r="L1081" t="s">
        <v>1651</v>
      </c>
      <c r="M1081" t="s">
        <v>165</v>
      </c>
      <c r="N1081" t="b">
        <f t="shared" si="110"/>
        <v>0</v>
      </c>
    </row>
    <row r="1082" spans="1:14" x14ac:dyDescent="0.15">
      <c r="A1082" t="s">
        <v>11853</v>
      </c>
      <c r="B1082" t="s">
        <v>11856</v>
      </c>
      <c r="C1082" t="s">
        <v>12155</v>
      </c>
      <c r="D1082" t="s">
        <v>23</v>
      </c>
      <c r="E1082" t="s">
        <v>12156</v>
      </c>
      <c r="F1082" s="5">
        <v>21765000</v>
      </c>
      <c r="G1082" s="5">
        <v>21765000</v>
      </c>
      <c r="H1082" s="4">
        <v>14634000</v>
      </c>
      <c r="I1082" s="2">
        <f t="shared" si="108"/>
        <v>0.67236388697450034</v>
      </c>
      <c r="J1082" s="4">
        <v>20450000</v>
      </c>
      <c r="K1082" s="2">
        <f t="shared" si="109"/>
        <v>0.93958189754192512</v>
      </c>
      <c r="L1082" t="s">
        <v>1651</v>
      </c>
      <c r="M1082" t="s">
        <v>174</v>
      </c>
      <c r="N1082" t="b">
        <f t="shared" si="110"/>
        <v>0</v>
      </c>
    </row>
    <row r="1083" spans="1:14" x14ac:dyDescent="0.15">
      <c r="A1083" t="s">
        <v>11853</v>
      </c>
      <c r="B1083" t="s">
        <v>11859</v>
      </c>
      <c r="C1083" t="s">
        <v>11889</v>
      </c>
      <c r="D1083" t="s">
        <v>23</v>
      </c>
      <c r="E1083" t="s">
        <v>12157</v>
      </c>
      <c r="F1083" s="5">
        <v>9070000</v>
      </c>
      <c r="G1083" s="5">
        <v>9070000</v>
      </c>
      <c r="H1083" s="4">
        <v>6071400</v>
      </c>
      <c r="I1083" s="2">
        <f t="shared" si="108"/>
        <v>0.66939360529217196</v>
      </c>
      <c r="J1083" s="4">
        <v>8600000</v>
      </c>
      <c r="K1083" s="2">
        <f t="shared" si="109"/>
        <v>0.94818081587651604</v>
      </c>
      <c r="L1083" t="s">
        <v>3251</v>
      </c>
      <c r="M1083" t="s">
        <v>165</v>
      </c>
      <c r="N1083" t="b">
        <f t="shared" si="110"/>
        <v>0</v>
      </c>
    </row>
    <row r="1084" spans="1:14" x14ac:dyDescent="0.15">
      <c r="A1084" t="s">
        <v>11853</v>
      </c>
      <c r="B1084" t="s">
        <v>11859</v>
      </c>
      <c r="C1084" t="s">
        <v>11894</v>
      </c>
      <c r="D1084" t="s">
        <v>23</v>
      </c>
      <c r="E1084" t="s">
        <v>12158</v>
      </c>
      <c r="F1084" s="5">
        <v>8470000</v>
      </c>
      <c r="G1084" s="5">
        <v>8470000</v>
      </c>
      <c r="H1084" s="4">
        <v>5692600</v>
      </c>
      <c r="I1084" s="2">
        <f t="shared" si="108"/>
        <v>0.67208972845336479</v>
      </c>
      <c r="J1084" s="4">
        <v>8030000</v>
      </c>
      <c r="K1084" s="2">
        <f t="shared" si="109"/>
        <v>0.94805194805194803</v>
      </c>
      <c r="L1084" t="s">
        <v>11893</v>
      </c>
      <c r="M1084" t="s">
        <v>165</v>
      </c>
      <c r="N1084" t="b">
        <f t="shared" si="110"/>
        <v>0</v>
      </c>
    </row>
    <row r="1085" spans="1:14" x14ac:dyDescent="0.15">
      <c r="A1085" t="s">
        <v>11853</v>
      </c>
      <c r="B1085" t="s">
        <v>11859</v>
      </c>
      <c r="C1085" t="s">
        <v>11891</v>
      </c>
      <c r="D1085" t="s">
        <v>23</v>
      </c>
      <c r="E1085" t="s">
        <v>12159</v>
      </c>
      <c r="F1085" s="5">
        <v>8460000</v>
      </c>
      <c r="G1085" s="5">
        <v>8460000</v>
      </c>
      <c r="H1085" s="4">
        <v>5687600</v>
      </c>
      <c r="I1085" s="2">
        <f t="shared" si="108"/>
        <v>0.67229314420803787</v>
      </c>
      <c r="J1085" s="4">
        <v>8000000</v>
      </c>
      <c r="K1085" s="2">
        <f t="shared" si="109"/>
        <v>0.94562647754137119</v>
      </c>
      <c r="L1085" t="s">
        <v>11901</v>
      </c>
      <c r="M1085" t="s">
        <v>165</v>
      </c>
      <c r="N1085" t="b">
        <f t="shared" si="110"/>
        <v>0</v>
      </c>
    </row>
    <row r="1086" spans="1:14" x14ac:dyDescent="0.15">
      <c r="A1086" t="s">
        <v>11853</v>
      </c>
      <c r="B1086" t="s">
        <v>11859</v>
      </c>
      <c r="C1086" t="s">
        <v>11896</v>
      </c>
      <c r="D1086" t="s">
        <v>23</v>
      </c>
      <c r="E1086" t="s">
        <v>12160</v>
      </c>
      <c r="F1086" s="5">
        <v>9250000</v>
      </c>
      <c r="G1086" s="5">
        <v>9250000</v>
      </c>
      <c r="H1086" s="4">
        <v>6233500</v>
      </c>
      <c r="I1086" s="2">
        <f t="shared" si="108"/>
        <v>0.67389189189189191</v>
      </c>
      <c r="J1086" s="4">
        <v>8600000</v>
      </c>
      <c r="K1086" s="2">
        <f t="shared" si="109"/>
        <v>0.92972972972972978</v>
      </c>
      <c r="L1086" t="s">
        <v>1651</v>
      </c>
      <c r="M1086" t="s">
        <v>174</v>
      </c>
      <c r="N1086" t="b">
        <f t="shared" si="110"/>
        <v>0</v>
      </c>
    </row>
    <row r="1087" spans="1:14" x14ac:dyDescent="0.15">
      <c r="A1087" t="s">
        <v>11853</v>
      </c>
      <c r="B1087" t="s">
        <v>11859</v>
      </c>
      <c r="C1087" t="s">
        <v>11902</v>
      </c>
      <c r="D1087" t="s">
        <v>23</v>
      </c>
      <c r="E1087" t="s">
        <v>12161</v>
      </c>
      <c r="F1087" s="5">
        <v>9250000</v>
      </c>
      <c r="G1087" s="5">
        <v>9250000</v>
      </c>
      <c r="H1087" s="4">
        <v>6245600</v>
      </c>
      <c r="I1087" s="2">
        <f t="shared" si="108"/>
        <v>0.67520000000000002</v>
      </c>
      <c r="J1087" s="4">
        <v>8770000</v>
      </c>
      <c r="K1087" s="2">
        <f t="shared" si="109"/>
        <v>0.94810810810810808</v>
      </c>
      <c r="L1087" t="s">
        <v>11898</v>
      </c>
      <c r="M1087" t="s">
        <v>174</v>
      </c>
      <c r="N1087" t="b">
        <f t="shared" si="110"/>
        <v>0</v>
      </c>
    </row>
    <row r="1088" spans="1:14" x14ac:dyDescent="0.15">
      <c r="A1088" t="s">
        <v>11853</v>
      </c>
      <c r="B1088" t="s">
        <v>11859</v>
      </c>
      <c r="C1088" t="s">
        <v>11904</v>
      </c>
      <c r="D1088" t="s">
        <v>23</v>
      </c>
      <c r="E1088" t="s">
        <v>12162</v>
      </c>
      <c r="F1088" s="5">
        <v>9250000</v>
      </c>
      <c r="G1088" s="5">
        <v>9250000</v>
      </c>
      <c r="H1088" s="4">
        <v>6216900</v>
      </c>
      <c r="I1088" s="2">
        <f t="shared" si="108"/>
        <v>0.67209729729729728</v>
      </c>
      <c r="J1088" s="4">
        <v>8750000</v>
      </c>
      <c r="K1088" s="2">
        <f t="shared" si="109"/>
        <v>0.94594594594594594</v>
      </c>
      <c r="L1088" t="s">
        <v>11885</v>
      </c>
      <c r="M1088" t="s">
        <v>174</v>
      </c>
      <c r="N1088" t="b">
        <f t="shared" si="110"/>
        <v>0</v>
      </c>
    </row>
    <row r="1089" spans="1:14" x14ac:dyDescent="0.15">
      <c r="A1089" t="s">
        <v>11853</v>
      </c>
      <c r="B1089" t="s">
        <v>11859</v>
      </c>
      <c r="C1089" t="s">
        <v>11907</v>
      </c>
      <c r="D1089" t="s">
        <v>23</v>
      </c>
      <c r="E1089" t="s">
        <v>12163</v>
      </c>
      <c r="F1089" s="5">
        <v>9250000</v>
      </c>
      <c r="G1089" s="5">
        <v>9250000</v>
      </c>
      <c r="H1089" s="4">
        <v>6179900</v>
      </c>
      <c r="I1089" s="2">
        <f t="shared" si="108"/>
        <v>0.66809729729729728</v>
      </c>
      <c r="J1089" s="4">
        <v>8760000</v>
      </c>
      <c r="K1089" s="2">
        <f t="shared" si="109"/>
        <v>0.94702702702702701</v>
      </c>
      <c r="L1089" t="s">
        <v>11862</v>
      </c>
      <c r="M1089" t="s">
        <v>174</v>
      </c>
      <c r="N1089" t="b">
        <f t="shared" si="110"/>
        <v>0</v>
      </c>
    </row>
    <row r="1090" spans="1:14" x14ac:dyDescent="0.15">
      <c r="A1090" t="s">
        <v>11853</v>
      </c>
      <c r="B1090" t="s">
        <v>11856</v>
      </c>
      <c r="C1090" t="s">
        <v>11920</v>
      </c>
      <c r="D1090" t="s">
        <v>23</v>
      </c>
      <c r="E1090" t="s">
        <v>12164</v>
      </c>
      <c r="F1090" s="5">
        <v>5744000</v>
      </c>
      <c r="G1090" s="5">
        <v>5744000</v>
      </c>
      <c r="H1090" s="4">
        <v>3884600</v>
      </c>
      <c r="I1090" s="2">
        <f t="shared" si="108"/>
        <v>0.67628830083565461</v>
      </c>
      <c r="J1090" s="4">
        <v>5450000</v>
      </c>
      <c r="K1090" s="2">
        <f t="shared" si="109"/>
        <v>0.94881615598885793</v>
      </c>
      <c r="L1090" t="s">
        <v>11862</v>
      </c>
      <c r="M1090" t="s">
        <v>165</v>
      </c>
      <c r="N1090" t="b">
        <f t="shared" si="110"/>
        <v>0</v>
      </c>
    </row>
    <row r="1091" spans="1:14" x14ac:dyDescent="0.15">
      <c r="A1091" t="s">
        <v>11853</v>
      </c>
      <c r="B1091" t="s">
        <v>11856</v>
      </c>
      <c r="C1091" t="s">
        <v>12165</v>
      </c>
      <c r="D1091" t="s">
        <v>23</v>
      </c>
      <c r="E1091" t="s">
        <v>12166</v>
      </c>
      <c r="F1091" s="5">
        <v>6214000</v>
      </c>
      <c r="G1091" s="5">
        <v>6214000</v>
      </c>
      <c r="H1091" s="4">
        <v>4195600</v>
      </c>
      <c r="I1091" s="2">
        <f t="shared" si="108"/>
        <v>0.67518506598004502</v>
      </c>
      <c r="J1091" s="4">
        <v>5900000</v>
      </c>
      <c r="K1091" s="2">
        <f t="shared" si="109"/>
        <v>0.94946894110074032</v>
      </c>
      <c r="L1091" t="s">
        <v>256</v>
      </c>
      <c r="M1091" t="s">
        <v>165</v>
      </c>
      <c r="N1091" t="b">
        <f t="shared" si="110"/>
        <v>0</v>
      </c>
    </row>
    <row r="1092" spans="1:14" x14ac:dyDescent="0.15">
      <c r="A1092" t="s">
        <v>11853</v>
      </c>
      <c r="B1092" t="s">
        <v>11859</v>
      </c>
      <c r="C1092" t="s">
        <v>11899</v>
      </c>
      <c r="D1092" t="s">
        <v>23</v>
      </c>
      <c r="E1092" t="s">
        <v>12166</v>
      </c>
      <c r="F1092" s="5">
        <v>9240000</v>
      </c>
      <c r="G1092" s="5">
        <v>9240000</v>
      </c>
      <c r="H1092" s="4">
        <v>6182400</v>
      </c>
      <c r="I1092" s="2">
        <f t="shared" ref="I1092:I1155" si="111">H1092/G1092</f>
        <v>0.66909090909090907</v>
      </c>
      <c r="J1092" s="4">
        <v>8750000</v>
      </c>
      <c r="K1092" s="2">
        <f t="shared" ref="K1092:K1155" si="112">J1092/G1092</f>
        <v>0.94696969696969702</v>
      </c>
      <c r="L1092" t="s">
        <v>11906</v>
      </c>
      <c r="M1092" t="s">
        <v>174</v>
      </c>
      <c r="N1092" t="b">
        <f t="shared" ref="N1092:N1155" si="113">F1092&lt;&gt;G1092</f>
        <v>0</v>
      </c>
    </row>
    <row r="1093" spans="1:14" x14ac:dyDescent="0.15">
      <c r="A1093" t="s">
        <v>11853</v>
      </c>
      <c r="B1093" t="s">
        <v>11856</v>
      </c>
      <c r="C1093" t="s">
        <v>12167</v>
      </c>
      <c r="D1093" t="s">
        <v>23</v>
      </c>
      <c r="E1093" t="s">
        <v>12168</v>
      </c>
      <c r="F1093" s="5">
        <v>7139000</v>
      </c>
      <c r="G1093" s="5">
        <v>7139000</v>
      </c>
      <c r="H1093" s="4">
        <v>4760200</v>
      </c>
      <c r="I1093" s="2">
        <f t="shared" si="111"/>
        <v>0.66678806555539993</v>
      </c>
      <c r="J1093" s="4">
        <v>6640000</v>
      </c>
      <c r="K1093" s="2">
        <f t="shared" si="112"/>
        <v>0.93010225521781764</v>
      </c>
      <c r="L1093" t="s">
        <v>1651</v>
      </c>
      <c r="M1093" t="s">
        <v>165</v>
      </c>
      <c r="N1093" t="b">
        <f t="shared" si="113"/>
        <v>0</v>
      </c>
    </row>
    <row r="1094" spans="1:14" x14ac:dyDescent="0.15">
      <c r="A1094" t="s">
        <v>11853</v>
      </c>
      <c r="B1094" t="s">
        <v>11856</v>
      </c>
      <c r="C1094" t="s">
        <v>12169</v>
      </c>
      <c r="D1094" t="s">
        <v>23</v>
      </c>
      <c r="E1094" t="s">
        <v>12170</v>
      </c>
      <c r="F1094" s="5">
        <v>8533000</v>
      </c>
      <c r="G1094" s="5">
        <v>8533000</v>
      </c>
      <c r="H1094" s="4">
        <v>5728200</v>
      </c>
      <c r="I1094" s="2">
        <f t="shared" si="111"/>
        <v>0.67129966014297437</v>
      </c>
      <c r="J1094" s="4">
        <v>8000000</v>
      </c>
      <c r="K1094" s="2">
        <f t="shared" si="112"/>
        <v>0.93753662252431735</v>
      </c>
      <c r="L1094" t="s">
        <v>1651</v>
      </c>
      <c r="M1094" t="s">
        <v>165</v>
      </c>
      <c r="N1094" t="b">
        <f t="shared" si="113"/>
        <v>0</v>
      </c>
    </row>
    <row r="1095" spans="1:14" x14ac:dyDescent="0.15">
      <c r="A1095" t="s">
        <v>11853</v>
      </c>
      <c r="B1095" t="s">
        <v>11859</v>
      </c>
      <c r="C1095" t="s">
        <v>12171</v>
      </c>
      <c r="D1095" t="s">
        <v>23</v>
      </c>
      <c r="E1095" t="s">
        <v>12172</v>
      </c>
      <c r="F1095" s="5">
        <v>17874000</v>
      </c>
      <c r="G1095" s="5">
        <v>17874000</v>
      </c>
      <c r="H1095" s="4">
        <v>11963000</v>
      </c>
      <c r="I1095" s="2">
        <f t="shared" si="111"/>
        <v>0.66929618440192462</v>
      </c>
      <c r="J1095" s="4">
        <v>16600000</v>
      </c>
      <c r="K1095" s="2">
        <f t="shared" si="112"/>
        <v>0.92872328521875347</v>
      </c>
      <c r="L1095" t="s">
        <v>1458</v>
      </c>
      <c r="M1095" t="s">
        <v>174</v>
      </c>
      <c r="N1095" t="b">
        <f t="shared" si="113"/>
        <v>0</v>
      </c>
    </row>
    <row r="1096" spans="1:14" x14ac:dyDescent="0.15">
      <c r="A1096" t="s">
        <v>11853</v>
      </c>
      <c r="B1096" t="s">
        <v>11856</v>
      </c>
      <c r="C1096" t="s">
        <v>12037</v>
      </c>
      <c r="D1096" t="s">
        <v>23</v>
      </c>
      <c r="E1096" t="s">
        <v>12173</v>
      </c>
      <c r="F1096" s="5">
        <v>1603000</v>
      </c>
      <c r="G1096" s="5">
        <v>1603000</v>
      </c>
      <c r="H1096" s="4">
        <v>1082600</v>
      </c>
      <c r="I1096" s="2">
        <f t="shared" si="111"/>
        <v>0.67535870243293827</v>
      </c>
      <c r="J1096" s="4">
        <v>1280000</v>
      </c>
      <c r="K1096" s="2">
        <f t="shared" si="112"/>
        <v>0.79850280723643174</v>
      </c>
      <c r="L1096" t="s">
        <v>567</v>
      </c>
      <c r="M1096" t="s">
        <v>1015</v>
      </c>
      <c r="N1096" t="b">
        <f t="shared" si="113"/>
        <v>0</v>
      </c>
    </row>
    <row r="1097" spans="1:14" x14ac:dyDescent="0.15">
      <c r="A1097" t="s">
        <v>11853</v>
      </c>
      <c r="B1097" t="s">
        <v>11856</v>
      </c>
      <c r="C1097" t="s">
        <v>12174</v>
      </c>
      <c r="D1097" t="s">
        <v>23</v>
      </c>
      <c r="E1097" t="s">
        <v>12175</v>
      </c>
      <c r="F1097" s="5">
        <v>5495000</v>
      </c>
      <c r="G1097" s="5">
        <v>5495000</v>
      </c>
      <c r="H1097" s="4">
        <v>3700300</v>
      </c>
      <c r="I1097" s="2">
        <f t="shared" si="111"/>
        <v>0.67339399454049131</v>
      </c>
      <c r="J1097" s="4">
        <v>5200000</v>
      </c>
      <c r="K1097" s="2">
        <f t="shared" si="112"/>
        <v>0.94631483166515018</v>
      </c>
      <c r="L1097" t="s">
        <v>1651</v>
      </c>
      <c r="M1097" t="s">
        <v>165</v>
      </c>
      <c r="N1097" t="b">
        <f t="shared" si="113"/>
        <v>0</v>
      </c>
    </row>
    <row r="1098" spans="1:14" x14ac:dyDescent="0.15">
      <c r="A1098" t="s">
        <v>11853</v>
      </c>
      <c r="B1098" t="s">
        <v>11856</v>
      </c>
      <c r="C1098" t="s">
        <v>12055</v>
      </c>
      <c r="D1098" t="s">
        <v>23</v>
      </c>
      <c r="E1098" t="s">
        <v>12176</v>
      </c>
      <c r="F1098" s="5">
        <v>3132000</v>
      </c>
      <c r="G1098" s="5">
        <v>3132000</v>
      </c>
      <c r="H1098" s="4">
        <v>2118700</v>
      </c>
      <c r="I1098" s="2">
        <f t="shared" si="111"/>
        <v>0.67646871008939979</v>
      </c>
      <c r="J1098" s="4">
        <v>2950000</v>
      </c>
      <c r="K1098" s="2">
        <f t="shared" si="112"/>
        <v>0.94189016602809705</v>
      </c>
      <c r="L1098" t="s">
        <v>1651</v>
      </c>
      <c r="M1098" t="s">
        <v>432</v>
      </c>
      <c r="N1098" t="b">
        <f t="shared" si="113"/>
        <v>0</v>
      </c>
    </row>
    <row r="1099" spans="1:14" x14ac:dyDescent="0.15">
      <c r="A1099" t="s">
        <v>11853</v>
      </c>
      <c r="B1099" t="s">
        <v>11856</v>
      </c>
      <c r="C1099" t="s">
        <v>12177</v>
      </c>
      <c r="D1099" t="s">
        <v>23</v>
      </c>
      <c r="E1099" t="s">
        <v>12178</v>
      </c>
      <c r="F1099" s="5">
        <v>1188000</v>
      </c>
      <c r="G1099" s="5">
        <v>1188000</v>
      </c>
      <c r="H1099" s="4">
        <v>797500</v>
      </c>
      <c r="I1099" s="2">
        <f t="shared" si="111"/>
        <v>0.67129629629629628</v>
      </c>
      <c r="J1099" s="4">
        <v>1100000</v>
      </c>
      <c r="K1099" s="2">
        <f t="shared" si="112"/>
        <v>0.92592592592592593</v>
      </c>
      <c r="L1099" t="s">
        <v>1651</v>
      </c>
      <c r="M1099" t="s">
        <v>1015</v>
      </c>
      <c r="N1099" t="b">
        <f t="shared" si="113"/>
        <v>0</v>
      </c>
    </row>
    <row r="1100" spans="1:14" x14ac:dyDescent="0.15">
      <c r="A1100" t="s">
        <v>11853</v>
      </c>
      <c r="B1100" t="s">
        <v>11856</v>
      </c>
      <c r="C1100" t="s">
        <v>12179</v>
      </c>
      <c r="D1100" t="s">
        <v>15</v>
      </c>
      <c r="E1100" t="s">
        <v>12180</v>
      </c>
      <c r="F1100" s="5">
        <f>G1100</f>
        <v>195639000</v>
      </c>
      <c r="G1100" s="5">
        <v>195639000</v>
      </c>
      <c r="I1100" s="2">
        <f t="shared" si="111"/>
        <v>0</v>
      </c>
      <c r="K1100" s="2">
        <f t="shared" si="112"/>
        <v>0</v>
      </c>
      <c r="M1100" t="s">
        <v>139</v>
      </c>
      <c r="N1100" t="b">
        <f t="shared" si="113"/>
        <v>0</v>
      </c>
    </row>
    <row r="1101" spans="1:14" x14ac:dyDescent="0.15">
      <c r="A1101" t="s">
        <v>12181</v>
      </c>
      <c r="B1101" t="s">
        <v>12184</v>
      </c>
      <c r="C1101" t="s">
        <v>12182</v>
      </c>
      <c r="D1101" t="s">
        <v>23</v>
      </c>
      <c r="E1101" t="s">
        <v>12183</v>
      </c>
      <c r="F1101" s="5" t="s">
        <v>145</v>
      </c>
      <c r="G1101" s="5">
        <v>20636754</v>
      </c>
      <c r="H1101" s="4">
        <v>16561000</v>
      </c>
      <c r="I1101" s="2">
        <f t="shared" si="111"/>
        <v>0.80250023816730087</v>
      </c>
      <c r="J1101" s="4">
        <v>16561000</v>
      </c>
      <c r="K1101" s="2">
        <f t="shared" si="112"/>
        <v>0.80250023816730087</v>
      </c>
      <c r="L1101" t="s">
        <v>1384</v>
      </c>
      <c r="M1101" t="s">
        <v>482</v>
      </c>
      <c r="N1101" t="b">
        <f t="shared" si="113"/>
        <v>1</v>
      </c>
    </row>
    <row r="1102" spans="1:14" x14ac:dyDescent="0.15">
      <c r="A1102" t="s">
        <v>12181</v>
      </c>
      <c r="B1102" t="s">
        <v>12184</v>
      </c>
      <c r="C1102" t="s">
        <v>12185</v>
      </c>
      <c r="D1102" t="s">
        <v>23</v>
      </c>
      <c r="E1102" t="s">
        <v>12186</v>
      </c>
      <c r="F1102" s="5" t="s">
        <v>145</v>
      </c>
      <c r="G1102" s="5">
        <v>6974000</v>
      </c>
      <c r="H1102" s="4">
        <v>5604000</v>
      </c>
      <c r="I1102" s="2">
        <f t="shared" si="111"/>
        <v>0.80355606538571833</v>
      </c>
      <c r="J1102" s="4">
        <v>5604000</v>
      </c>
      <c r="K1102" s="2">
        <f t="shared" si="112"/>
        <v>0.80355606538571833</v>
      </c>
      <c r="L1102" t="s">
        <v>567</v>
      </c>
      <c r="M1102" t="s">
        <v>216</v>
      </c>
      <c r="N1102" t="b">
        <f t="shared" si="113"/>
        <v>1</v>
      </c>
    </row>
    <row r="1103" spans="1:14" x14ac:dyDescent="0.15">
      <c r="A1103" t="s">
        <v>12181</v>
      </c>
      <c r="B1103" t="s">
        <v>12184</v>
      </c>
      <c r="C1103" t="s">
        <v>12187</v>
      </c>
      <c r="D1103" t="s">
        <v>23</v>
      </c>
      <c r="E1103" t="s">
        <v>12188</v>
      </c>
      <c r="F1103" s="5" t="s">
        <v>145</v>
      </c>
      <c r="G1103" s="5">
        <v>1752000</v>
      </c>
      <c r="H1103" s="4">
        <v>1410000</v>
      </c>
      <c r="I1103" s="2">
        <f t="shared" si="111"/>
        <v>0.8047945205479452</v>
      </c>
      <c r="J1103" s="4">
        <v>1410000</v>
      </c>
      <c r="K1103" s="2">
        <f t="shared" si="112"/>
        <v>0.8047945205479452</v>
      </c>
      <c r="L1103" t="s">
        <v>48</v>
      </c>
      <c r="M1103" t="s">
        <v>165</v>
      </c>
      <c r="N1103" t="b">
        <f t="shared" si="113"/>
        <v>1</v>
      </c>
    </row>
    <row r="1104" spans="1:14" x14ac:dyDescent="0.15">
      <c r="A1104" t="s">
        <v>12181</v>
      </c>
      <c r="B1104" t="s">
        <v>12184</v>
      </c>
      <c r="C1104" t="s">
        <v>12189</v>
      </c>
      <c r="D1104" t="s">
        <v>23</v>
      </c>
      <c r="E1104" t="s">
        <v>12190</v>
      </c>
      <c r="F1104" s="5" t="s">
        <v>145</v>
      </c>
      <c r="G1104" s="5">
        <v>4538000</v>
      </c>
      <c r="H1104" s="4">
        <v>3534000</v>
      </c>
      <c r="I1104" s="2">
        <f t="shared" si="111"/>
        <v>0.77875716174526222</v>
      </c>
      <c r="J1104" s="4">
        <v>3534000</v>
      </c>
      <c r="K1104" s="2">
        <f t="shared" si="112"/>
        <v>0.77875716174526222</v>
      </c>
      <c r="L1104" t="s">
        <v>12191</v>
      </c>
      <c r="M1104" t="s">
        <v>165</v>
      </c>
      <c r="N1104" t="b">
        <f t="shared" si="113"/>
        <v>1</v>
      </c>
    </row>
    <row r="1105" spans="1:14" x14ac:dyDescent="0.15">
      <c r="A1105" t="s">
        <v>12181</v>
      </c>
      <c r="B1105" t="s">
        <v>12184</v>
      </c>
      <c r="C1105" t="s">
        <v>12192</v>
      </c>
      <c r="D1105" t="s">
        <v>23</v>
      </c>
      <c r="E1105" t="s">
        <v>12193</v>
      </c>
      <c r="F1105" s="5" t="s">
        <v>145</v>
      </c>
      <c r="G1105" s="5">
        <v>6617000</v>
      </c>
      <c r="H1105" s="4">
        <v>5166000</v>
      </c>
      <c r="I1105" s="2">
        <f t="shared" si="111"/>
        <v>0.78071633670847818</v>
      </c>
      <c r="J1105" s="4">
        <v>5166000</v>
      </c>
      <c r="K1105" s="2">
        <f t="shared" si="112"/>
        <v>0.78071633670847818</v>
      </c>
      <c r="L1105" t="s">
        <v>8784</v>
      </c>
      <c r="M1105" t="s">
        <v>165</v>
      </c>
      <c r="N1105" t="b">
        <f t="shared" si="113"/>
        <v>1</v>
      </c>
    </row>
    <row r="1106" spans="1:14" x14ac:dyDescent="0.15">
      <c r="A1106" t="s">
        <v>12181</v>
      </c>
      <c r="B1106" t="s">
        <v>12184</v>
      </c>
      <c r="C1106" t="s">
        <v>12194</v>
      </c>
      <c r="D1106" t="s">
        <v>23</v>
      </c>
      <c r="E1106" t="s">
        <v>12195</v>
      </c>
      <c r="F1106" s="5" t="s">
        <v>145</v>
      </c>
      <c r="G1106" s="5">
        <v>3139000</v>
      </c>
      <c r="H1106" s="4">
        <v>2448000</v>
      </c>
      <c r="I1106" s="2">
        <f t="shared" si="111"/>
        <v>0.77986619942656898</v>
      </c>
      <c r="J1106" s="4">
        <v>2540000</v>
      </c>
      <c r="K1106" s="2">
        <f t="shared" si="112"/>
        <v>0.809174896463842</v>
      </c>
      <c r="L1106" t="s">
        <v>12196</v>
      </c>
      <c r="M1106" t="s">
        <v>165</v>
      </c>
      <c r="N1106" t="b">
        <f t="shared" si="113"/>
        <v>1</v>
      </c>
    </row>
    <row r="1107" spans="1:14" x14ac:dyDescent="0.15">
      <c r="A1107" t="s">
        <v>12181</v>
      </c>
      <c r="B1107" t="s">
        <v>12184</v>
      </c>
      <c r="C1107" t="s">
        <v>12197</v>
      </c>
      <c r="D1107" t="s">
        <v>23</v>
      </c>
      <c r="E1107" t="s">
        <v>12198</v>
      </c>
      <c r="F1107" s="5" t="s">
        <v>145</v>
      </c>
      <c r="G1107" s="5">
        <v>3948000</v>
      </c>
      <c r="I1107" s="2">
        <f t="shared" si="111"/>
        <v>0</v>
      </c>
      <c r="J1107" s="4">
        <v>2910000</v>
      </c>
      <c r="K1107" s="2">
        <f t="shared" si="112"/>
        <v>0.73708206686930089</v>
      </c>
      <c r="L1107" t="s">
        <v>1078</v>
      </c>
      <c r="M1107" t="s">
        <v>126</v>
      </c>
      <c r="N1107" t="b">
        <f t="shared" si="113"/>
        <v>1</v>
      </c>
    </row>
    <row r="1108" spans="1:14" x14ac:dyDescent="0.15">
      <c r="A1108" t="s">
        <v>12181</v>
      </c>
      <c r="B1108" t="s">
        <v>12184</v>
      </c>
      <c r="C1108" t="s">
        <v>12199</v>
      </c>
      <c r="D1108" t="s">
        <v>23</v>
      </c>
      <c r="E1108" t="s">
        <v>12200</v>
      </c>
      <c r="F1108" s="5" t="s">
        <v>145</v>
      </c>
      <c r="G1108" s="5">
        <v>2230000</v>
      </c>
      <c r="H1108" s="4">
        <v>1751000</v>
      </c>
      <c r="I1108" s="2">
        <f t="shared" si="111"/>
        <v>0.78520179372197307</v>
      </c>
      <c r="J1108" s="4">
        <v>2140000</v>
      </c>
      <c r="K1108" s="2">
        <f t="shared" si="112"/>
        <v>0.95964125560538116</v>
      </c>
      <c r="L1108" t="s">
        <v>601</v>
      </c>
      <c r="M1108" t="s">
        <v>165</v>
      </c>
      <c r="N1108" t="b">
        <f t="shared" si="113"/>
        <v>1</v>
      </c>
    </row>
    <row r="1109" spans="1:14" x14ac:dyDescent="0.15">
      <c r="A1109" t="s">
        <v>12181</v>
      </c>
      <c r="B1109" t="s">
        <v>12184</v>
      </c>
      <c r="C1109" t="s">
        <v>12194</v>
      </c>
      <c r="D1109" t="s">
        <v>23</v>
      </c>
      <c r="E1109" t="s">
        <v>12201</v>
      </c>
      <c r="F1109" s="5" t="s">
        <v>145</v>
      </c>
      <c r="G1109" s="5">
        <v>2970000</v>
      </c>
      <c r="H1109" t="s">
        <v>145</v>
      </c>
      <c r="I1109" s="2" t="e">
        <f t="shared" si="111"/>
        <v>#VALUE!</v>
      </c>
      <c r="K1109" s="2">
        <f t="shared" si="112"/>
        <v>0</v>
      </c>
      <c r="M1109" t="s">
        <v>165</v>
      </c>
      <c r="N1109" t="b">
        <f t="shared" si="113"/>
        <v>1</v>
      </c>
    </row>
    <row r="1110" spans="1:14" x14ac:dyDescent="0.15">
      <c r="A1110" t="s">
        <v>12181</v>
      </c>
      <c r="B1110" t="s">
        <v>12184</v>
      </c>
      <c r="C1110" t="s">
        <v>12202</v>
      </c>
      <c r="D1110" t="s">
        <v>23</v>
      </c>
      <c r="E1110" t="s">
        <v>12203</v>
      </c>
      <c r="F1110" s="5" t="s">
        <v>145</v>
      </c>
      <c r="G1110" s="5">
        <v>2176000</v>
      </c>
      <c r="H1110" s="4">
        <v>1679000</v>
      </c>
      <c r="I1110" s="2">
        <f t="shared" si="111"/>
        <v>0.77159926470588236</v>
      </c>
      <c r="J1110" s="4">
        <v>1682000</v>
      </c>
      <c r="K1110" s="2">
        <f t="shared" si="112"/>
        <v>0.77297794117647056</v>
      </c>
      <c r="L1110" t="s">
        <v>48</v>
      </c>
      <c r="M1110" t="s">
        <v>165</v>
      </c>
      <c r="N1110" t="b">
        <f t="shared" si="113"/>
        <v>1</v>
      </c>
    </row>
    <row r="1111" spans="1:14" x14ac:dyDescent="0.15">
      <c r="A1111" t="s">
        <v>12181</v>
      </c>
      <c r="B1111" t="s">
        <v>12184</v>
      </c>
      <c r="C1111" t="s">
        <v>12204</v>
      </c>
      <c r="D1111" t="s">
        <v>23</v>
      </c>
      <c r="E1111" t="s">
        <v>12205</v>
      </c>
      <c r="F1111" s="5" t="s">
        <v>145</v>
      </c>
      <c r="G1111" s="5">
        <v>27283000</v>
      </c>
      <c r="H1111" s="4">
        <v>21904000</v>
      </c>
      <c r="I1111" s="2">
        <f t="shared" si="111"/>
        <v>0.80284426199464864</v>
      </c>
      <c r="J1111" s="4">
        <v>21904000</v>
      </c>
      <c r="K1111" s="2">
        <f t="shared" si="112"/>
        <v>0.80284426199464864</v>
      </c>
      <c r="L1111" t="s">
        <v>263</v>
      </c>
      <c r="M1111" t="s">
        <v>353</v>
      </c>
      <c r="N1111" t="b">
        <f t="shared" si="113"/>
        <v>1</v>
      </c>
    </row>
    <row r="1112" spans="1:14" x14ac:dyDescent="0.15">
      <c r="A1112" t="s">
        <v>12181</v>
      </c>
      <c r="B1112" t="s">
        <v>12184</v>
      </c>
      <c r="C1112" t="s">
        <v>12206</v>
      </c>
      <c r="D1112" t="s">
        <v>23</v>
      </c>
      <c r="E1112" t="s">
        <v>12207</v>
      </c>
      <c r="F1112" s="5" t="s">
        <v>145</v>
      </c>
      <c r="G1112" s="5">
        <v>1850000</v>
      </c>
      <c r="I1112" s="2">
        <f t="shared" si="111"/>
        <v>0</v>
      </c>
      <c r="J1112" s="4">
        <v>1750000</v>
      </c>
      <c r="K1112" s="2">
        <f t="shared" si="112"/>
        <v>0.94594594594594594</v>
      </c>
      <c r="L1112" t="s">
        <v>5186</v>
      </c>
      <c r="M1112" t="s">
        <v>80</v>
      </c>
      <c r="N1112" t="b">
        <f t="shared" si="113"/>
        <v>1</v>
      </c>
    </row>
    <row r="1113" spans="1:14" x14ac:dyDescent="0.15">
      <c r="A1113" t="s">
        <v>12181</v>
      </c>
      <c r="B1113" t="s">
        <v>12184</v>
      </c>
      <c r="C1113" t="s">
        <v>12208</v>
      </c>
      <c r="D1113" t="s">
        <v>23</v>
      </c>
      <c r="E1113" t="s">
        <v>12209</v>
      </c>
      <c r="F1113" s="5" t="s">
        <v>145</v>
      </c>
      <c r="G1113" s="5">
        <v>6235000</v>
      </c>
      <c r="H1113" s="4">
        <v>5010000</v>
      </c>
      <c r="I1113" s="2">
        <f t="shared" si="111"/>
        <v>0.80352846832397751</v>
      </c>
      <c r="J1113" s="4">
        <v>5010000</v>
      </c>
      <c r="K1113" s="2">
        <f t="shared" si="112"/>
        <v>0.80352846832397751</v>
      </c>
      <c r="L1113" t="s">
        <v>48</v>
      </c>
      <c r="M1113" t="s">
        <v>165</v>
      </c>
      <c r="N1113" t="b">
        <f t="shared" si="113"/>
        <v>1</v>
      </c>
    </row>
    <row r="1114" spans="1:14" x14ac:dyDescent="0.15">
      <c r="A1114" t="s">
        <v>12181</v>
      </c>
      <c r="B1114" t="s">
        <v>12184</v>
      </c>
      <c r="C1114" t="s">
        <v>12210</v>
      </c>
      <c r="D1114" t="s">
        <v>23</v>
      </c>
      <c r="E1114" t="s">
        <v>12211</v>
      </c>
      <c r="F1114" s="5" t="s">
        <v>145</v>
      </c>
      <c r="G1114" s="5">
        <v>1659000</v>
      </c>
      <c r="H1114" s="4">
        <v>1277000</v>
      </c>
      <c r="I1114" s="2">
        <f t="shared" si="111"/>
        <v>0.76974080771549125</v>
      </c>
      <c r="J1114" s="4">
        <v>1580000</v>
      </c>
      <c r="K1114" s="2">
        <f t="shared" si="112"/>
        <v>0.95238095238095233</v>
      </c>
      <c r="L1114" t="s">
        <v>11893</v>
      </c>
      <c r="M1114" t="s">
        <v>165</v>
      </c>
      <c r="N1114" t="b">
        <f t="shared" si="113"/>
        <v>1</v>
      </c>
    </row>
    <row r="1115" spans="1:14" x14ac:dyDescent="0.15">
      <c r="A1115" t="s">
        <v>12181</v>
      </c>
      <c r="B1115" t="s">
        <v>12184</v>
      </c>
      <c r="C1115" t="s">
        <v>12212</v>
      </c>
      <c r="D1115" t="s">
        <v>23</v>
      </c>
      <c r="E1115" t="s">
        <v>12213</v>
      </c>
      <c r="F1115" s="5" t="s">
        <v>145</v>
      </c>
      <c r="G1115" s="5">
        <v>9296000</v>
      </c>
      <c r="H1115" s="4">
        <v>7468000</v>
      </c>
      <c r="I1115" s="2">
        <f t="shared" si="111"/>
        <v>0.80335628227194489</v>
      </c>
      <c r="J1115" s="4">
        <v>7468000</v>
      </c>
      <c r="K1115" s="2">
        <f t="shared" si="112"/>
        <v>0.80335628227194489</v>
      </c>
      <c r="L1115" t="s">
        <v>271</v>
      </c>
      <c r="M1115" t="s">
        <v>80</v>
      </c>
      <c r="N1115" t="b">
        <f t="shared" si="113"/>
        <v>1</v>
      </c>
    </row>
    <row r="1116" spans="1:14" x14ac:dyDescent="0.15">
      <c r="A1116" t="s">
        <v>12181</v>
      </c>
      <c r="B1116" t="s">
        <v>12184</v>
      </c>
      <c r="C1116" t="s">
        <v>12214</v>
      </c>
      <c r="D1116" t="s">
        <v>23</v>
      </c>
      <c r="E1116" t="s">
        <v>12215</v>
      </c>
      <c r="F1116" s="5" t="s">
        <v>145</v>
      </c>
      <c r="G1116" s="5">
        <v>4286000</v>
      </c>
      <c r="I1116" s="2">
        <f t="shared" si="111"/>
        <v>0</v>
      </c>
      <c r="J1116" s="4">
        <v>2950000</v>
      </c>
      <c r="K1116" s="2">
        <f t="shared" si="112"/>
        <v>0.68828744750349979</v>
      </c>
      <c r="L1116" t="s">
        <v>12216</v>
      </c>
      <c r="M1116" t="s">
        <v>80</v>
      </c>
      <c r="N1116" t="b">
        <f t="shared" si="113"/>
        <v>1</v>
      </c>
    </row>
    <row r="1117" spans="1:14" x14ac:dyDescent="0.15">
      <c r="A1117" t="s">
        <v>12181</v>
      </c>
      <c r="B1117" t="s">
        <v>12184</v>
      </c>
      <c r="C1117" t="s">
        <v>12217</v>
      </c>
      <c r="D1117" t="s">
        <v>23</v>
      </c>
      <c r="E1117" t="s">
        <v>12218</v>
      </c>
      <c r="F1117" s="5" t="s">
        <v>145</v>
      </c>
      <c r="G1117" s="5">
        <v>12722000</v>
      </c>
      <c r="H1117" s="4">
        <v>10055000</v>
      </c>
      <c r="I1117" s="2">
        <f t="shared" si="111"/>
        <v>0.79036315044804273</v>
      </c>
      <c r="J1117" s="4">
        <v>10055000</v>
      </c>
      <c r="K1117" s="2">
        <f t="shared" si="112"/>
        <v>0.79036315044804273</v>
      </c>
      <c r="L1117" t="s">
        <v>431</v>
      </c>
      <c r="M1117" t="s">
        <v>104</v>
      </c>
      <c r="N1117" t="b">
        <f t="shared" si="113"/>
        <v>1</v>
      </c>
    </row>
    <row r="1118" spans="1:14" x14ac:dyDescent="0.15">
      <c r="A1118" t="s">
        <v>12181</v>
      </c>
      <c r="B1118" t="s">
        <v>12184</v>
      </c>
      <c r="C1118" t="s">
        <v>12219</v>
      </c>
      <c r="D1118" t="s">
        <v>23</v>
      </c>
      <c r="E1118" t="s">
        <v>12220</v>
      </c>
      <c r="F1118" s="5" t="s">
        <v>145</v>
      </c>
      <c r="G1118" s="5">
        <v>19816000</v>
      </c>
      <c r="H1118" s="4">
        <v>15971000</v>
      </c>
      <c r="I1118" s="2">
        <f t="shared" si="111"/>
        <v>0.80596487686717799</v>
      </c>
      <c r="J1118" s="4">
        <v>15971000</v>
      </c>
      <c r="K1118" s="2">
        <f t="shared" si="112"/>
        <v>0.80596487686717799</v>
      </c>
      <c r="L1118" t="s">
        <v>64</v>
      </c>
      <c r="M1118" t="s">
        <v>41</v>
      </c>
      <c r="N1118" t="b">
        <f t="shared" si="113"/>
        <v>1</v>
      </c>
    </row>
    <row r="1119" spans="1:14" x14ac:dyDescent="0.15">
      <c r="A1119" t="s">
        <v>12181</v>
      </c>
      <c r="B1119" t="s">
        <v>12184</v>
      </c>
      <c r="C1119" t="s">
        <v>12221</v>
      </c>
      <c r="D1119" t="s">
        <v>23</v>
      </c>
      <c r="E1119" t="s">
        <v>12222</v>
      </c>
      <c r="F1119" s="5" t="s">
        <v>145</v>
      </c>
      <c r="G1119" s="5">
        <v>3270000</v>
      </c>
      <c r="H1119" s="4">
        <v>2570000</v>
      </c>
      <c r="I1119" s="2">
        <f t="shared" si="111"/>
        <v>0.78593272171253825</v>
      </c>
      <c r="J1119" s="4">
        <v>2591000</v>
      </c>
      <c r="K1119" s="2">
        <f t="shared" si="112"/>
        <v>0.79235474006116213</v>
      </c>
      <c r="L1119" t="s">
        <v>48</v>
      </c>
      <c r="M1119" t="s">
        <v>165</v>
      </c>
      <c r="N1119" t="b">
        <f t="shared" si="113"/>
        <v>1</v>
      </c>
    </row>
    <row r="1120" spans="1:14" x14ac:dyDescent="0.15">
      <c r="A1120" t="s">
        <v>12181</v>
      </c>
      <c r="B1120" t="s">
        <v>12184</v>
      </c>
      <c r="C1120" t="s">
        <v>12223</v>
      </c>
      <c r="D1120" t="s">
        <v>23</v>
      </c>
      <c r="E1120" t="s">
        <v>12224</v>
      </c>
      <c r="F1120" s="5" t="s">
        <v>145</v>
      </c>
      <c r="G1120" s="5">
        <v>5819000</v>
      </c>
      <c r="H1120" s="4">
        <v>4669000</v>
      </c>
      <c r="I1120" s="2">
        <f t="shared" si="111"/>
        <v>0.80237154150197632</v>
      </c>
      <c r="J1120" s="4">
        <v>4672000</v>
      </c>
      <c r="K1120" s="2">
        <f t="shared" si="112"/>
        <v>0.80288709400240588</v>
      </c>
      <c r="L1120" t="s">
        <v>239</v>
      </c>
      <c r="M1120" t="s">
        <v>192</v>
      </c>
      <c r="N1120" t="b">
        <f t="shared" si="113"/>
        <v>1</v>
      </c>
    </row>
    <row r="1121" spans="1:14" x14ac:dyDescent="0.15">
      <c r="A1121" t="s">
        <v>12181</v>
      </c>
      <c r="B1121" t="s">
        <v>12184</v>
      </c>
      <c r="C1121" t="s">
        <v>12225</v>
      </c>
      <c r="D1121" t="s">
        <v>23</v>
      </c>
      <c r="E1121" t="s">
        <v>12226</v>
      </c>
      <c r="F1121" s="5" t="s">
        <v>145</v>
      </c>
      <c r="G1121" s="5">
        <v>17821000</v>
      </c>
      <c r="I1121" s="2">
        <f t="shared" si="111"/>
        <v>0</v>
      </c>
      <c r="J1121" s="4">
        <v>13000000</v>
      </c>
      <c r="K1121" s="2">
        <f t="shared" si="112"/>
        <v>0.72947646035576008</v>
      </c>
      <c r="L1121" t="s">
        <v>2687</v>
      </c>
      <c r="M1121" t="s">
        <v>104</v>
      </c>
      <c r="N1121" t="b">
        <f t="shared" si="113"/>
        <v>1</v>
      </c>
    </row>
    <row r="1122" spans="1:14" x14ac:dyDescent="0.15">
      <c r="A1122" t="s">
        <v>12181</v>
      </c>
      <c r="B1122" t="s">
        <v>12184</v>
      </c>
      <c r="C1122" t="s">
        <v>12227</v>
      </c>
      <c r="D1122" t="s">
        <v>23</v>
      </c>
      <c r="E1122" t="s">
        <v>12228</v>
      </c>
      <c r="F1122" s="5" t="s">
        <v>145</v>
      </c>
      <c r="G1122" s="5">
        <v>8898000</v>
      </c>
      <c r="H1122" s="4">
        <v>7148000</v>
      </c>
      <c r="I1122" s="2">
        <f t="shared" si="111"/>
        <v>0.80332659024499886</v>
      </c>
      <c r="J1122" s="4">
        <v>7148000</v>
      </c>
      <c r="K1122" s="2">
        <f t="shared" si="112"/>
        <v>0.80332659024499886</v>
      </c>
      <c r="L1122" t="s">
        <v>48</v>
      </c>
      <c r="M1122" t="s">
        <v>41</v>
      </c>
      <c r="N1122" t="b">
        <f t="shared" si="113"/>
        <v>1</v>
      </c>
    </row>
    <row r="1123" spans="1:14" x14ac:dyDescent="0.15">
      <c r="A1123" t="s">
        <v>12181</v>
      </c>
      <c r="B1123" t="s">
        <v>12184</v>
      </c>
      <c r="C1123" t="s">
        <v>12229</v>
      </c>
      <c r="D1123" t="s">
        <v>23</v>
      </c>
      <c r="E1123" t="s">
        <v>12230</v>
      </c>
      <c r="F1123" s="5" t="s">
        <v>145</v>
      </c>
      <c r="G1123" s="5">
        <v>9902000</v>
      </c>
      <c r="I1123" s="2">
        <f t="shared" si="111"/>
        <v>0</v>
      </c>
      <c r="J1123" s="4">
        <v>4700000</v>
      </c>
      <c r="K1123" s="2">
        <f t="shared" si="112"/>
        <v>0.47465158553827508</v>
      </c>
      <c r="L1123" t="s">
        <v>5186</v>
      </c>
      <c r="M1123" t="s">
        <v>104</v>
      </c>
      <c r="N1123" t="b">
        <f t="shared" si="113"/>
        <v>1</v>
      </c>
    </row>
    <row r="1124" spans="1:14" x14ac:dyDescent="0.15">
      <c r="A1124" t="s">
        <v>12181</v>
      </c>
      <c r="B1124" t="s">
        <v>12184</v>
      </c>
      <c r="C1124" t="s">
        <v>12231</v>
      </c>
      <c r="D1124" t="s">
        <v>23</v>
      </c>
      <c r="E1124" t="s">
        <v>12232</v>
      </c>
      <c r="F1124" s="5" t="s">
        <v>145</v>
      </c>
      <c r="G1124" s="5">
        <v>2189000</v>
      </c>
      <c r="H1124" s="4">
        <v>1693000</v>
      </c>
      <c r="I1124" s="2">
        <f t="shared" si="111"/>
        <v>0.77341251713111014</v>
      </c>
      <c r="J1124" s="4">
        <v>1707000</v>
      </c>
      <c r="K1124" s="2">
        <f t="shared" si="112"/>
        <v>0.77980813156692552</v>
      </c>
      <c r="L1124" t="s">
        <v>48</v>
      </c>
      <c r="M1124" t="s">
        <v>165</v>
      </c>
      <c r="N1124" t="b">
        <f t="shared" si="113"/>
        <v>1</v>
      </c>
    </row>
    <row r="1125" spans="1:14" x14ac:dyDescent="0.15">
      <c r="A1125" t="s">
        <v>12181</v>
      </c>
      <c r="B1125" t="s">
        <v>12184</v>
      </c>
      <c r="C1125" t="s">
        <v>12233</v>
      </c>
      <c r="D1125" t="s">
        <v>23</v>
      </c>
      <c r="E1125" t="s">
        <v>12234</v>
      </c>
      <c r="F1125" s="5" t="s">
        <v>145</v>
      </c>
      <c r="G1125" s="5">
        <v>2700000</v>
      </c>
      <c r="I1125" s="2">
        <f t="shared" si="111"/>
        <v>0</v>
      </c>
      <c r="J1125" s="4">
        <v>2500000</v>
      </c>
      <c r="K1125" s="2">
        <f t="shared" si="112"/>
        <v>0.92592592592592593</v>
      </c>
      <c r="L1125" t="s">
        <v>5186</v>
      </c>
      <c r="M1125" t="s">
        <v>80</v>
      </c>
      <c r="N1125" t="b">
        <f t="shared" si="113"/>
        <v>1</v>
      </c>
    </row>
    <row r="1126" spans="1:14" x14ac:dyDescent="0.15">
      <c r="A1126" t="s">
        <v>12181</v>
      </c>
      <c r="B1126" t="s">
        <v>12237</v>
      </c>
      <c r="C1126" t="s">
        <v>12235</v>
      </c>
      <c r="D1126" t="s">
        <v>23</v>
      </c>
      <c r="E1126" t="s">
        <v>12236</v>
      </c>
      <c r="F1126" s="5" t="s">
        <v>145</v>
      </c>
      <c r="G1126" s="5">
        <v>10130000</v>
      </c>
      <c r="H1126" t="s">
        <v>145</v>
      </c>
      <c r="I1126" s="2" t="e">
        <f t="shared" si="111"/>
        <v>#VALUE!</v>
      </c>
      <c r="J1126" s="4">
        <v>9870000</v>
      </c>
      <c r="K1126" s="2">
        <f t="shared" si="112"/>
        <v>0.9743336623889437</v>
      </c>
      <c r="L1126" t="s">
        <v>601</v>
      </c>
      <c r="M1126" t="s">
        <v>174</v>
      </c>
      <c r="N1126" t="b">
        <f t="shared" si="113"/>
        <v>1</v>
      </c>
    </row>
    <row r="1127" spans="1:14" x14ac:dyDescent="0.15">
      <c r="A1127" t="s">
        <v>12181</v>
      </c>
      <c r="B1127" t="s">
        <v>12184</v>
      </c>
      <c r="C1127" t="s">
        <v>12238</v>
      </c>
      <c r="D1127" t="s">
        <v>23</v>
      </c>
      <c r="E1127" t="s">
        <v>12239</v>
      </c>
      <c r="F1127" s="5" t="s">
        <v>145</v>
      </c>
      <c r="G1127" s="5">
        <v>1641000</v>
      </c>
      <c r="H1127" s="4">
        <v>1264000</v>
      </c>
      <c r="I1127" s="2">
        <f t="shared" si="111"/>
        <v>0.77026203534430226</v>
      </c>
      <c r="J1127" s="4">
        <v>1270000</v>
      </c>
      <c r="K1127" s="2">
        <f t="shared" si="112"/>
        <v>0.77391834247410118</v>
      </c>
      <c r="L1127" t="s">
        <v>12196</v>
      </c>
      <c r="M1127" t="s">
        <v>165</v>
      </c>
      <c r="N1127" t="b">
        <f t="shared" si="113"/>
        <v>1</v>
      </c>
    </row>
    <row r="1128" spans="1:14" x14ac:dyDescent="0.15">
      <c r="A1128" t="s">
        <v>12181</v>
      </c>
      <c r="B1128" t="s">
        <v>12237</v>
      </c>
      <c r="C1128" t="s">
        <v>12240</v>
      </c>
      <c r="D1128" t="s">
        <v>23</v>
      </c>
      <c r="E1128" t="s">
        <v>12241</v>
      </c>
      <c r="F1128" s="5" t="s">
        <v>145</v>
      </c>
      <c r="G1128" s="5">
        <v>4850000</v>
      </c>
      <c r="H1128" s="4">
        <v>3899000</v>
      </c>
      <c r="I1128" s="2">
        <f t="shared" si="111"/>
        <v>0.80391752577319586</v>
      </c>
      <c r="J1128" s="4">
        <v>3900000</v>
      </c>
      <c r="K1128" s="2">
        <f t="shared" si="112"/>
        <v>0.80412371134020622</v>
      </c>
      <c r="L1128" t="s">
        <v>8784</v>
      </c>
      <c r="M1128" t="s">
        <v>165</v>
      </c>
      <c r="N1128" t="b">
        <f t="shared" si="113"/>
        <v>1</v>
      </c>
    </row>
    <row r="1129" spans="1:14" x14ac:dyDescent="0.15">
      <c r="A1129" t="s">
        <v>12181</v>
      </c>
      <c r="B1129" t="s">
        <v>12184</v>
      </c>
      <c r="C1129" t="s">
        <v>12242</v>
      </c>
      <c r="D1129" t="s">
        <v>23</v>
      </c>
      <c r="E1129" t="s">
        <v>12243</v>
      </c>
      <c r="F1129" s="5" t="s">
        <v>145</v>
      </c>
      <c r="G1129" s="5">
        <v>8491000</v>
      </c>
      <c r="I1129" s="2">
        <f t="shared" si="111"/>
        <v>0</v>
      </c>
      <c r="J1129" s="4">
        <v>7700000</v>
      </c>
      <c r="K1129" s="2">
        <f t="shared" si="112"/>
        <v>0.90684253915910962</v>
      </c>
      <c r="L1129" t="s">
        <v>182</v>
      </c>
      <c r="M1129" t="s">
        <v>104</v>
      </c>
      <c r="N1129" t="b">
        <f t="shared" si="113"/>
        <v>1</v>
      </c>
    </row>
    <row r="1130" spans="1:14" x14ac:dyDescent="0.15">
      <c r="A1130" t="s">
        <v>12181</v>
      </c>
      <c r="B1130" t="s">
        <v>12184</v>
      </c>
      <c r="C1130" t="s">
        <v>12244</v>
      </c>
      <c r="D1130" t="s">
        <v>23</v>
      </c>
      <c r="E1130" t="s">
        <v>12245</v>
      </c>
      <c r="F1130" s="5" t="s">
        <v>145</v>
      </c>
      <c r="G1130" s="5">
        <v>2206000</v>
      </c>
      <c r="H1130" s="4">
        <v>1707000</v>
      </c>
      <c r="I1130" s="2">
        <f t="shared" si="111"/>
        <v>0.77379873073436078</v>
      </c>
      <c r="J1130" s="4">
        <v>1730000</v>
      </c>
      <c r="K1130" s="2">
        <f t="shared" si="112"/>
        <v>0.78422484134179515</v>
      </c>
      <c r="L1130" t="s">
        <v>12196</v>
      </c>
      <c r="M1130" t="s">
        <v>165</v>
      </c>
      <c r="N1130" t="b">
        <f t="shared" si="113"/>
        <v>1</v>
      </c>
    </row>
    <row r="1131" spans="1:14" x14ac:dyDescent="0.15">
      <c r="A1131" t="s">
        <v>12181</v>
      </c>
      <c r="B1131" t="s">
        <v>12184</v>
      </c>
      <c r="C1131" t="s">
        <v>12246</v>
      </c>
      <c r="D1131" t="s">
        <v>23</v>
      </c>
      <c r="E1131" t="s">
        <v>12247</v>
      </c>
      <c r="F1131" s="5" t="s">
        <v>145</v>
      </c>
      <c r="G1131" s="5">
        <v>3552000</v>
      </c>
      <c r="H1131" s="4">
        <v>2776000</v>
      </c>
      <c r="I1131" s="2">
        <f t="shared" si="111"/>
        <v>0.78153153153153154</v>
      </c>
      <c r="J1131" s="4">
        <v>2900000</v>
      </c>
      <c r="K1131" s="2">
        <f t="shared" si="112"/>
        <v>0.81644144144144148</v>
      </c>
      <c r="L1131" t="s">
        <v>8784</v>
      </c>
      <c r="M1131" t="s">
        <v>165</v>
      </c>
      <c r="N1131" t="b">
        <f t="shared" si="113"/>
        <v>1</v>
      </c>
    </row>
    <row r="1132" spans="1:14" x14ac:dyDescent="0.15">
      <c r="A1132" t="s">
        <v>12181</v>
      </c>
      <c r="B1132" t="s">
        <v>12237</v>
      </c>
      <c r="C1132" t="s">
        <v>12248</v>
      </c>
      <c r="D1132" t="s">
        <v>23</v>
      </c>
      <c r="E1132" t="s">
        <v>12249</v>
      </c>
      <c r="F1132" s="5" t="s">
        <v>145</v>
      </c>
      <c r="G1132" s="5">
        <v>20520000</v>
      </c>
      <c r="H1132" t="s">
        <v>145</v>
      </c>
      <c r="I1132" s="2" t="e">
        <f t="shared" si="111"/>
        <v>#VALUE!</v>
      </c>
      <c r="J1132" s="4">
        <v>18500000</v>
      </c>
      <c r="K1132" s="2">
        <f t="shared" si="112"/>
        <v>0.90155945419103312</v>
      </c>
      <c r="L1132" t="s">
        <v>10326</v>
      </c>
      <c r="M1132" t="s">
        <v>126</v>
      </c>
      <c r="N1132" t="b">
        <f t="shared" si="113"/>
        <v>1</v>
      </c>
    </row>
    <row r="1133" spans="1:14" x14ac:dyDescent="0.15">
      <c r="A1133" t="s">
        <v>12181</v>
      </c>
      <c r="B1133" t="s">
        <v>12184</v>
      </c>
      <c r="C1133" t="s">
        <v>12250</v>
      </c>
      <c r="D1133" t="s">
        <v>23</v>
      </c>
      <c r="E1133" t="s">
        <v>12251</v>
      </c>
      <c r="F1133" s="5" t="s">
        <v>145</v>
      </c>
      <c r="G1133" s="5">
        <v>1684000</v>
      </c>
      <c r="H1133" t="s">
        <v>145</v>
      </c>
      <c r="I1133" s="2" t="e">
        <f t="shared" si="111"/>
        <v>#VALUE!</v>
      </c>
      <c r="K1133" s="2">
        <f t="shared" si="112"/>
        <v>0</v>
      </c>
      <c r="M1133" t="s">
        <v>165</v>
      </c>
      <c r="N1133" t="b">
        <f t="shared" si="113"/>
        <v>1</v>
      </c>
    </row>
    <row r="1134" spans="1:14" x14ac:dyDescent="0.15">
      <c r="A1134" t="s">
        <v>12181</v>
      </c>
      <c r="B1134" t="s">
        <v>12184</v>
      </c>
      <c r="C1134" t="s">
        <v>12252</v>
      </c>
      <c r="D1134" t="s">
        <v>23</v>
      </c>
      <c r="E1134" t="s">
        <v>12253</v>
      </c>
      <c r="F1134" s="5" t="s">
        <v>145</v>
      </c>
      <c r="G1134" s="5">
        <v>6659000</v>
      </c>
      <c r="H1134" s="4">
        <v>5352000</v>
      </c>
      <c r="I1134" s="2">
        <f t="shared" si="111"/>
        <v>0.80372428292536413</v>
      </c>
      <c r="J1134" s="4">
        <v>5352000</v>
      </c>
      <c r="K1134" s="2">
        <f t="shared" si="112"/>
        <v>0.80372428292536413</v>
      </c>
      <c r="L1134" t="s">
        <v>64</v>
      </c>
      <c r="M1134" t="s">
        <v>80</v>
      </c>
      <c r="N1134" t="b">
        <f t="shared" si="113"/>
        <v>1</v>
      </c>
    </row>
    <row r="1135" spans="1:14" x14ac:dyDescent="0.15">
      <c r="A1135" t="s">
        <v>12181</v>
      </c>
      <c r="B1135" t="s">
        <v>12184</v>
      </c>
      <c r="C1135" t="s">
        <v>12254</v>
      </c>
      <c r="D1135" t="s">
        <v>23</v>
      </c>
      <c r="E1135" t="s">
        <v>12255</v>
      </c>
      <c r="F1135" s="5" t="s">
        <v>145</v>
      </c>
      <c r="G1135" s="5">
        <v>4011000</v>
      </c>
      <c r="H1135" s="4">
        <v>3122000</v>
      </c>
      <c r="I1135" s="2">
        <f t="shared" si="111"/>
        <v>0.77835951134380454</v>
      </c>
      <c r="J1135" s="4">
        <v>3130000</v>
      </c>
      <c r="K1135" s="2">
        <f t="shared" si="112"/>
        <v>0.78035402642732488</v>
      </c>
      <c r="L1135" t="s">
        <v>48</v>
      </c>
      <c r="M1135" t="s">
        <v>165</v>
      </c>
      <c r="N1135" t="b">
        <f t="shared" si="113"/>
        <v>1</v>
      </c>
    </row>
    <row r="1136" spans="1:14" x14ac:dyDescent="0.15">
      <c r="A1136" t="s">
        <v>12181</v>
      </c>
      <c r="B1136" t="s">
        <v>12184</v>
      </c>
      <c r="C1136" t="s">
        <v>12256</v>
      </c>
      <c r="D1136" t="s">
        <v>23</v>
      </c>
      <c r="E1136" t="s">
        <v>12257</v>
      </c>
      <c r="F1136" s="5" t="s">
        <v>145</v>
      </c>
      <c r="G1136" s="5">
        <v>3517000</v>
      </c>
      <c r="H1136" s="4">
        <v>2730000</v>
      </c>
      <c r="I1136" s="2">
        <f t="shared" si="111"/>
        <v>0.77622974125675293</v>
      </c>
      <c r="J1136" s="4">
        <v>2744000</v>
      </c>
      <c r="K1136" s="2">
        <f t="shared" si="112"/>
        <v>0.78021040659653118</v>
      </c>
      <c r="L1136" t="s">
        <v>48</v>
      </c>
      <c r="M1136" t="s">
        <v>165</v>
      </c>
      <c r="N1136" t="b">
        <f t="shared" si="113"/>
        <v>1</v>
      </c>
    </row>
    <row r="1137" spans="1:14" x14ac:dyDescent="0.15">
      <c r="A1137" t="s">
        <v>12181</v>
      </c>
      <c r="B1137" t="s">
        <v>12184</v>
      </c>
      <c r="C1137" t="s">
        <v>12258</v>
      </c>
      <c r="D1137" t="s">
        <v>23</v>
      </c>
      <c r="E1137" t="s">
        <v>12259</v>
      </c>
      <c r="F1137" s="5" t="s">
        <v>145</v>
      </c>
      <c r="G1137" s="5">
        <v>3300000</v>
      </c>
      <c r="H1137" s="4">
        <v>2573000</v>
      </c>
      <c r="I1137" s="2">
        <f t="shared" si="111"/>
        <v>0.77969696969696967</v>
      </c>
      <c r="J1137" s="4">
        <v>2574000</v>
      </c>
      <c r="K1137" s="2">
        <f t="shared" si="112"/>
        <v>0.78</v>
      </c>
      <c r="L1137" t="s">
        <v>48</v>
      </c>
      <c r="M1137" t="s">
        <v>165</v>
      </c>
      <c r="N1137" t="b">
        <f t="shared" si="113"/>
        <v>1</v>
      </c>
    </row>
    <row r="1138" spans="1:14" x14ac:dyDescent="0.15">
      <c r="A1138" t="s">
        <v>12181</v>
      </c>
      <c r="B1138" t="s">
        <v>12184</v>
      </c>
      <c r="C1138" t="s">
        <v>12260</v>
      </c>
      <c r="D1138" t="s">
        <v>23</v>
      </c>
      <c r="E1138" t="s">
        <v>12261</v>
      </c>
      <c r="F1138" s="5" t="s">
        <v>145</v>
      </c>
      <c r="G1138" s="5">
        <v>2256000</v>
      </c>
      <c r="H1138" t="s">
        <v>145</v>
      </c>
      <c r="I1138" s="2" t="e">
        <f t="shared" si="111"/>
        <v>#VALUE!</v>
      </c>
      <c r="K1138" s="2">
        <f t="shared" si="112"/>
        <v>0</v>
      </c>
      <c r="M1138" t="s">
        <v>165</v>
      </c>
      <c r="N1138" t="b">
        <f t="shared" si="113"/>
        <v>1</v>
      </c>
    </row>
    <row r="1139" spans="1:14" x14ac:dyDescent="0.15">
      <c r="A1139" t="s">
        <v>12181</v>
      </c>
      <c r="B1139" t="s">
        <v>12184</v>
      </c>
      <c r="C1139" t="s">
        <v>12262</v>
      </c>
      <c r="D1139" t="s">
        <v>23</v>
      </c>
      <c r="E1139" t="s">
        <v>12263</v>
      </c>
      <c r="F1139" s="5" t="s">
        <v>145</v>
      </c>
      <c r="G1139" s="5">
        <v>3557000</v>
      </c>
      <c r="H1139" s="4">
        <v>2861000</v>
      </c>
      <c r="I1139" s="2">
        <f t="shared" si="111"/>
        <v>0.8043294911442227</v>
      </c>
      <c r="J1139" s="4">
        <v>2861000</v>
      </c>
      <c r="K1139" s="2">
        <f t="shared" si="112"/>
        <v>0.8043294911442227</v>
      </c>
      <c r="L1139" t="s">
        <v>12191</v>
      </c>
      <c r="M1139" t="s">
        <v>165</v>
      </c>
      <c r="N1139" t="b">
        <f t="shared" si="113"/>
        <v>1</v>
      </c>
    </row>
    <row r="1140" spans="1:14" x14ac:dyDescent="0.15">
      <c r="A1140" t="s">
        <v>12181</v>
      </c>
      <c r="B1140" t="s">
        <v>12184</v>
      </c>
      <c r="C1140" t="s">
        <v>12264</v>
      </c>
      <c r="D1140" t="s">
        <v>23</v>
      </c>
      <c r="E1140" t="s">
        <v>12265</v>
      </c>
      <c r="F1140" s="5" t="s">
        <v>145</v>
      </c>
      <c r="G1140" s="5">
        <v>1519000</v>
      </c>
      <c r="H1140" s="4">
        <v>1194000</v>
      </c>
      <c r="I1140" s="2">
        <f t="shared" si="111"/>
        <v>0.78604344963791972</v>
      </c>
      <c r="J1140" s="4">
        <v>1207000</v>
      </c>
      <c r="K1140" s="2">
        <f t="shared" si="112"/>
        <v>0.7946017116524029</v>
      </c>
      <c r="L1140" t="s">
        <v>48</v>
      </c>
      <c r="M1140" t="s">
        <v>165</v>
      </c>
      <c r="N1140" t="b">
        <f t="shared" si="113"/>
        <v>1</v>
      </c>
    </row>
    <row r="1141" spans="1:14" x14ac:dyDescent="0.15">
      <c r="A1141" t="s">
        <v>12181</v>
      </c>
      <c r="B1141" t="s">
        <v>12184</v>
      </c>
      <c r="C1141" t="s">
        <v>12266</v>
      </c>
      <c r="D1141" t="s">
        <v>23</v>
      </c>
      <c r="E1141" t="s">
        <v>12267</v>
      </c>
      <c r="F1141" s="5" t="s">
        <v>145</v>
      </c>
      <c r="G1141" s="5">
        <v>1365000</v>
      </c>
      <c r="H1141" s="4">
        <v>1099000</v>
      </c>
      <c r="I1141" s="2">
        <f t="shared" si="111"/>
        <v>0.80512820512820515</v>
      </c>
      <c r="J1141" s="4">
        <v>1280000</v>
      </c>
      <c r="K1141" s="2">
        <f t="shared" si="112"/>
        <v>0.93772893772893773</v>
      </c>
      <c r="L1141" t="s">
        <v>11893</v>
      </c>
      <c r="M1141" t="s">
        <v>165</v>
      </c>
      <c r="N1141" t="b">
        <f t="shared" si="113"/>
        <v>1</v>
      </c>
    </row>
    <row r="1142" spans="1:14" x14ac:dyDescent="0.15">
      <c r="A1142" t="s">
        <v>12181</v>
      </c>
      <c r="B1142" t="s">
        <v>12184</v>
      </c>
      <c r="C1142" t="s">
        <v>12268</v>
      </c>
      <c r="D1142" t="s">
        <v>23</v>
      </c>
      <c r="E1142" t="s">
        <v>12269</v>
      </c>
      <c r="F1142" s="5" t="s">
        <v>145</v>
      </c>
      <c r="G1142" s="5">
        <v>4262000</v>
      </c>
      <c r="H1142" s="4">
        <v>3352000</v>
      </c>
      <c r="I1142" s="2">
        <f t="shared" si="111"/>
        <v>0.78648521820741435</v>
      </c>
      <c r="J1142" s="4">
        <v>3400000</v>
      </c>
      <c r="K1142" s="2">
        <f t="shared" si="112"/>
        <v>0.79774753636790241</v>
      </c>
      <c r="L1142" t="s">
        <v>48</v>
      </c>
      <c r="M1142" t="s">
        <v>165</v>
      </c>
      <c r="N1142" t="b">
        <f t="shared" si="113"/>
        <v>1</v>
      </c>
    </row>
    <row r="1143" spans="1:14" x14ac:dyDescent="0.15">
      <c r="A1143" t="s">
        <v>12181</v>
      </c>
      <c r="B1143" t="s">
        <v>12184</v>
      </c>
      <c r="C1143" t="s">
        <v>12270</v>
      </c>
      <c r="D1143" t="s">
        <v>23</v>
      </c>
      <c r="E1143" t="s">
        <v>12271</v>
      </c>
      <c r="F1143" s="5" t="s">
        <v>145</v>
      </c>
      <c r="G1143" s="5">
        <v>7340000</v>
      </c>
      <c r="H1143" s="4">
        <v>5896000</v>
      </c>
      <c r="I1143" s="2">
        <f t="shared" si="111"/>
        <v>0.80326975476839235</v>
      </c>
      <c r="J1143" s="4">
        <v>5896000</v>
      </c>
      <c r="K1143" s="2">
        <f t="shared" si="112"/>
        <v>0.80326975476839235</v>
      </c>
      <c r="L1143" t="s">
        <v>64</v>
      </c>
      <c r="M1143" t="s">
        <v>104</v>
      </c>
      <c r="N1143" t="b">
        <f t="shared" si="113"/>
        <v>1</v>
      </c>
    </row>
    <row r="1144" spans="1:14" x14ac:dyDescent="0.15">
      <c r="A1144" t="s">
        <v>12181</v>
      </c>
      <c r="B1144" t="s">
        <v>12184</v>
      </c>
      <c r="C1144" t="s">
        <v>12272</v>
      </c>
      <c r="D1144" t="s">
        <v>23</v>
      </c>
      <c r="E1144" t="s">
        <v>12273</v>
      </c>
      <c r="F1144" s="5" t="s">
        <v>145</v>
      </c>
      <c r="G1144" s="5">
        <v>10803000</v>
      </c>
      <c r="H1144" s="4">
        <v>8715000</v>
      </c>
      <c r="I1144" s="2">
        <f t="shared" si="111"/>
        <v>0.80672035545681753</v>
      </c>
      <c r="J1144" s="4">
        <v>8715000</v>
      </c>
      <c r="K1144" s="2">
        <f t="shared" si="112"/>
        <v>0.80672035545681753</v>
      </c>
      <c r="L1144" t="s">
        <v>48</v>
      </c>
      <c r="M1144" t="s">
        <v>104</v>
      </c>
      <c r="N1144" t="b">
        <f t="shared" si="113"/>
        <v>1</v>
      </c>
    </row>
    <row r="1145" spans="1:14" x14ac:dyDescent="0.15">
      <c r="A1145" t="s">
        <v>12181</v>
      </c>
      <c r="B1145" t="s">
        <v>12184</v>
      </c>
      <c r="C1145" t="s">
        <v>12262</v>
      </c>
      <c r="D1145" t="s">
        <v>23</v>
      </c>
      <c r="E1145" t="s">
        <v>12274</v>
      </c>
      <c r="F1145" s="5" t="s">
        <v>145</v>
      </c>
      <c r="G1145" s="5">
        <v>2636000</v>
      </c>
      <c r="H1145" s="4">
        <v>2115000</v>
      </c>
      <c r="I1145" s="2">
        <f t="shared" si="111"/>
        <v>0.8023520485584219</v>
      </c>
      <c r="J1145" s="4">
        <v>2500000</v>
      </c>
      <c r="K1145" s="2">
        <f t="shared" si="112"/>
        <v>0.9484066767830045</v>
      </c>
      <c r="L1145" t="s">
        <v>48</v>
      </c>
      <c r="M1145" t="s">
        <v>165</v>
      </c>
      <c r="N1145" t="b">
        <f t="shared" si="113"/>
        <v>1</v>
      </c>
    </row>
    <row r="1146" spans="1:14" x14ac:dyDescent="0.15">
      <c r="A1146" t="s">
        <v>12181</v>
      </c>
      <c r="B1146" t="s">
        <v>12184</v>
      </c>
      <c r="C1146" t="s">
        <v>12275</v>
      </c>
      <c r="D1146" t="s">
        <v>23</v>
      </c>
      <c r="E1146" t="s">
        <v>12064</v>
      </c>
      <c r="F1146" s="5" t="s">
        <v>145</v>
      </c>
      <c r="G1146" s="5">
        <v>29503000</v>
      </c>
      <c r="H1146" s="4">
        <v>23685000</v>
      </c>
      <c r="I1146" s="2">
        <f t="shared" si="111"/>
        <v>0.8027997152831915</v>
      </c>
      <c r="J1146" s="4">
        <v>23685000</v>
      </c>
      <c r="K1146" s="2">
        <f t="shared" si="112"/>
        <v>0.8027997152831915</v>
      </c>
      <c r="L1146" t="s">
        <v>263</v>
      </c>
      <c r="M1146" t="s">
        <v>104</v>
      </c>
      <c r="N1146" t="b">
        <f t="shared" si="113"/>
        <v>1</v>
      </c>
    </row>
    <row r="1147" spans="1:14" x14ac:dyDescent="0.15">
      <c r="A1147" t="s">
        <v>12181</v>
      </c>
      <c r="B1147" t="s">
        <v>12184</v>
      </c>
      <c r="C1147" t="s">
        <v>12276</v>
      </c>
      <c r="D1147" t="s">
        <v>23</v>
      </c>
      <c r="E1147" t="s">
        <v>12277</v>
      </c>
      <c r="F1147" s="5" t="s">
        <v>145</v>
      </c>
      <c r="G1147" s="5">
        <v>2295000</v>
      </c>
      <c r="H1147" s="4">
        <v>1794000</v>
      </c>
      <c r="I1147" s="2">
        <f t="shared" si="111"/>
        <v>0.78169934640522876</v>
      </c>
      <c r="J1147" s="4">
        <v>2180000</v>
      </c>
      <c r="K1147" s="2">
        <f t="shared" si="112"/>
        <v>0.94989106753812635</v>
      </c>
      <c r="L1147" t="s">
        <v>48</v>
      </c>
      <c r="M1147" t="s">
        <v>165</v>
      </c>
      <c r="N1147" t="b">
        <f t="shared" si="113"/>
        <v>1</v>
      </c>
    </row>
    <row r="1148" spans="1:14" x14ac:dyDescent="0.15">
      <c r="A1148" t="s">
        <v>12181</v>
      </c>
      <c r="B1148" t="s">
        <v>12184</v>
      </c>
      <c r="C1148" t="s">
        <v>11762</v>
      </c>
      <c r="D1148" t="s">
        <v>23</v>
      </c>
      <c r="E1148" t="s">
        <v>12278</v>
      </c>
      <c r="F1148" s="5" t="s">
        <v>145</v>
      </c>
      <c r="G1148" s="5">
        <v>2199000</v>
      </c>
      <c r="I1148" s="2">
        <f t="shared" si="111"/>
        <v>0</v>
      </c>
      <c r="J1148" s="4">
        <v>1687000</v>
      </c>
      <c r="K1148" s="2">
        <f t="shared" si="112"/>
        <v>0.76716689404274674</v>
      </c>
      <c r="L1148" t="s">
        <v>1078</v>
      </c>
      <c r="M1148" t="s">
        <v>192</v>
      </c>
      <c r="N1148" t="b">
        <f t="shared" si="113"/>
        <v>1</v>
      </c>
    </row>
    <row r="1149" spans="1:14" x14ac:dyDescent="0.15">
      <c r="A1149" t="s">
        <v>12181</v>
      </c>
      <c r="B1149" t="s">
        <v>12184</v>
      </c>
      <c r="C1149" t="s">
        <v>12279</v>
      </c>
      <c r="D1149" t="s">
        <v>23</v>
      </c>
      <c r="E1149" t="s">
        <v>12280</v>
      </c>
      <c r="F1149" s="5" t="s">
        <v>145</v>
      </c>
      <c r="G1149" s="5">
        <v>15894000</v>
      </c>
      <c r="I1149" s="2">
        <f t="shared" si="111"/>
        <v>0</v>
      </c>
      <c r="J1149" s="4">
        <v>12700000</v>
      </c>
      <c r="K1149" s="2">
        <f t="shared" si="112"/>
        <v>0.7990436642758274</v>
      </c>
      <c r="L1149" t="s">
        <v>173</v>
      </c>
      <c r="M1149" t="s">
        <v>41</v>
      </c>
      <c r="N1149" t="b">
        <f t="shared" si="113"/>
        <v>1</v>
      </c>
    </row>
    <row r="1150" spans="1:14" x14ac:dyDescent="0.15">
      <c r="A1150" t="s">
        <v>12181</v>
      </c>
      <c r="B1150" t="s">
        <v>12184</v>
      </c>
      <c r="C1150" t="s">
        <v>12281</v>
      </c>
      <c r="D1150" t="s">
        <v>23</v>
      </c>
      <c r="E1150" t="s">
        <v>12282</v>
      </c>
      <c r="F1150" s="5" t="s">
        <v>145</v>
      </c>
      <c r="G1150" s="5">
        <v>1073000</v>
      </c>
      <c r="H1150" s="4">
        <v>861000</v>
      </c>
      <c r="I1150" s="2">
        <f t="shared" si="111"/>
        <v>0.80242311276794032</v>
      </c>
      <c r="J1150" s="4">
        <v>1051000</v>
      </c>
      <c r="K1150" s="2">
        <f t="shared" si="112"/>
        <v>0.97949673811742777</v>
      </c>
      <c r="L1150" t="s">
        <v>48</v>
      </c>
      <c r="M1150" t="s">
        <v>165</v>
      </c>
      <c r="N1150" t="b">
        <f t="shared" si="113"/>
        <v>1</v>
      </c>
    </row>
    <row r="1151" spans="1:14" x14ac:dyDescent="0.15">
      <c r="A1151" t="s">
        <v>12181</v>
      </c>
      <c r="B1151" t="s">
        <v>12184</v>
      </c>
      <c r="C1151" t="s">
        <v>12283</v>
      </c>
      <c r="D1151" t="s">
        <v>23</v>
      </c>
      <c r="E1151" t="s">
        <v>12284</v>
      </c>
      <c r="F1151" s="5" t="s">
        <v>145</v>
      </c>
      <c r="G1151" s="5">
        <v>687000</v>
      </c>
      <c r="H1151" s="4">
        <v>551000</v>
      </c>
      <c r="I1151" s="2">
        <f t="shared" si="111"/>
        <v>0.80203784570596792</v>
      </c>
      <c r="J1151" s="4">
        <v>687000</v>
      </c>
      <c r="K1151" s="2">
        <f t="shared" si="112"/>
        <v>1</v>
      </c>
      <c r="L1151" t="s">
        <v>12191</v>
      </c>
      <c r="M1151" t="s">
        <v>165</v>
      </c>
      <c r="N1151" t="b">
        <f t="shared" si="113"/>
        <v>1</v>
      </c>
    </row>
    <row r="1152" spans="1:14" x14ac:dyDescent="0.15">
      <c r="A1152" t="s">
        <v>12181</v>
      </c>
      <c r="B1152" t="s">
        <v>12184</v>
      </c>
      <c r="C1152" t="s">
        <v>12285</v>
      </c>
      <c r="D1152" t="s">
        <v>23</v>
      </c>
      <c r="E1152" t="s">
        <v>12286</v>
      </c>
      <c r="F1152" s="5" t="s">
        <v>145</v>
      </c>
      <c r="G1152" s="5">
        <v>1930000</v>
      </c>
      <c r="I1152" s="2">
        <f t="shared" si="111"/>
        <v>0</v>
      </c>
      <c r="J1152" s="4">
        <v>1830000</v>
      </c>
      <c r="K1152" s="2">
        <f t="shared" si="112"/>
        <v>0.94818652849740936</v>
      </c>
      <c r="L1152" t="s">
        <v>12287</v>
      </c>
      <c r="M1152" t="s">
        <v>165</v>
      </c>
      <c r="N1152" t="b">
        <f t="shared" si="113"/>
        <v>1</v>
      </c>
    </row>
    <row r="1153" spans="1:14" x14ac:dyDescent="0.15">
      <c r="A1153" t="s">
        <v>12181</v>
      </c>
      <c r="B1153" t="s">
        <v>12184</v>
      </c>
      <c r="C1153" t="s">
        <v>12288</v>
      </c>
      <c r="D1153" t="s">
        <v>23</v>
      </c>
      <c r="E1153" t="s">
        <v>12289</v>
      </c>
      <c r="F1153" s="5" t="s">
        <v>145</v>
      </c>
      <c r="G1153" s="5">
        <v>9868000</v>
      </c>
      <c r="H1153" s="4">
        <v>7942000</v>
      </c>
      <c r="I1153" s="2">
        <f t="shared" si="111"/>
        <v>0.80482367247669229</v>
      </c>
      <c r="J1153" s="4">
        <v>7942000</v>
      </c>
      <c r="K1153" s="2">
        <f t="shared" si="112"/>
        <v>0.80482367247669229</v>
      </c>
      <c r="L1153" t="s">
        <v>239</v>
      </c>
      <c r="M1153" t="s">
        <v>80</v>
      </c>
      <c r="N1153" t="b">
        <f t="shared" si="113"/>
        <v>1</v>
      </c>
    </row>
    <row r="1154" spans="1:14" x14ac:dyDescent="0.15">
      <c r="A1154" t="s">
        <v>12181</v>
      </c>
      <c r="B1154" t="s">
        <v>12184</v>
      </c>
      <c r="C1154" t="s">
        <v>12290</v>
      </c>
      <c r="D1154" t="s">
        <v>23</v>
      </c>
      <c r="E1154" t="s">
        <v>12291</v>
      </c>
      <c r="F1154" s="5" t="s">
        <v>145</v>
      </c>
      <c r="G1154" s="5">
        <v>1834000</v>
      </c>
      <c r="H1154" s="4">
        <v>1426000</v>
      </c>
      <c r="I1154" s="2">
        <f t="shared" si="111"/>
        <v>0.77753544165757904</v>
      </c>
      <c r="J1154" s="4">
        <v>1650000</v>
      </c>
      <c r="K1154" s="2">
        <f t="shared" si="112"/>
        <v>0.89967284623773169</v>
      </c>
      <c r="L1154" t="s">
        <v>48</v>
      </c>
      <c r="M1154" t="s">
        <v>165</v>
      </c>
      <c r="N1154" t="b">
        <f t="shared" si="113"/>
        <v>1</v>
      </c>
    </row>
    <row r="1155" spans="1:14" x14ac:dyDescent="0.15">
      <c r="A1155" t="s">
        <v>12181</v>
      </c>
      <c r="B1155" t="s">
        <v>12237</v>
      </c>
      <c r="C1155" t="s">
        <v>12292</v>
      </c>
      <c r="D1155" t="s">
        <v>23</v>
      </c>
      <c r="E1155" t="s">
        <v>12293</v>
      </c>
      <c r="F1155" s="5" t="s">
        <v>145</v>
      </c>
      <c r="G1155" s="5">
        <v>6409000</v>
      </c>
      <c r="H1155" s="4">
        <v>5150000</v>
      </c>
      <c r="I1155" s="2">
        <f t="shared" si="111"/>
        <v>0.80355749726946479</v>
      </c>
      <c r="J1155" s="4">
        <v>5150000</v>
      </c>
      <c r="K1155" s="2">
        <f t="shared" si="112"/>
        <v>0.80355749726946479</v>
      </c>
      <c r="L1155" t="s">
        <v>48</v>
      </c>
      <c r="M1155" t="s">
        <v>165</v>
      </c>
      <c r="N1155" t="b">
        <f t="shared" si="113"/>
        <v>1</v>
      </c>
    </row>
    <row r="1156" spans="1:14" x14ac:dyDescent="0.15">
      <c r="A1156" t="s">
        <v>12181</v>
      </c>
      <c r="B1156" t="s">
        <v>12237</v>
      </c>
      <c r="C1156" t="s">
        <v>12294</v>
      </c>
      <c r="D1156" t="s">
        <v>23</v>
      </c>
      <c r="E1156" t="s">
        <v>12295</v>
      </c>
      <c r="F1156" s="5" t="s">
        <v>145</v>
      </c>
      <c r="G1156" s="5">
        <v>7129000</v>
      </c>
      <c r="H1156" s="4">
        <v>5728000</v>
      </c>
      <c r="I1156" s="2">
        <f t="shared" ref="I1156:I1219" si="114">H1156/G1156</f>
        <v>0.80347874877261893</v>
      </c>
      <c r="J1156" s="4">
        <v>5728000</v>
      </c>
      <c r="K1156" s="2">
        <f t="shared" ref="K1156:K1219" si="115">J1156/G1156</f>
        <v>0.80347874877261893</v>
      </c>
      <c r="L1156" t="s">
        <v>12191</v>
      </c>
      <c r="M1156" t="s">
        <v>165</v>
      </c>
      <c r="N1156" t="b">
        <f t="shared" ref="N1156:N1219" si="116">F1156&lt;&gt;G1156</f>
        <v>1</v>
      </c>
    </row>
    <row r="1157" spans="1:14" x14ac:dyDescent="0.15">
      <c r="A1157" t="s">
        <v>12181</v>
      </c>
      <c r="B1157" t="s">
        <v>12237</v>
      </c>
      <c r="C1157" t="s">
        <v>12296</v>
      </c>
      <c r="D1157" t="s">
        <v>23</v>
      </c>
      <c r="E1157" t="s">
        <v>12297</v>
      </c>
      <c r="F1157" s="5" t="s">
        <v>145</v>
      </c>
      <c r="G1157" s="5">
        <v>5590000</v>
      </c>
      <c r="H1157" s="4">
        <v>4493000</v>
      </c>
      <c r="I1157" s="2">
        <f t="shared" si="114"/>
        <v>0.80375670840787117</v>
      </c>
      <c r="J1157" s="4">
        <v>4500000</v>
      </c>
      <c r="K1157" s="2">
        <f t="shared" si="115"/>
        <v>0.80500894454382832</v>
      </c>
      <c r="L1157" t="s">
        <v>8784</v>
      </c>
      <c r="M1157" t="s">
        <v>165</v>
      </c>
      <c r="N1157" t="b">
        <f t="shared" si="116"/>
        <v>1</v>
      </c>
    </row>
    <row r="1158" spans="1:14" x14ac:dyDescent="0.15">
      <c r="A1158" t="s">
        <v>12181</v>
      </c>
      <c r="B1158" t="s">
        <v>12184</v>
      </c>
      <c r="C1158" t="s">
        <v>12298</v>
      </c>
      <c r="D1158" t="s">
        <v>23</v>
      </c>
      <c r="E1158" t="s">
        <v>12299</v>
      </c>
      <c r="F1158" s="5" t="s">
        <v>145</v>
      </c>
      <c r="G1158" s="5">
        <v>15720000</v>
      </c>
      <c r="H1158" s="4">
        <v>12627000</v>
      </c>
      <c r="I1158" s="2">
        <f t="shared" si="114"/>
        <v>0.80324427480916027</v>
      </c>
      <c r="J1158" s="4">
        <v>12627000</v>
      </c>
      <c r="K1158" s="2">
        <f t="shared" si="115"/>
        <v>0.80324427480916027</v>
      </c>
      <c r="L1158" t="s">
        <v>263</v>
      </c>
      <c r="M1158" t="s">
        <v>353</v>
      </c>
      <c r="N1158" t="b">
        <f t="shared" si="116"/>
        <v>1</v>
      </c>
    </row>
    <row r="1159" spans="1:14" x14ac:dyDescent="0.15">
      <c r="A1159" t="s">
        <v>12181</v>
      </c>
      <c r="B1159" t="s">
        <v>12184</v>
      </c>
      <c r="C1159" t="s">
        <v>12300</v>
      </c>
      <c r="D1159" t="s">
        <v>23</v>
      </c>
      <c r="E1159" t="s">
        <v>12301</v>
      </c>
      <c r="F1159" s="5" t="s">
        <v>145</v>
      </c>
      <c r="G1159" s="5">
        <v>2318000</v>
      </c>
      <c r="H1159" s="4">
        <v>1808000</v>
      </c>
      <c r="I1159" s="2">
        <f t="shared" si="114"/>
        <v>0.77998274374460741</v>
      </c>
      <c r="J1159" s="4">
        <v>1860000</v>
      </c>
      <c r="K1159" s="2">
        <f t="shared" si="115"/>
        <v>0.80241587575496121</v>
      </c>
      <c r="L1159" t="s">
        <v>48</v>
      </c>
      <c r="M1159" t="s">
        <v>165</v>
      </c>
      <c r="N1159" t="b">
        <f t="shared" si="116"/>
        <v>1</v>
      </c>
    </row>
    <row r="1160" spans="1:14" x14ac:dyDescent="0.15">
      <c r="A1160" t="s">
        <v>12181</v>
      </c>
      <c r="B1160" t="s">
        <v>12184</v>
      </c>
      <c r="C1160" t="s">
        <v>12246</v>
      </c>
      <c r="D1160" t="s">
        <v>23</v>
      </c>
      <c r="E1160" t="s">
        <v>12302</v>
      </c>
      <c r="F1160" s="5" t="s">
        <v>145</v>
      </c>
      <c r="G1160" s="5">
        <v>2921000</v>
      </c>
      <c r="H1160" s="4">
        <v>2286000</v>
      </c>
      <c r="I1160" s="2">
        <f t="shared" si="114"/>
        <v>0.78260869565217395</v>
      </c>
      <c r="J1160" s="4">
        <v>2344000</v>
      </c>
      <c r="K1160" s="2">
        <f t="shared" si="115"/>
        <v>0.80246490927764469</v>
      </c>
      <c r="L1160" t="s">
        <v>48</v>
      </c>
      <c r="M1160" t="s">
        <v>165</v>
      </c>
      <c r="N1160" t="b">
        <f t="shared" si="116"/>
        <v>1</v>
      </c>
    </row>
    <row r="1161" spans="1:14" x14ac:dyDescent="0.15">
      <c r="A1161" t="s">
        <v>12181</v>
      </c>
      <c r="B1161" t="s">
        <v>12237</v>
      </c>
      <c r="C1161" t="s">
        <v>12303</v>
      </c>
      <c r="D1161" t="s">
        <v>23</v>
      </c>
      <c r="E1161" t="s">
        <v>12304</v>
      </c>
      <c r="F1161" s="5" t="s">
        <v>145</v>
      </c>
      <c r="G1161" s="5">
        <v>9997000</v>
      </c>
      <c r="H1161" s="4">
        <v>8020000</v>
      </c>
      <c r="I1161" s="2">
        <f t="shared" si="114"/>
        <v>0.80224067220166051</v>
      </c>
      <c r="J1161" s="4">
        <v>8020000</v>
      </c>
      <c r="K1161" s="2">
        <f t="shared" si="115"/>
        <v>0.80224067220166051</v>
      </c>
      <c r="L1161" t="s">
        <v>64</v>
      </c>
      <c r="M1161" t="s">
        <v>174</v>
      </c>
      <c r="N1161" t="b">
        <f t="shared" si="116"/>
        <v>1</v>
      </c>
    </row>
    <row r="1162" spans="1:14" x14ac:dyDescent="0.15">
      <c r="A1162" t="s">
        <v>12181</v>
      </c>
      <c r="B1162" t="s">
        <v>12237</v>
      </c>
      <c r="C1162" t="s">
        <v>12305</v>
      </c>
      <c r="D1162" t="s">
        <v>23</v>
      </c>
      <c r="E1162" t="s">
        <v>11702</v>
      </c>
      <c r="F1162" s="5" t="s">
        <v>145</v>
      </c>
      <c r="G1162" s="5">
        <v>3900000</v>
      </c>
      <c r="H1162" s="4">
        <v>3111000</v>
      </c>
      <c r="I1162" s="2">
        <f t="shared" si="114"/>
        <v>0.7976923076923077</v>
      </c>
      <c r="J1162" s="4">
        <v>3600000</v>
      </c>
      <c r="K1162" s="2">
        <f t="shared" si="115"/>
        <v>0.92307692307692313</v>
      </c>
      <c r="L1162" t="s">
        <v>10326</v>
      </c>
      <c r="M1162" t="s">
        <v>126</v>
      </c>
      <c r="N1162" t="b">
        <f t="shared" si="116"/>
        <v>1</v>
      </c>
    </row>
    <row r="1163" spans="1:14" x14ac:dyDescent="0.15">
      <c r="A1163" t="s">
        <v>12181</v>
      </c>
      <c r="B1163" t="s">
        <v>12184</v>
      </c>
      <c r="C1163" t="s">
        <v>12306</v>
      </c>
      <c r="D1163" t="s">
        <v>23</v>
      </c>
      <c r="E1163" t="s">
        <v>12307</v>
      </c>
      <c r="F1163" s="5" t="s">
        <v>145</v>
      </c>
      <c r="G1163" s="5">
        <v>2827000</v>
      </c>
      <c r="H1163" s="4">
        <v>2188000</v>
      </c>
      <c r="I1163" s="2">
        <f t="shared" si="114"/>
        <v>0.77396533427661829</v>
      </c>
      <c r="J1163" s="4">
        <v>2190000</v>
      </c>
      <c r="K1163" s="2">
        <f t="shared" si="115"/>
        <v>0.77467279801910149</v>
      </c>
      <c r="L1163" t="s">
        <v>12196</v>
      </c>
      <c r="M1163" t="s">
        <v>165</v>
      </c>
      <c r="N1163" t="b">
        <f t="shared" si="116"/>
        <v>1</v>
      </c>
    </row>
    <row r="1164" spans="1:14" x14ac:dyDescent="0.15">
      <c r="A1164" t="s">
        <v>12181</v>
      </c>
      <c r="B1164" t="s">
        <v>12184</v>
      </c>
      <c r="C1164" t="s">
        <v>12308</v>
      </c>
      <c r="D1164" t="s">
        <v>23</v>
      </c>
      <c r="E1164" t="s">
        <v>12309</v>
      </c>
      <c r="F1164" s="5" t="s">
        <v>145</v>
      </c>
      <c r="G1164" s="5">
        <v>2903000</v>
      </c>
      <c r="H1164" s="4">
        <v>2251000</v>
      </c>
      <c r="I1164" s="2">
        <f t="shared" si="114"/>
        <v>0.77540475370306583</v>
      </c>
      <c r="J1164" s="4">
        <v>2620000</v>
      </c>
      <c r="K1164" s="2">
        <f t="shared" si="115"/>
        <v>0.90251464002755766</v>
      </c>
      <c r="L1164" t="s">
        <v>12191</v>
      </c>
      <c r="M1164" t="s">
        <v>165</v>
      </c>
      <c r="N1164" t="b">
        <f t="shared" si="116"/>
        <v>1</v>
      </c>
    </row>
    <row r="1165" spans="1:14" x14ac:dyDescent="0.15">
      <c r="A1165" t="s">
        <v>12181</v>
      </c>
      <c r="B1165" t="s">
        <v>12237</v>
      </c>
      <c r="C1165" t="s">
        <v>12310</v>
      </c>
      <c r="D1165" t="s">
        <v>23</v>
      </c>
      <c r="E1165" t="s">
        <v>12311</v>
      </c>
      <c r="F1165" s="5" t="s">
        <v>145</v>
      </c>
      <c r="G1165" s="5">
        <v>3590000</v>
      </c>
      <c r="H1165" s="4">
        <v>2861000</v>
      </c>
      <c r="I1165" s="2">
        <f t="shared" si="114"/>
        <v>0.79693593314763234</v>
      </c>
      <c r="J1165" s="4">
        <v>2863000</v>
      </c>
      <c r="K1165" s="2">
        <f t="shared" si="115"/>
        <v>0.7974930362116992</v>
      </c>
      <c r="L1165" t="s">
        <v>12191</v>
      </c>
      <c r="M1165" t="s">
        <v>165</v>
      </c>
      <c r="N1165" t="b">
        <f t="shared" si="116"/>
        <v>1</v>
      </c>
    </row>
    <row r="1166" spans="1:14" x14ac:dyDescent="0.15">
      <c r="A1166" t="s">
        <v>12181</v>
      </c>
      <c r="B1166" t="s">
        <v>12237</v>
      </c>
      <c r="C1166" t="s">
        <v>12312</v>
      </c>
      <c r="D1166" t="s">
        <v>23</v>
      </c>
      <c r="E1166" t="s">
        <v>12313</v>
      </c>
      <c r="F1166" s="5" t="s">
        <v>145</v>
      </c>
      <c r="G1166" s="5">
        <v>13170000</v>
      </c>
      <c r="H1166" s="4">
        <v>10487000</v>
      </c>
      <c r="I1166" s="2">
        <f t="shared" si="114"/>
        <v>0.79627942293090359</v>
      </c>
      <c r="J1166" s="4">
        <v>10530000</v>
      </c>
      <c r="K1166" s="2">
        <f t="shared" si="115"/>
        <v>0.79954441913439633</v>
      </c>
      <c r="L1166" t="s">
        <v>10326</v>
      </c>
      <c r="M1166" t="s">
        <v>126</v>
      </c>
      <c r="N1166" t="b">
        <f t="shared" si="116"/>
        <v>1</v>
      </c>
    </row>
    <row r="1167" spans="1:14" x14ac:dyDescent="0.15">
      <c r="A1167" t="s">
        <v>12181</v>
      </c>
      <c r="B1167" t="s">
        <v>12184</v>
      </c>
      <c r="C1167" t="s">
        <v>12223</v>
      </c>
      <c r="D1167" t="s">
        <v>23</v>
      </c>
      <c r="E1167" t="s">
        <v>12314</v>
      </c>
      <c r="F1167" s="5" t="s">
        <v>145</v>
      </c>
      <c r="G1167" s="5">
        <v>5450000</v>
      </c>
      <c r="H1167" s="4">
        <v>4335000</v>
      </c>
      <c r="I1167" s="2">
        <f t="shared" si="114"/>
        <v>0.79541284403669721</v>
      </c>
      <c r="J1167" s="4">
        <v>4342000</v>
      </c>
      <c r="K1167" s="2">
        <f t="shared" si="115"/>
        <v>0.79669724770642203</v>
      </c>
      <c r="L1167" t="s">
        <v>231</v>
      </c>
      <c r="M1167" t="s">
        <v>126</v>
      </c>
      <c r="N1167" t="b">
        <f t="shared" si="116"/>
        <v>1</v>
      </c>
    </row>
    <row r="1168" spans="1:14" x14ac:dyDescent="0.15">
      <c r="A1168" t="s">
        <v>12181</v>
      </c>
      <c r="B1168" t="s">
        <v>12184</v>
      </c>
      <c r="C1168" t="s">
        <v>12315</v>
      </c>
      <c r="D1168" t="s">
        <v>23</v>
      </c>
      <c r="E1168" t="s">
        <v>12316</v>
      </c>
      <c r="F1168" s="5" t="s">
        <v>145</v>
      </c>
      <c r="G1168" s="5">
        <v>3164000</v>
      </c>
      <c r="H1168" s="4">
        <v>2517000</v>
      </c>
      <c r="I1168" s="2">
        <f t="shared" si="114"/>
        <v>0.79551201011378003</v>
      </c>
      <c r="J1168" s="4">
        <v>2517000</v>
      </c>
      <c r="K1168" s="2">
        <f t="shared" si="115"/>
        <v>0.79551201011378003</v>
      </c>
      <c r="L1168" t="s">
        <v>48</v>
      </c>
      <c r="M1168" t="s">
        <v>80</v>
      </c>
      <c r="N1168" t="b">
        <f t="shared" si="116"/>
        <v>1</v>
      </c>
    </row>
    <row r="1169" spans="1:14" x14ac:dyDescent="0.15">
      <c r="A1169" t="s">
        <v>12181</v>
      </c>
      <c r="B1169" t="s">
        <v>12184</v>
      </c>
      <c r="C1169" t="s">
        <v>12317</v>
      </c>
      <c r="D1169" t="s">
        <v>23</v>
      </c>
      <c r="E1169" t="s">
        <v>12318</v>
      </c>
      <c r="F1169" s="5" t="s">
        <v>145</v>
      </c>
      <c r="G1169" s="5">
        <v>18674000</v>
      </c>
      <c r="H1169" s="4">
        <v>14864000</v>
      </c>
      <c r="I1169" s="2">
        <f t="shared" si="114"/>
        <v>0.79597301060297743</v>
      </c>
      <c r="J1169" s="4">
        <v>14864000</v>
      </c>
      <c r="K1169" s="2">
        <f t="shared" si="115"/>
        <v>0.79597301060297743</v>
      </c>
      <c r="L1169" t="s">
        <v>1262</v>
      </c>
      <c r="M1169" t="s">
        <v>104</v>
      </c>
      <c r="N1169" t="b">
        <f t="shared" si="116"/>
        <v>1</v>
      </c>
    </row>
    <row r="1170" spans="1:14" x14ac:dyDescent="0.15">
      <c r="A1170" t="s">
        <v>12181</v>
      </c>
      <c r="B1170" t="s">
        <v>12184</v>
      </c>
      <c r="C1170" t="s">
        <v>12319</v>
      </c>
      <c r="D1170" t="s">
        <v>23</v>
      </c>
      <c r="E1170" t="s">
        <v>12320</v>
      </c>
      <c r="F1170" s="5" t="s">
        <v>145</v>
      </c>
      <c r="G1170" s="5">
        <v>1164000</v>
      </c>
      <c r="H1170" s="4">
        <v>926000</v>
      </c>
      <c r="I1170" s="2">
        <f t="shared" si="114"/>
        <v>0.79553264604810991</v>
      </c>
      <c r="J1170" s="4">
        <v>926000</v>
      </c>
      <c r="K1170" s="2">
        <f t="shared" si="115"/>
        <v>0.79553264604810991</v>
      </c>
      <c r="L1170" t="s">
        <v>48</v>
      </c>
      <c r="M1170" t="s">
        <v>165</v>
      </c>
      <c r="N1170" t="b">
        <f t="shared" si="116"/>
        <v>1</v>
      </c>
    </row>
    <row r="1171" spans="1:14" x14ac:dyDescent="0.15">
      <c r="A1171" t="s">
        <v>12181</v>
      </c>
      <c r="B1171" t="s">
        <v>12237</v>
      </c>
      <c r="C1171" t="s">
        <v>12240</v>
      </c>
      <c r="D1171" t="s">
        <v>23</v>
      </c>
      <c r="E1171" t="s">
        <v>12321</v>
      </c>
      <c r="F1171" s="5" t="s">
        <v>145</v>
      </c>
      <c r="G1171" s="5">
        <v>2420000</v>
      </c>
      <c r="H1171" s="4">
        <v>1932000</v>
      </c>
      <c r="I1171" s="2">
        <f t="shared" si="114"/>
        <v>0.79834710743801651</v>
      </c>
      <c r="J1171" s="4">
        <v>1933000</v>
      </c>
      <c r="K1171" s="2">
        <f t="shared" si="115"/>
        <v>0.79876033057851237</v>
      </c>
      <c r="L1171" t="s">
        <v>12191</v>
      </c>
      <c r="M1171" t="s">
        <v>165</v>
      </c>
      <c r="N1171" t="b">
        <f t="shared" si="116"/>
        <v>1</v>
      </c>
    </row>
    <row r="1172" spans="1:14" x14ac:dyDescent="0.15">
      <c r="A1172" t="s">
        <v>12181</v>
      </c>
      <c r="B1172" t="s">
        <v>12184</v>
      </c>
      <c r="C1172" t="s">
        <v>12322</v>
      </c>
      <c r="D1172" t="s">
        <v>23</v>
      </c>
      <c r="E1172" t="s">
        <v>11444</v>
      </c>
      <c r="F1172" s="5" t="s">
        <v>145</v>
      </c>
      <c r="G1172" s="5">
        <v>1165000</v>
      </c>
      <c r="H1172" s="4">
        <v>899000</v>
      </c>
      <c r="I1172" s="2">
        <f t="shared" si="114"/>
        <v>0.77167381974248928</v>
      </c>
      <c r="J1172" s="4">
        <v>905000</v>
      </c>
      <c r="K1172" s="2">
        <f t="shared" si="115"/>
        <v>0.77682403433476399</v>
      </c>
      <c r="L1172" t="s">
        <v>12191</v>
      </c>
      <c r="M1172" t="s">
        <v>165</v>
      </c>
      <c r="N1172" t="b">
        <f t="shared" si="116"/>
        <v>1</v>
      </c>
    </row>
    <row r="1173" spans="1:14" x14ac:dyDescent="0.15">
      <c r="A1173" t="s">
        <v>12181</v>
      </c>
      <c r="B1173" t="s">
        <v>12184</v>
      </c>
      <c r="C1173" t="s">
        <v>12323</v>
      </c>
      <c r="D1173" t="s">
        <v>23</v>
      </c>
      <c r="E1173" t="s">
        <v>12324</v>
      </c>
      <c r="F1173" s="5" t="s">
        <v>145</v>
      </c>
      <c r="G1173" s="5">
        <v>8079000</v>
      </c>
      <c r="H1173" s="4">
        <v>6357000</v>
      </c>
      <c r="I1173" s="2">
        <f t="shared" si="114"/>
        <v>0.78685480876346081</v>
      </c>
      <c r="J1173" s="4">
        <v>6357000</v>
      </c>
      <c r="K1173" s="2">
        <f t="shared" si="115"/>
        <v>0.78685480876346081</v>
      </c>
      <c r="L1173" t="s">
        <v>601</v>
      </c>
      <c r="M1173" t="s">
        <v>165</v>
      </c>
      <c r="N1173" t="b">
        <f t="shared" si="116"/>
        <v>1</v>
      </c>
    </row>
    <row r="1174" spans="1:14" x14ac:dyDescent="0.15">
      <c r="A1174" t="s">
        <v>12181</v>
      </c>
      <c r="B1174" t="s">
        <v>12184</v>
      </c>
      <c r="C1174" t="s">
        <v>12244</v>
      </c>
      <c r="D1174" t="s">
        <v>23</v>
      </c>
      <c r="E1174" t="s">
        <v>12325</v>
      </c>
      <c r="F1174" s="5" t="s">
        <v>145</v>
      </c>
      <c r="G1174" s="5">
        <v>1954000</v>
      </c>
      <c r="H1174" s="4">
        <v>1502000</v>
      </c>
      <c r="I1174" s="2">
        <f t="shared" si="114"/>
        <v>0.76867963152507679</v>
      </c>
      <c r="J1174" s="4">
        <v>1502000</v>
      </c>
      <c r="K1174" s="2">
        <f t="shared" si="115"/>
        <v>0.76867963152507679</v>
      </c>
      <c r="L1174" t="s">
        <v>12191</v>
      </c>
      <c r="M1174" t="s">
        <v>165</v>
      </c>
      <c r="N1174" t="b">
        <f t="shared" si="116"/>
        <v>1</v>
      </c>
    </row>
    <row r="1175" spans="1:14" x14ac:dyDescent="0.15">
      <c r="A1175" t="s">
        <v>12326</v>
      </c>
      <c r="B1175" t="s">
        <v>12329</v>
      </c>
      <c r="C1175" t="s">
        <v>12327</v>
      </c>
      <c r="D1175" t="s">
        <v>23</v>
      </c>
      <c r="E1175" t="s">
        <v>12328</v>
      </c>
      <c r="F1175" s="5">
        <v>4970000</v>
      </c>
      <c r="G1175" s="5">
        <v>4970000</v>
      </c>
      <c r="H1175" s="4">
        <v>3902000</v>
      </c>
      <c r="I1175" s="2">
        <f t="shared" si="114"/>
        <v>0.78511066398390339</v>
      </c>
      <c r="J1175" s="4">
        <v>3956000</v>
      </c>
      <c r="K1175" s="2">
        <f t="shared" si="115"/>
        <v>0.79597585513078473</v>
      </c>
      <c r="L1175" t="s">
        <v>12330</v>
      </c>
      <c r="M1175" t="s">
        <v>31</v>
      </c>
      <c r="N1175" t="b">
        <f t="shared" si="116"/>
        <v>0</v>
      </c>
    </row>
    <row r="1176" spans="1:14" x14ac:dyDescent="0.15">
      <c r="A1176" t="s">
        <v>12326</v>
      </c>
      <c r="B1176" t="s">
        <v>12329</v>
      </c>
      <c r="C1176" t="s">
        <v>12331</v>
      </c>
      <c r="D1176" t="s">
        <v>118</v>
      </c>
      <c r="E1176" t="s">
        <v>12332</v>
      </c>
      <c r="F1176" s="5">
        <v>19715000</v>
      </c>
      <c r="G1176" s="5">
        <v>19715000</v>
      </c>
      <c r="H1176" s="4">
        <v>15870000</v>
      </c>
      <c r="I1176" s="2">
        <f t="shared" si="114"/>
        <v>0.80497083439005834</v>
      </c>
      <c r="J1176" s="4">
        <v>15870000</v>
      </c>
      <c r="K1176" s="2">
        <f t="shared" si="115"/>
        <v>0.80497083439005834</v>
      </c>
      <c r="L1176" t="s">
        <v>811</v>
      </c>
      <c r="M1176" t="s">
        <v>2486</v>
      </c>
      <c r="N1176" t="b">
        <f t="shared" si="116"/>
        <v>0</v>
      </c>
    </row>
    <row r="1177" spans="1:14" x14ac:dyDescent="0.15">
      <c r="A1177" t="s">
        <v>12326</v>
      </c>
      <c r="B1177" t="s">
        <v>12329</v>
      </c>
      <c r="C1177" t="s">
        <v>12333</v>
      </c>
      <c r="D1177" t="s">
        <v>118</v>
      </c>
      <c r="E1177" t="s">
        <v>12334</v>
      </c>
      <c r="F1177" s="5">
        <v>31364000</v>
      </c>
      <c r="G1177" s="5">
        <v>31364000</v>
      </c>
      <c r="H1177" s="4">
        <v>25267000</v>
      </c>
      <c r="I1177" s="2">
        <f t="shared" si="114"/>
        <v>0.80560515240403008</v>
      </c>
      <c r="J1177" s="4">
        <v>25267000</v>
      </c>
      <c r="K1177" s="2">
        <f t="shared" si="115"/>
        <v>0.80560515240403008</v>
      </c>
      <c r="L1177" t="s">
        <v>1377</v>
      </c>
      <c r="M1177" t="s">
        <v>2486</v>
      </c>
      <c r="N1177" t="b">
        <f t="shared" si="116"/>
        <v>0</v>
      </c>
    </row>
    <row r="1178" spans="1:14" x14ac:dyDescent="0.15">
      <c r="A1178" t="s">
        <v>12326</v>
      </c>
      <c r="B1178" t="s">
        <v>12329</v>
      </c>
      <c r="C1178" t="s">
        <v>12335</v>
      </c>
      <c r="D1178" t="s">
        <v>118</v>
      </c>
      <c r="E1178" t="s">
        <v>12336</v>
      </c>
      <c r="F1178" s="5">
        <v>8088000</v>
      </c>
      <c r="G1178" s="5">
        <v>8088000</v>
      </c>
      <c r="H1178" s="4">
        <v>6498000</v>
      </c>
      <c r="I1178" s="2">
        <f t="shared" si="114"/>
        <v>0.80341246290801183</v>
      </c>
      <c r="J1178" s="4">
        <v>6498000</v>
      </c>
      <c r="K1178" s="2">
        <f t="shared" si="115"/>
        <v>0.80341246290801183</v>
      </c>
      <c r="L1178" t="s">
        <v>1195</v>
      </c>
      <c r="M1178" t="s">
        <v>174</v>
      </c>
      <c r="N1178" t="b">
        <f t="shared" si="116"/>
        <v>0</v>
      </c>
    </row>
    <row r="1179" spans="1:14" x14ac:dyDescent="0.15">
      <c r="A1179" t="s">
        <v>12326</v>
      </c>
      <c r="B1179" t="s">
        <v>12329</v>
      </c>
      <c r="C1179" t="s">
        <v>12337</v>
      </c>
      <c r="D1179" t="s">
        <v>118</v>
      </c>
      <c r="E1179" t="s">
        <v>12338</v>
      </c>
      <c r="F1179" s="5">
        <v>6144000</v>
      </c>
      <c r="G1179" s="5">
        <v>6144000</v>
      </c>
      <c r="H1179" s="4">
        <v>4932000</v>
      </c>
      <c r="I1179" s="2">
        <f t="shared" si="114"/>
        <v>0.802734375</v>
      </c>
      <c r="J1179" s="4">
        <v>4932000</v>
      </c>
      <c r="K1179" s="2">
        <f t="shared" si="115"/>
        <v>0.802734375</v>
      </c>
      <c r="L1179" t="s">
        <v>1195</v>
      </c>
      <c r="M1179" t="s">
        <v>174</v>
      </c>
      <c r="N1179" t="b">
        <f t="shared" si="116"/>
        <v>0</v>
      </c>
    </row>
    <row r="1180" spans="1:14" x14ac:dyDescent="0.15">
      <c r="A1180" t="s">
        <v>12326</v>
      </c>
      <c r="B1180" t="s">
        <v>12329</v>
      </c>
      <c r="C1180" t="s">
        <v>12339</v>
      </c>
      <c r="D1180" t="s">
        <v>118</v>
      </c>
      <c r="E1180" t="s">
        <v>12340</v>
      </c>
      <c r="F1180" s="5">
        <v>22760000</v>
      </c>
      <c r="G1180" s="5">
        <v>22760000</v>
      </c>
      <c r="H1180" s="4">
        <v>18265000</v>
      </c>
      <c r="I1180" s="2">
        <f t="shared" si="114"/>
        <v>0.80250439367311077</v>
      </c>
      <c r="J1180" s="4">
        <v>18265000</v>
      </c>
      <c r="K1180" s="2">
        <f t="shared" si="115"/>
        <v>0.80250439367311077</v>
      </c>
      <c r="L1180" t="s">
        <v>312</v>
      </c>
      <c r="M1180" t="s">
        <v>432</v>
      </c>
      <c r="N1180" t="b">
        <f t="shared" si="116"/>
        <v>0</v>
      </c>
    </row>
    <row r="1181" spans="1:14" x14ac:dyDescent="0.15">
      <c r="A1181" t="s">
        <v>12326</v>
      </c>
      <c r="B1181" t="s">
        <v>12329</v>
      </c>
      <c r="C1181" t="s">
        <v>12341</v>
      </c>
      <c r="D1181" t="s">
        <v>118</v>
      </c>
      <c r="E1181" t="s">
        <v>12342</v>
      </c>
      <c r="F1181" s="5">
        <v>70263000</v>
      </c>
      <c r="G1181" s="5">
        <v>70263000</v>
      </c>
      <c r="H1181" s="4">
        <v>58070000</v>
      </c>
      <c r="I1181" s="2">
        <f t="shared" si="114"/>
        <v>0.82646627670324357</v>
      </c>
      <c r="J1181" s="4">
        <v>58113000</v>
      </c>
      <c r="K1181" s="2">
        <f t="shared" si="115"/>
        <v>0.82707826309722043</v>
      </c>
      <c r="L1181" t="s">
        <v>312</v>
      </c>
      <c r="M1181" t="s">
        <v>216</v>
      </c>
      <c r="N1181" t="b">
        <f t="shared" si="116"/>
        <v>0</v>
      </c>
    </row>
    <row r="1182" spans="1:14" x14ac:dyDescent="0.15">
      <c r="A1182" t="s">
        <v>12326</v>
      </c>
      <c r="B1182" t="s">
        <v>12329</v>
      </c>
      <c r="C1182" t="s">
        <v>12343</v>
      </c>
      <c r="D1182" t="s">
        <v>118</v>
      </c>
      <c r="E1182" t="s">
        <v>12344</v>
      </c>
      <c r="F1182" s="5">
        <v>12924000</v>
      </c>
      <c r="G1182" s="5">
        <v>12924000</v>
      </c>
      <c r="H1182" s="4">
        <v>10250000</v>
      </c>
      <c r="I1182" s="2">
        <f t="shared" si="114"/>
        <v>0.79309811203961622</v>
      </c>
      <c r="J1182" s="4">
        <v>10319000</v>
      </c>
      <c r="K1182" s="2">
        <f t="shared" si="115"/>
        <v>0.79843701640359022</v>
      </c>
      <c r="L1182" t="s">
        <v>239</v>
      </c>
      <c r="M1182" t="s">
        <v>174</v>
      </c>
      <c r="N1182" t="b">
        <f t="shared" si="116"/>
        <v>0</v>
      </c>
    </row>
    <row r="1183" spans="1:14" x14ac:dyDescent="0.15">
      <c r="A1183" t="s">
        <v>12326</v>
      </c>
      <c r="B1183" t="s">
        <v>12329</v>
      </c>
      <c r="C1183" t="s">
        <v>11762</v>
      </c>
      <c r="D1183" t="s">
        <v>118</v>
      </c>
      <c r="E1183" t="s">
        <v>12345</v>
      </c>
      <c r="F1183" s="5">
        <v>2512000</v>
      </c>
      <c r="G1183" s="5">
        <v>2512000</v>
      </c>
      <c r="H1183" s="4">
        <v>1924000</v>
      </c>
      <c r="I1183" s="2">
        <f t="shared" si="114"/>
        <v>0.76592356687898089</v>
      </c>
      <c r="J1183" s="4">
        <v>1930000</v>
      </c>
      <c r="K1183" s="2">
        <f t="shared" si="115"/>
        <v>0.76831210191082799</v>
      </c>
      <c r="L1183" t="s">
        <v>474</v>
      </c>
      <c r="M1183" t="s">
        <v>174</v>
      </c>
      <c r="N1183" t="b">
        <f t="shared" si="116"/>
        <v>0</v>
      </c>
    </row>
    <row r="1184" spans="1:14" x14ac:dyDescent="0.15">
      <c r="A1184" t="s">
        <v>12326</v>
      </c>
      <c r="B1184" t="s">
        <v>12329</v>
      </c>
      <c r="C1184" t="s">
        <v>12346</v>
      </c>
      <c r="D1184" t="s">
        <v>118</v>
      </c>
      <c r="E1184" t="s">
        <v>12347</v>
      </c>
      <c r="F1184" s="5">
        <v>3506000</v>
      </c>
      <c r="G1184" s="5">
        <v>3506000</v>
      </c>
      <c r="H1184" s="4">
        <v>2791000</v>
      </c>
      <c r="I1184" s="2">
        <f t="shared" si="114"/>
        <v>0.79606389047347403</v>
      </c>
      <c r="J1184" s="4">
        <v>3480000</v>
      </c>
      <c r="K1184" s="2">
        <f t="shared" si="115"/>
        <v>0.99258414147176266</v>
      </c>
      <c r="L1184" t="s">
        <v>271</v>
      </c>
      <c r="M1184" t="s">
        <v>432</v>
      </c>
      <c r="N1184" t="b">
        <f t="shared" si="116"/>
        <v>0</v>
      </c>
    </row>
    <row r="1185" spans="1:14" x14ac:dyDescent="0.15">
      <c r="A1185" t="s">
        <v>12326</v>
      </c>
      <c r="B1185" t="s">
        <v>12329</v>
      </c>
      <c r="C1185" t="s">
        <v>12331</v>
      </c>
      <c r="D1185" t="s">
        <v>118</v>
      </c>
      <c r="E1185" t="s">
        <v>12348</v>
      </c>
      <c r="F1185" s="5">
        <v>18450000</v>
      </c>
      <c r="G1185" s="5">
        <v>18450000</v>
      </c>
      <c r="H1185" s="4">
        <v>14781000</v>
      </c>
      <c r="I1185" s="2">
        <f t="shared" si="114"/>
        <v>0.80113821138211383</v>
      </c>
      <c r="J1185" s="4">
        <v>14781000</v>
      </c>
      <c r="K1185" s="2">
        <f t="shared" si="115"/>
        <v>0.80113821138211383</v>
      </c>
      <c r="L1185" t="s">
        <v>1979</v>
      </c>
      <c r="M1185" t="s">
        <v>2979</v>
      </c>
      <c r="N1185" t="b">
        <f t="shared" si="116"/>
        <v>0</v>
      </c>
    </row>
    <row r="1186" spans="1:14" x14ac:dyDescent="0.15">
      <c r="A1186" t="s">
        <v>12326</v>
      </c>
      <c r="B1186" t="s">
        <v>12329</v>
      </c>
      <c r="C1186" t="s">
        <v>12333</v>
      </c>
      <c r="D1186" t="s">
        <v>118</v>
      </c>
      <c r="E1186" t="s">
        <v>12349</v>
      </c>
      <c r="F1186" s="5">
        <v>30011000</v>
      </c>
      <c r="G1186" s="5">
        <v>30011000</v>
      </c>
      <c r="H1186" s="4">
        <v>24052000</v>
      </c>
      <c r="I1186" s="2">
        <f t="shared" si="114"/>
        <v>0.80143947219352907</v>
      </c>
      <c r="J1186" s="4">
        <v>24052000</v>
      </c>
      <c r="K1186" s="2">
        <f t="shared" si="115"/>
        <v>0.80143947219352907</v>
      </c>
      <c r="L1186" t="s">
        <v>4557</v>
      </c>
      <c r="M1186" t="s">
        <v>2979</v>
      </c>
      <c r="N1186" t="b">
        <f t="shared" si="116"/>
        <v>0</v>
      </c>
    </row>
    <row r="1187" spans="1:14" x14ac:dyDescent="0.15">
      <c r="A1187" t="s">
        <v>12326</v>
      </c>
      <c r="B1187" t="s">
        <v>12329</v>
      </c>
      <c r="C1187" t="s">
        <v>12350</v>
      </c>
      <c r="D1187" t="s">
        <v>118</v>
      </c>
      <c r="E1187" t="s">
        <v>12351</v>
      </c>
      <c r="F1187" s="5">
        <v>8513000</v>
      </c>
      <c r="G1187" s="5">
        <v>8513000</v>
      </c>
      <c r="H1187" s="4">
        <v>6784000</v>
      </c>
      <c r="I1187" s="2">
        <f t="shared" si="114"/>
        <v>0.79689886056619286</v>
      </c>
      <c r="J1187" s="4">
        <v>8320000</v>
      </c>
      <c r="K1187" s="2">
        <f t="shared" si="115"/>
        <v>0.97732879126042527</v>
      </c>
      <c r="L1187" t="s">
        <v>723</v>
      </c>
      <c r="M1187" t="s">
        <v>432</v>
      </c>
      <c r="N1187" t="b">
        <f t="shared" si="116"/>
        <v>0</v>
      </c>
    </row>
    <row r="1188" spans="1:14" x14ac:dyDescent="0.15">
      <c r="A1188" t="s">
        <v>12326</v>
      </c>
      <c r="B1188" t="s">
        <v>12329</v>
      </c>
      <c r="C1188" t="s">
        <v>12352</v>
      </c>
      <c r="D1188" t="s">
        <v>118</v>
      </c>
      <c r="E1188" t="s">
        <v>12353</v>
      </c>
      <c r="F1188" s="5">
        <v>35404000</v>
      </c>
      <c r="G1188" s="5">
        <v>35404000</v>
      </c>
      <c r="H1188" s="4">
        <v>28339000</v>
      </c>
      <c r="I1188" s="2">
        <f t="shared" si="114"/>
        <v>0.80044627725680717</v>
      </c>
      <c r="J1188" s="4">
        <v>28413000</v>
      </c>
      <c r="K1188" s="2">
        <f t="shared" si="115"/>
        <v>0.80253643656084062</v>
      </c>
      <c r="L1188" t="s">
        <v>173</v>
      </c>
      <c r="M1188" t="s">
        <v>21</v>
      </c>
      <c r="N1188" t="b">
        <f t="shared" si="116"/>
        <v>0</v>
      </c>
    </row>
    <row r="1189" spans="1:14" x14ac:dyDescent="0.15">
      <c r="A1189" t="s">
        <v>12326</v>
      </c>
      <c r="B1189" t="s">
        <v>12329</v>
      </c>
      <c r="C1189" t="s">
        <v>12354</v>
      </c>
      <c r="D1189" t="s">
        <v>118</v>
      </c>
      <c r="E1189" t="s">
        <v>12355</v>
      </c>
      <c r="F1189" s="5">
        <v>3296000</v>
      </c>
      <c r="G1189" s="5">
        <v>3296000</v>
      </c>
      <c r="H1189" s="4">
        <v>2628000</v>
      </c>
      <c r="I1189" s="2">
        <f t="shared" si="114"/>
        <v>0.79733009708737868</v>
      </c>
      <c r="J1189" s="4">
        <v>2628000</v>
      </c>
      <c r="K1189" s="2">
        <f t="shared" si="115"/>
        <v>0.79733009708737868</v>
      </c>
      <c r="L1189" t="s">
        <v>1195</v>
      </c>
      <c r="M1189" t="s">
        <v>432</v>
      </c>
      <c r="N1189" t="b">
        <f t="shared" si="116"/>
        <v>0</v>
      </c>
    </row>
    <row r="1190" spans="1:14" x14ac:dyDescent="0.15">
      <c r="A1190" t="s">
        <v>12326</v>
      </c>
      <c r="B1190" t="s">
        <v>12329</v>
      </c>
      <c r="C1190" t="s">
        <v>12339</v>
      </c>
      <c r="D1190" t="s">
        <v>118</v>
      </c>
      <c r="E1190" t="s">
        <v>12356</v>
      </c>
      <c r="F1190" s="5">
        <v>18131000</v>
      </c>
      <c r="G1190" s="5">
        <v>18131000</v>
      </c>
      <c r="H1190" s="4">
        <v>14424000</v>
      </c>
      <c r="I1190" s="2">
        <f t="shared" si="114"/>
        <v>0.79554354420605589</v>
      </c>
      <c r="J1190" s="4">
        <v>14424000</v>
      </c>
      <c r="K1190" s="2">
        <f t="shared" si="115"/>
        <v>0.79554354420605589</v>
      </c>
      <c r="L1190" t="s">
        <v>1321</v>
      </c>
      <c r="M1190" t="s">
        <v>174</v>
      </c>
      <c r="N1190" t="b">
        <f t="shared" si="116"/>
        <v>0</v>
      </c>
    </row>
    <row r="1191" spans="1:14" x14ac:dyDescent="0.15">
      <c r="A1191" t="s">
        <v>12357</v>
      </c>
      <c r="B1191" t="s">
        <v>12360</v>
      </c>
      <c r="C1191" t="s">
        <v>12358</v>
      </c>
      <c r="D1191" t="s">
        <v>23</v>
      </c>
      <c r="E1191" t="s">
        <v>12359</v>
      </c>
      <c r="F1191" s="5">
        <v>9032000</v>
      </c>
      <c r="G1191" s="5">
        <v>9032000</v>
      </c>
      <c r="H1191" s="4">
        <v>7102000</v>
      </c>
      <c r="I1191" s="2">
        <f t="shared" si="114"/>
        <v>0.78631532329495124</v>
      </c>
      <c r="J1191" s="4">
        <v>8550000</v>
      </c>
      <c r="K1191" s="2">
        <f t="shared" si="115"/>
        <v>0.94663418954827283</v>
      </c>
      <c r="L1191" t="s">
        <v>12361</v>
      </c>
      <c r="M1191" t="s">
        <v>432</v>
      </c>
      <c r="N1191" t="b">
        <f t="shared" si="116"/>
        <v>0</v>
      </c>
    </row>
    <row r="1192" spans="1:14" x14ac:dyDescent="0.15">
      <c r="A1192" t="s">
        <v>12357</v>
      </c>
      <c r="B1192" t="s">
        <v>12360</v>
      </c>
      <c r="C1192" t="s">
        <v>12362</v>
      </c>
      <c r="D1192" t="s">
        <v>23</v>
      </c>
      <c r="E1192" t="s">
        <v>12363</v>
      </c>
      <c r="F1192" s="5">
        <v>31866000</v>
      </c>
      <c r="G1192" s="5">
        <v>31866000</v>
      </c>
      <c r="H1192" s="4">
        <v>25029000</v>
      </c>
      <c r="I1192" s="2">
        <f t="shared" si="114"/>
        <v>0.78544530220297493</v>
      </c>
      <c r="J1192" s="4">
        <v>30500000</v>
      </c>
      <c r="K1192" s="2">
        <f t="shared" si="115"/>
        <v>0.95713299441410904</v>
      </c>
      <c r="L1192" t="s">
        <v>12364</v>
      </c>
      <c r="M1192" t="s">
        <v>192</v>
      </c>
      <c r="N1192" t="b">
        <f t="shared" si="116"/>
        <v>0</v>
      </c>
    </row>
    <row r="1193" spans="1:14" x14ac:dyDescent="0.15">
      <c r="A1193" t="s">
        <v>12357</v>
      </c>
      <c r="B1193" t="s">
        <v>12360</v>
      </c>
      <c r="C1193" t="s">
        <v>12365</v>
      </c>
      <c r="D1193" t="s">
        <v>23</v>
      </c>
      <c r="E1193" t="s">
        <v>12366</v>
      </c>
      <c r="F1193" s="5">
        <v>49508000</v>
      </c>
      <c r="G1193" s="5">
        <v>49508000</v>
      </c>
      <c r="H1193" s="4">
        <v>34655600</v>
      </c>
      <c r="I1193" s="2">
        <f t="shared" si="114"/>
        <v>0.7</v>
      </c>
      <c r="J1193" s="4">
        <v>35000000</v>
      </c>
      <c r="K1193" s="2">
        <f t="shared" si="115"/>
        <v>0.70695645148258868</v>
      </c>
      <c r="L1193" t="s">
        <v>832</v>
      </c>
      <c r="M1193" t="s">
        <v>80</v>
      </c>
      <c r="N1193" t="b">
        <f t="shared" si="116"/>
        <v>0</v>
      </c>
    </row>
    <row r="1194" spans="1:14" x14ac:dyDescent="0.15">
      <c r="A1194" t="s">
        <v>12357</v>
      </c>
      <c r="B1194" t="s">
        <v>12360</v>
      </c>
      <c r="C1194" t="s">
        <v>12367</v>
      </c>
      <c r="D1194" t="s">
        <v>23</v>
      </c>
      <c r="E1194" t="s">
        <v>12368</v>
      </c>
      <c r="F1194" s="5">
        <v>2714000</v>
      </c>
      <c r="G1194" s="5">
        <v>2714000</v>
      </c>
      <c r="H1194" s="4">
        <v>1899800</v>
      </c>
      <c r="I1194" s="2">
        <f t="shared" si="114"/>
        <v>0.7</v>
      </c>
      <c r="J1194" s="4">
        <v>2650000</v>
      </c>
      <c r="K1194" s="2">
        <f t="shared" si="115"/>
        <v>0.97641857037582902</v>
      </c>
      <c r="L1194" t="s">
        <v>4816</v>
      </c>
      <c r="M1194" t="s">
        <v>21</v>
      </c>
      <c r="N1194" t="b">
        <f t="shared" si="116"/>
        <v>0</v>
      </c>
    </row>
    <row r="1195" spans="1:14" x14ac:dyDescent="0.15">
      <c r="A1195" t="s">
        <v>12357</v>
      </c>
      <c r="B1195" t="s">
        <v>12360</v>
      </c>
      <c r="C1195" t="s">
        <v>12369</v>
      </c>
      <c r="D1195" t="s">
        <v>23</v>
      </c>
      <c r="E1195" t="s">
        <v>12370</v>
      </c>
      <c r="F1195" s="5">
        <v>21019000</v>
      </c>
      <c r="G1195" s="5">
        <v>21019000</v>
      </c>
      <c r="H1195" s="4">
        <v>16731000</v>
      </c>
      <c r="I1195" s="2">
        <f t="shared" si="114"/>
        <v>0.79599410057566966</v>
      </c>
      <c r="J1195" s="4">
        <v>19500000</v>
      </c>
      <c r="K1195" s="2">
        <f t="shared" si="115"/>
        <v>0.92773205195299491</v>
      </c>
      <c r="L1195" t="s">
        <v>1458</v>
      </c>
      <c r="M1195" t="s">
        <v>165</v>
      </c>
      <c r="N1195" t="b">
        <f t="shared" si="116"/>
        <v>0</v>
      </c>
    </row>
    <row r="1196" spans="1:14" x14ac:dyDescent="0.15">
      <c r="A1196" t="s">
        <v>12357</v>
      </c>
      <c r="B1196" t="s">
        <v>12360</v>
      </c>
      <c r="C1196" t="s">
        <v>12371</v>
      </c>
      <c r="D1196" t="s">
        <v>23</v>
      </c>
      <c r="E1196" t="s">
        <v>12372</v>
      </c>
      <c r="F1196" s="5">
        <v>17313000</v>
      </c>
      <c r="G1196" s="5">
        <v>17313000</v>
      </c>
      <c r="H1196" s="4">
        <v>13850000</v>
      </c>
      <c r="I1196" s="2">
        <f t="shared" si="114"/>
        <v>0.79997689597412347</v>
      </c>
      <c r="J1196" s="4">
        <v>16500000</v>
      </c>
      <c r="K1196" s="2">
        <f t="shared" si="115"/>
        <v>0.95304106740599548</v>
      </c>
      <c r="L1196" t="s">
        <v>1384</v>
      </c>
      <c r="M1196" t="s">
        <v>165</v>
      </c>
      <c r="N1196" t="b">
        <f t="shared" si="116"/>
        <v>0</v>
      </c>
    </row>
    <row r="1197" spans="1:14" x14ac:dyDescent="0.15">
      <c r="A1197" t="s">
        <v>12357</v>
      </c>
      <c r="B1197" t="s">
        <v>12360</v>
      </c>
      <c r="C1197" t="s">
        <v>12373</v>
      </c>
      <c r="D1197" t="s">
        <v>23</v>
      </c>
      <c r="E1197" t="s">
        <v>12374</v>
      </c>
      <c r="F1197" s="5">
        <v>25471000</v>
      </c>
      <c r="G1197" s="5">
        <v>25471000</v>
      </c>
      <c r="H1197" s="4">
        <v>20271000</v>
      </c>
      <c r="I1197" s="2">
        <f t="shared" si="114"/>
        <v>0.79584625652703078</v>
      </c>
      <c r="J1197" s="4">
        <v>24600000</v>
      </c>
      <c r="K1197" s="2">
        <f t="shared" si="115"/>
        <v>0.96580424796827768</v>
      </c>
      <c r="L1197" t="s">
        <v>1450</v>
      </c>
      <c r="M1197" t="s">
        <v>165</v>
      </c>
      <c r="N1197" t="b">
        <f t="shared" si="116"/>
        <v>0</v>
      </c>
    </row>
    <row r="1198" spans="1:14" x14ac:dyDescent="0.15">
      <c r="A1198" t="s">
        <v>12357</v>
      </c>
      <c r="B1198" t="s">
        <v>12360</v>
      </c>
      <c r="C1198" t="s">
        <v>12375</v>
      </c>
      <c r="D1198" t="s">
        <v>23</v>
      </c>
      <c r="E1198" t="s">
        <v>12376</v>
      </c>
      <c r="F1198" s="5">
        <v>21725000</v>
      </c>
      <c r="G1198" s="5">
        <v>21725000</v>
      </c>
      <c r="H1198" s="4">
        <v>15207500</v>
      </c>
      <c r="I1198" s="2">
        <f t="shared" si="114"/>
        <v>0.7</v>
      </c>
      <c r="J1198" s="4">
        <v>20400000</v>
      </c>
      <c r="K1198" s="2">
        <f t="shared" si="115"/>
        <v>0.93901035673187572</v>
      </c>
      <c r="L1198" t="s">
        <v>4816</v>
      </c>
      <c r="M1198" t="s">
        <v>165</v>
      </c>
      <c r="N1198" t="b">
        <f t="shared" si="116"/>
        <v>0</v>
      </c>
    </row>
    <row r="1199" spans="1:14" x14ac:dyDescent="0.15">
      <c r="A1199" t="s">
        <v>12357</v>
      </c>
      <c r="B1199" t="s">
        <v>12360</v>
      </c>
      <c r="C1199" t="s">
        <v>12377</v>
      </c>
      <c r="D1199" t="s">
        <v>23</v>
      </c>
      <c r="E1199" t="s">
        <v>12378</v>
      </c>
      <c r="F1199" s="5">
        <v>20285000</v>
      </c>
      <c r="G1199" s="5">
        <v>20285000</v>
      </c>
      <c r="H1199" s="4">
        <v>14199500</v>
      </c>
      <c r="I1199" s="2">
        <f t="shared" si="114"/>
        <v>0.7</v>
      </c>
      <c r="J1199" s="4">
        <v>19200000</v>
      </c>
      <c r="K1199" s="2">
        <f t="shared" si="115"/>
        <v>0.94651220113384271</v>
      </c>
      <c r="L1199" t="s">
        <v>1450</v>
      </c>
      <c r="M1199" t="s">
        <v>165</v>
      </c>
      <c r="N1199" t="b">
        <f t="shared" si="116"/>
        <v>0</v>
      </c>
    </row>
    <row r="1200" spans="1:14" x14ac:dyDescent="0.15">
      <c r="A1200" t="s">
        <v>12357</v>
      </c>
      <c r="B1200" t="s">
        <v>12360</v>
      </c>
      <c r="C1200" t="s">
        <v>12379</v>
      </c>
      <c r="D1200" t="s">
        <v>23</v>
      </c>
      <c r="E1200" t="s">
        <v>12380</v>
      </c>
      <c r="F1200" s="5">
        <v>13378000</v>
      </c>
      <c r="G1200" s="5">
        <v>13378000</v>
      </c>
      <c r="H1200" s="4">
        <v>10702000</v>
      </c>
      <c r="I1200" s="2">
        <f t="shared" si="114"/>
        <v>0.79997010016444914</v>
      </c>
      <c r="J1200" s="4">
        <v>12650000</v>
      </c>
      <c r="K1200" s="2">
        <f t="shared" si="115"/>
        <v>0.94558229929735382</v>
      </c>
      <c r="L1200" t="s">
        <v>12361</v>
      </c>
      <c r="M1200" t="s">
        <v>165</v>
      </c>
      <c r="N1200" t="b">
        <f t="shared" si="116"/>
        <v>0</v>
      </c>
    </row>
    <row r="1201" spans="1:14" x14ac:dyDescent="0.15">
      <c r="A1201" t="s">
        <v>12357</v>
      </c>
      <c r="B1201" t="s">
        <v>12360</v>
      </c>
      <c r="C1201" t="s">
        <v>12381</v>
      </c>
      <c r="D1201" t="s">
        <v>23</v>
      </c>
      <c r="E1201" t="s">
        <v>12382</v>
      </c>
      <c r="F1201" s="5">
        <v>22714000</v>
      </c>
      <c r="G1201" s="5">
        <v>22714000</v>
      </c>
      <c r="H1201" s="4">
        <v>17979000</v>
      </c>
      <c r="I1201" s="2">
        <f t="shared" si="114"/>
        <v>0.79153825834287228</v>
      </c>
      <c r="J1201" s="4">
        <v>18050000</v>
      </c>
      <c r="K1201" s="2">
        <f t="shared" si="115"/>
        <v>0.79466408382495379</v>
      </c>
      <c r="L1201" t="s">
        <v>271</v>
      </c>
      <c r="M1201" t="s">
        <v>165</v>
      </c>
      <c r="N1201" t="b">
        <f t="shared" si="116"/>
        <v>0</v>
      </c>
    </row>
    <row r="1202" spans="1:14" x14ac:dyDescent="0.15">
      <c r="A1202" t="s">
        <v>12357</v>
      </c>
      <c r="B1202" t="s">
        <v>12360</v>
      </c>
      <c r="C1202" t="s">
        <v>12383</v>
      </c>
      <c r="D1202" t="s">
        <v>23</v>
      </c>
      <c r="E1202" t="s">
        <v>12384</v>
      </c>
      <c r="F1202" s="5">
        <v>23297000</v>
      </c>
      <c r="G1202" s="5">
        <v>23297000</v>
      </c>
      <c r="H1202" s="4">
        <v>18419000</v>
      </c>
      <c r="I1202" s="2">
        <f t="shared" si="114"/>
        <v>0.79061681761600211</v>
      </c>
      <c r="J1202" s="4">
        <v>18419000</v>
      </c>
      <c r="K1202" s="2">
        <f t="shared" si="115"/>
        <v>0.79061681761600211</v>
      </c>
      <c r="L1202" t="s">
        <v>173</v>
      </c>
      <c r="M1202" t="s">
        <v>165</v>
      </c>
      <c r="N1202" t="b">
        <f t="shared" si="116"/>
        <v>0</v>
      </c>
    </row>
    <row r="1203" spans="1:14" x14ac:dyDescent="0.15">
      <c r="A1203" t="s">
        <v>12357</v>
      </c>
      <c r="B1203" t="s">
        <v>12360</v>
      </c>
      <c r="C1203" t="s">
        <v>12385</v>
      </c>
      <c r="D1203" t="s">
        <v>23</v>
      </c>
      <c r="E1203" t="s">
        <v>12386</v>
      </c>
      <c r="F1203" s="5">
        <v>10240000</v>
      </c>
      <c r="G1203" s="5">
        <v>10240000</v>
      </c>
      <c r="H1203" s="4">
        <v>7168000</v>
      </c>
      <c r="I1203" s="2">
        <f t="shared" si="114"/>
        <v>0.7</v>
      </c>
      <c r="J1203" s="4">
        <v>9400000</v>
      </c>
      <c r="K1203" s="2">
        <f t="shared" si="115"/>
        <v>0.91796875</v>
      </c>
      <c r="L1203" t="s">
        <v>1458</v>
      </c>
      <c r="M1203" t="s">
        <v>432</v>
      </c>
      <c r="N1203" t="b">
        <f t="shared" si="116"/>
        <v>0</v>
      </c>
    </row>
    <row r="1204" spans="1:14" x14ac:dyDescent="0.15">
      <c r="A1204" t="s">
        <v>12357</v>
      </c>
      <c r="B1204" t="s">
        <v>12360</v>
      </c>
      <c r="C1204" t="s">
        <v>12387</v>
      </c>
      <c r="D1204" t="s">
        <v>23</v>
      </c>
      <c r="E1204" t="s">
        <v>12388</v>
      </c>
      <c r="F1204" s="5">
        <v>18910000</v>
      </c>
      <c r="G1204" s="5">
        <v>18910000</v>
      </c>
      <c r="H1204" s="4">
        <v>15044000</v>
      </c>
      <c r="I1204" s="2">
        <f t="shared" si="114"/>
        <v>0.79555790586991015</v>
      </c>
      <c r="J1204" s="4">
        <v>18000000</v>
      </c>
      <c r="K1204" s="2">
        <f t="shared" si="115"/>
        <v>0.95187731359069272</v>
      </c>
      <c r="L1204" t="s">
        <v>10217</v>
      </c>
      <c r="M1204" t="s">
        <v>165</v>
      </c>
      <c r="N1204" t="b">
        <f t="shared" si="116"/>
        <v>0</v>
      </c>
    </row>
    <row r="1205" spans="1:14" x14ac:dyDescent="0.15">
      <c r="A1205" t="s">
        <v>12357</v>
      </c>
      <c r="B1205" t="s">
        <v>12390</v>
      </c>
      <c r="C1205" t="s">
        <v>12389</v>
      </c>
      <c r="D1205" t="s">
        <v>23</v>
      </c>
      <c r="E1205" t="s">
        <v>3624</v>
      </c>
      <c r="F1205" s="5">
        <v>10244000</v>
      </c>
      <c r="G1205" s="5">
        <v>10244000</v>
      </c>
      <c r="H1205" s="4">
        <v>8146000</v>
      </c>
      <c r="I1205" s="2">
        <f t="shared" si="114"/>
        <v>0.79519718859820387</v>
      </c>
      <c r="J1205" s="4">
        <v>9200000</v>
      </c>
      <c r="K1205" s="2">
        <f t="shared" si="115"/>
        <v>0.89808668488871535</v>
      </c>
      <c r="L1205" t="s">
        <v>1624</v>
      </c>
      <c r="M1205" t="s">
        <v>174</v>
      </c>
      <c r="N1205" t="b">
        <f t="shared" si="116"/>
        <v>0</v>
      </c>
    </row>
    <row r="1206" spans="1:14" x14ac:dyDescent="0.15">
      <c r="A1206" t="s">
        <v>12357</v>
      </c>
      <c r="B1206" t="s">
        <v>12360</v>
      </c>
      <c r="C1206" t="s">
        <v>12391</v>
      </c>
      <c r="D1206" t="s">
        <v>23</v>
      </c>
      <c r="E1206" t="s">
        <v>12392</v>
      </c>
      <c r="F1206" s="5">
        <v>9370000</v>
      </c>
      <c r="G1206" s="5">
        <v>9370000</v>
      </c>
      <c r="H1206" s="4">
        <v>7496000</v>
      </c>
      <c r="I1206" s="2">
        <f t="shared" si="114"/>
        <v>0.8</v>
      </c>
      <c r="J1206" s="4">
        <v>8550000</v>
      </c>
      <c r="K1206" s="2">
        <f t="shared" si="115"/>
        <v>0.91248665955176089</v>
      </c>
      <c r="L1206" t="s">
        <v>12393</v>
      </c>
      <c r="M1206" t="s">
        <v>165</v>
      </c>
      <c r="N1206" t="b">
        <f t="shared" si="116"/>
        <v>0</v>
      </c>
    </row>
    <row r="1207" spans="1:14" x14ac:dyDescent="0.15">
      <c r="A1207" t="s">
        <v>12357</v>
      </c>
      <c r="B1207" t="s">
        <v>12390</v>
      </c>
      <c r="C1207" t="s">
        <v>12394</v>
      </c>
      <c r="D1207" t="s">
        <v>23</v>
      </c>
      <c r="E1207" t="s">
        <v>12395</v>
      </c>
      <c r="F1207" s="5" t="s">
        <v>145</v>
      </c>
      <c r="G1207" s="5" t="s">
        <v>145</v>
      </c>
      <c r="H1207" t="s">
        <v>145</v>
      </c>
      <c r="I1207" s="2" t="e">
        <f t="shared" si="114"/>
        <v>#VALUE!</v>
      </c>
      <c r="K1207" s="2" t="e">
        <f t="shared" si="115"/>
        <v>#VALUE!</v>
      </c>
      <c r="M1207" t="s">
        <v>21</v>
      </c>
      <c r="N1207" t="b">
        <f t="shared" si="116"/>
        <v>0</v>
      </c>
    </row>
    <row r="1208" spans="1:14" x14ac:dyDescent="0.15">
      <c r="A1208" t="s">
        <v>12357</v>
      </c>
      <c r="B1208" t="s">
        <v>12360</v>
      </c>
      <c r="C1208" t="s">
        <v>12396</v>
      </c>
      <c r="D1208" t="s">
        <v>23</v>
      </c>
      <c r="E1208" t="s">
        <v>12397</v>
      </c>
      <c r="F1208" s="5">
        <v>25306000</v>
      </c>
      <c r="G1208" s="5">
        <v>25306000</v>
      </c>
      <c r="H1208" s="4">
        <v>19878000</v>
      </c>
      <c r="I1208" s="2">
        <f t="shared" si="114"/>
        <v>0.7855054137358729</v>
      </c>
      <c r="J1208" s="4">
        <v>23800000</v>
      </c>
      <c r="K1208" s="2">
        <f t="shared" si="115"/>
        <v>0.9404884217181696</v>
      </c>
      <c r="L1208" t="s">
        <v>10407</v>
      </c>
      <c r="M1208" t="s">
        <v>174</v>
      </c>
      <c r="N1208" t="b">
        <f t="shared" si="116"/>
        <v>0</v>
      </c>
    </row>
    <row r="1209" spans="1:14" x14ac:dyDescent="0.15">
      <c r="A1209" t="s">
        <v>12357</v>
      </c>
      <c r="B1209" t="s">
        <v>12360</v>
      </c>
      <c r="C1209" t="s">
        <v>12398</v>
      </c>
      <c r="D1209" t="s">
        <v>23</v>
      </c>
      <c r="E1209" t="s">
        <v>12399</v>
      </c>
      <c r="F1209" s="5">
        <v>4670000</v>
      </c>
      <c r="G1209" s="5">
        <v>4670000</v>
      </c>
      <c r="H1209" s="4">
        <v>3723000</v>
      </c>
      <c r="I1209" s="2">
        <f t="shared" si="114"/>
        <v>0.79721627408993578</v>
      </c>
      <c r="J1209" s="4">
        <v>4300000</v>
      </c>
      <c r="K1209" s="2">
        <f t="shared" si="115"/>
        <v>0.92077087794432544</v>
      </c>
      <c r="L1209" t="s">
        <v>10639</v>
      </c>
      <c r="M1209" t="s">
        <v>432</v>
      </c>
      <c r="N1209" t="b">
        <f t="shared" si="116"/>
        <v>0</v>
      </c>
    </row>
    <row r="1210" spans="1:14" x14ac:dyDescent="0.15">
      <c r="A1210" t="s">
        <v>12357</v>
      </c>
      <c r="B1210" t="s">
        <v>12360</v>
      </c>
      <c r="C1210" t="s">
        <v>12400</v>
      </c>
      <c r="D1210" t="s">
        <v>23</v>
      </c>
      <c r="E1210" t="s">
        <v>12401</v>
      </c>
      <c r="F1210" s="5">
        <v>23890000</v>
      </c>
      <c r="G1210" s="5">
        <v>23890000</v>
      </c>
      <c r="H1210" s="4">
        <v>19082000</v>
      </c>
      <c r="I1210" s="2">
        <f t="shared" si="114"/>
        <v>0.79874424445374637</v>
      </c>
      <c r="J1210" s="4">
        <v>19534000</v>
      </c>
      <c r="K1210" s="2">
        <f t="shared" si="115"/>
        <v>0.81766429468396817</v>
      </c>
      <c r="L1210" t="s">
        <v>12402</v>
      </c>
      <c r="M1210" t="s">
        <v>165</v>
      </c>
      <c r="N1210" t="b">
        <f t="shared" si="116"/>
        <v>0</v>
      </c>
    </row>
    <row r="1211" spans="1:14" x14ac:dyDescent="0.15">
      <c r="A1211" t="s">
        <v>12357</v>
      </c>
      <c r="B1211" t="s">
        <v>12360</v>
      </c>
      <c r="C1211" t="s">
        <v>12403</v>
      </c>
      <c r="D1211" t="s">
        <v>23</v>
      </c>
      <c r="E1211" t="s">
        <v>12404</v>
      </c>
      <c r="F1211" s="5">
        <v>30040000</v>
      </c>
      <c r="G1211" s="5">
        <v>30040000</v>
      </c>
      <c r="H1211" s="4">
        <v>23906000</v>
      </c>
      <c r="I1211" s="2">
        <f t="shared" si="114"/>
        <v>0.79580559254327565</v>
      </c>
      <c r="J1211" s="4">
        <v>29800000</v>
      </c>
      <c r="K1211" s="2">
        <f t="shared" si="115"/>
        <v>0.99201065246338216</v>
      </c>
      <c r="L1211" t="s">
        <v>10326</v>
      </c>
      <c r="M1211" t="s">
        <v>192</v>
      </c>
      <c r="N1211" t="b">
        <f t="shared" si="116"/>
        <v>0</v>
      </c>
    </row>
    <row r="1212" spans="1:14" x14ac:dyDescent="0.15">
      <c r="A1212" t="s">
        <v>12357</v>
      </c>
      <c r="B1212" t="s">
        <v>12360</v>
      </c>
      <c r="C1212" t="s">
        <v>12405</v>
      </c>
      <c r="D1212" t="s">
        <v>23</v>
      </c>
      <c r="E1212" t="s">
        <v>12406</v>
      </c>
      <c r="F1212" s="5">
        <v>12629000</v>
      </c>
      <c r="G1212" s="5">
        <v>12629000</v>
      </c>
      <c r="H1212" s="4">
        <v>10058000</v>
      </c>
      <c r="I1212" s="2">
        <f t="shared" si="114"/>
        <v>0.79642093594108798</v>
      </c>
      <c r="J1212" s="4">
        <v>11300000</v>
      </c>
      <c r="K1212" s="2">
        <f t="shared" si="115"/>
        <v>0.89476601472800699</v>
      </c>
      <c r="L1212" t="s">
        <v>1458</v>
      </c>
      <c r="M1212" t="s">
        <v>165</v>
      </c>
      <c r="N1212" t="b">
        <f t="shared" si="116"/>
        <v>0</v>
      </c>
    </row>
    <row r="1213" spans="1:14" x14ac:dyDescent="0.15">
      <c r="A1213" t="s">
        <v>12357</v>
      </c>
      <c r="B1213" t="s">
        <v>12360</v>
      </c>
      <c r="C1213" t="s">
        <v>12407</v>
      </c>
      <c r="D1213" t="s">
        <v>23</v>
      </c>
      <c r="E1213" t="s">
        <v>12408</v>
      </c>
      <c r="F1213" s="5">
        <v>21794000</v>
      </c>
      <c r="G1213" s="5">
        <v>21794000</v>
      </c>
      <c r="H1213" s="4">
        <v>17347000</v>
      </c>
      <c r="I1213" s="2">
        <f t="shared" si="114"/>
        <v>0.79595301459117185</v>
      </c>
      <c r="J1213" s="4">
        <v>21300000</v>
      </c>
      <c r="K1213" s="2">
        <f t="shared" si="115"/>
        <v>0.97733321097549786</v>
      </c>
      <c r="L1213" t="s">
        <v>12402</v>
      </c>
      <c r="M1213" t="s">
        <v>165</v>
      </c>
      <c r="N1213" t="b">
        <f t="shared" si="116"/>
        <v>0</v>
      </c>
    </row>
    <row r="1214" spans="1:14" x14ac:dyDescent="0.15">
      <c r="A1214" t="s">
        <v>12357</v>
      </c>
      <c r="B1214" t="s">
        <v>12360</v>
      </c>
      <c r="C1214" t="s">
        <v>12409</v>
      </c>
      <c r="D1214" t="s">
        <v>23</v>
      </c>
      <c r="E1214" t="s">
        <v>12410</v>
      </c>
      <c r="F1214" s="5">
        <v>25998000</v>
      </c>
      <c r="G1214" s="5">
        <v>25998000</v>
      </c>
      <c r="H1214" s="4">
        <v>20686000</v>
      </c>
      <c r="I1214" s="2">
        <f t="shared" si="114"/>
        <v>0.79567659050696204</v>
      </c>
      <c r="J1214" s="4">
        <v>22900000</v>
      </c>
      <c r="K1214" s="2">
        <f t="shared" si="115"/>
        <v>0.88083698746057393</v>
      </c>
      <c r="L1214" t="s">
        <v>1458</v>
      </c>
      <c r="M1214" t="s">
        <v>165</v>
      </c>
      <c r="N1214" t="b">
        <f t="shared" si="116"/>
        <v>0</v>
      </c>
    </row>
    <row r="1215" spans="1:14" x14ac:dyDescent="0.15">
      <c r="A1215" t="s">
        <v>12357</v>
      </c>
      <c r="B1215" t="s">
        <v>12360</v>
      </c>
      <c r="C1215" t="s">
        <v>12411</v>
      </c>
      <c r="D1215" t="s">
        <v>23</v>
      </c>
      <c r="E1215" t="s">
        <v>12412</v>
      </c>
      <c r="F1215" s="5">
        <v>20161000</v>
      </c>
      <c r="G1215" s="5">
        <v>20161000</v>
      </c>
      <c r="H1215" s="4">
        <v>15890000</v>
      </c>
      <c r="I1215" s="2">
        <f t="shared" si="114"/>
        <v>0.78815534943703192</v>
      </c>
      <c r="J1215" s="4">
        <v>18300000</v>
      </c>
      <c r="K1215" s="2">
        <f t="shared" si="115"/>
        <v>0.90769307078021921</v>
      </c>
      <c r="L1215" t="s">
        <v>853</v>
      </c>
      <c r="M1215" t="s">
        <v>174</v>
      </c>
      <c r="N1215" t="b">
        <f t="shared" si="116"/>
        <v>0</v>
      </c>
    </row>
    <row r="1216" spans="1:14" x14ac:dyDescent="0.15">
      <c r="A1216" t="s">
        <v>12357</v>
      </c>
      <c r="B1216" t="s">
        <v>12360</v>
      </c>
      <c r="C1216" t="s">
        <v>12413</v>
      </c>
      <c r="D1216" t="s">
        <v>23</v>
      </c>
      <c r="E1216" t="s">
        <v>12414</v>
      </c>
      <c r="F1216" s="5">
        <v>733000</v>
      </c>
      <c r="G1216" s="5">
        <v>733000</v>
      </c>
      <c r="H1216" s="4">
        <v>513100</v>
      </c>
      <c r="I1216" s="2">
        <f t="shared" si="114"/>
        <v>0.7</v>
      </c>
      <c r="J1216" s="4">
        <v>680000</v>
      </c>
      <c r="K1216" s="2">
        <f t="shared" si="115"/>
        <v>0.92769440654843105</v>
      </c>
      <c r="L1216" t="s">
        <v>12415</v>
      </c>
      <c r="M1216" t="s">
        <v>21</v>
      </c>
      <c r="N1216" t="b">
        <f t="shared" si="116"/>
        <v>0</v>
      </c>
    </row>
    <row r="1217" spans="1:14" x14ac:dyDescent="0.15">
      <c r="A1217" t="s">
        <v>12357</v>
      </c>
      <c r="B1217" t="s">
        <v>12360</v>
      </c>
      <c r="C1217" t="s">
        <v>12416</v>
      </c>
      <c r="D1217" t="s">
        <v>23</v>
      </c>
      <c r="E1217" t="s">
        <v>12417</v>
      </c>
      <c r="F1217" s="5">
        <v>37500000</v>
      </c>
      <c r="G1217" s="5">
        <v>37500000</v>
      </c>
      <c r="H1217" s="4">
        <v>29432000</v>
      </c>
      <c r="I1217" s="2">
        <f t="shared" si="114"/>
        <v>0.78485333333333329</v>
      </c>
      <c r="J1217" s="4">
        <v>35200000</v>
      </c>
      <c r="K1217" s="2">
        <f t="shared" si="115"/>
        <v>0.93866666666666665</v>
      </c>
      <c r="L1217" t="s">
        <v>12364</v>
      </c>
      <c r="M1217" t="s">
        <v>192</v>
      </c>
      <c r="N1217" t="b">
        <f t="shared" si="116"/>
        <v>0</v>
      </c>
    </row>
    <row r="1218" spans="1:14" x14ac:dyDescent="0.15">
      <c r="A1218" t="s">
        <v>12357</v>
      </c>
      <c r="B1218" t="s">
        <v>12360</v>
      </c>
      <c r="C1218" t="s">
        <v>12418</v>
      </c>
      <c r="D1218" t="s">
        <v>23</v>
      </c>
      <c r="E1218" t="s">
        <v>12419</v>
      </c>
      <c r="F1218" s="5">
        <v>40027000</v>
      </c>
      <c r="G1218" s="5">
        <v>40027000</v>
      </c>
      <c r="H1218" s="4">
        <v>31430000</v>
      </c>
      <c r="I1218" s="2">
        <f t="shared" si="114"/>
        <v>0.78521997651585185</v>
      </c>
      <c r="J1218" s="4">
        <v>38000000</v>
      </c>
      <c r="K1218" s="2">
        <f t="shared" si="115"/>
        <v>0.94935918255177754</v>
      </c>
      <c r="L1218" t="s">
        <v>9367</v>
      </c>
      <c r="M1218" t="s">
        <v>192</v>
      </c>
      <c r="N1218" t="b">
        <f t="shared" si="116"/>
        <v>0</v>
      </c>
    </row>
    <row r="1219" spans="1:14" x14ac:dyDescent="0.15">
      <c r="A1219" t="s">
        <v>12357</v>
      </c>
      <c r="B1219" t="s">
        <v>12390</v>
      </c>
      <c r="C1219" t="s">
        <v>12420</v>
      </c>
      <c r="D1219" t="s">
        <v>23</v>
      </c>
      <c r="E1219" t="s">
        <v>12421</v>
      </c>
      <c r="F1219" s="5">
        <v>12480000</v>
      </c>
      <c r="G1219" s="5">
        <v>12480000</v>
      </c>
      <c r="H1219" s="4">
        <v>9920000</v>
      </c>
      <c r="I1219" s="2">
        <f t="shared" si="114"/>
        <v>0.79487179487179482</v>
      </c>
      <c r="J1219" s="4">
        <v>11400000</v>
      </c>
      <c r="K1219" s="2">
        <f t="shared" si="115"/>
        <v>0.91346153846153844</v>
      </c>
      <c r="L1219" t="s">
        <v>4034</v>
      </c>
      <c r="M1219" t="s">
        <v>165</v>
      </c>
      <c r="N1219" t="b">
        <f t="shared" si="116"/>
        <v>0</v>
      </c>
    </row>
    <row r="1220" spans="1:14" x14ac:dyDescent="0.15">
      <c r="A1220" t="s">
        <v>12357</v>
      </c>
      <c r="B1220" t="s">
        <v>12360</v>
      </c>
      <c r="C1220" t="s">
        <v>12422</v>
      </c>
      <c r="D1220" t="s">
        <v>23</v>
      </c>
      <c r="E1220" t="s">
        <v>12423</v>
      </c>
      <c r="F1220" s="5">
        <v>849000</v>
      </c>
      <c r="G1220" s="5">
        <v>849000</v>
      </c>
      <c r="H1220" s="4">
        <v>675000</v>
      </c>
      <c r="I1220" s="2">
        <f t="shared" ref="I1220:I1283" si="117">H1220/G1220</f>
        <v>0.79505300353356889</v>
      </c>
      <c r="J1220" s="4">
        <v>720000</v>
      </c>
      <c r="K1220" s="2">
        <f t="shared" ref="K1220:K1283" si="118">J1220/G1220</f>
        <v>0.84805653710247353</v>
      </c>
      <c r="L1220" t="s">
        <v>1558</v>
      </c>
      <c r="M1220" t="s">
        <v>21</v>
      </c>
      <c r="N1220" t="b">
        <f t="shared" ref="N1220:N1283" si="119">F1220&lt;&gt;G1220</f>
        <v>0</v>
      </c>
    </row>
    <row r="1221" spans="1:14" x14ac:dyDescent="0.15">
      <c r="A1221" t="s">
        <v>12357</v>
      </c>
      <c r="B1221" t="s">
        <v>12360</v>
      </c>
      <c r="C1221" t="s">
        <v>12424</v>
      </c>
      <c r="D1221" t="s">
        <v>23</v>
      </c>
      <c r="E1221" t="s">
        <v>12425</v>
      </c>
      <c r="F1221" s="5">
        <v>14191000</v>
      </c>
      <c r="G1221" s="5">
        <v>14191000</v>
      </c>
      <c r="H1221" s="4">
        <v>11352000</v>
      </c>
      <c r="I1221" s="2">
        <f t="shared" si="117"/>
        <v>0.79994362624198434</v>
      </c>
      <c r="J1221" s="4">
        <v>13300000</v>
      </c>
      <c r="K1221" s="2">
        <f t="shared" si="118"/>
        <v>0.93721372701007677</v>
      </c>
      <c r="L1221" t="s">
        <v>1384</v>
      </c>
      <c r="M1221" t="s">
        <v>165</v>
      </c>
      <c r="N1221" t="b">
        <f t="shared" si="119"/>
        <v>0</v>
      </c>
    </row>
    <row r="1222" spans="1:14" x14ac:dyDescent="0.15">
      <c r="A1222" t="s">
        <v>12357</v>
      </c>
      <c r="B1222" t="s">
        <v>12360</v>
      </c>
      <c r="C1222" t="s">
        <v>12426</v>
      </c>
      <c r="D1222" t="s">
        <v>23</v>
      </c>
      <c r="E1222" t="s">
        <v>12427</v>
      </c>
      <c r="F1222" s="5">
        <v>15328000</v>
      </c>
      <c r="G1222" s="5">
        <v>15328000</v>
      </c>
      <c r="H1222" s="4">
        <v>12262000</v>
      </c>
      <c r="I1222" s="2">
        <f t="shared" si="117"/>
        <v>0.79997390396659707</v>
      </c>
      <c r="J1222" s="4">
        <v>14400000</v>
      </c>
      <c r="K1222" s="2">
        <f t="shared" si="118"/>
        <v>0.93945720250521925</v>
      </c>
      <c r="L1222" t="s">
        <v>4816</v>
      </c>
      <c r="M1222" t="s">
        <v>165</v>
      </c>
      <c r="N1222" t="b">
        <f t="shared" si="119"/>
        <v>0</v>
      </c>
    </row>
    <row r="1223" spans="1:14" x14ac:dyDescent="0.15">
      <c r="A1223" t="s">
        <v>12357</v>
      </c>
      <c r="B1223" t="s">
        <v>12360</v>
      </c>
      <c r="C1223" t="s">
        <v>12428</v>
      </c>
      <c r="D1223" t="s">
        <v>23</v>
      </c>
      <c r="E1223" t="s">
        <v>12429</v>
      </c>
      <c r="F1223" s="5">
        <v>13198000</v>
      </c>
      <c r="G1223" s="5">
        <v>13198000</v>
      </c>
      <c r="H1223" s="4">
        <v>10558000</v>
      </c>
      <c r="I1223" s="2">
        <f t="shared" si="117"/>
        <v>0.79996969237763293</v>
      </c>
      <c r="J1223" s="4">
        <v>12500000</v>
      </c>
      <c r="K1223" s="2">
        <f t="shared" si="118"/>
        <v>0.94711319896954083</v>
      </c>
      <c r="L1223" t="s">
        <v>12361</v>
      </c>
      <c r="M1223" t="s">
        <v>165</v>
      </c>
      <c r="N1223" t="b">
        <f t="shared" si="119"/>
        <v>0</v>
      </c>
    </row>
    <row r="1224" spans="1:14" x14ac:dyDescent="0.15">
      <c r="A1224" t="s">
        <v>12357</v>
      </c>
      <c r="B1224" t="s">
        <v>12360</v>
      </c>
      <c r="C1224" t="s">
        <v>12430</v>
      </c>
      <c r="D1224" t="s">
        <v>23</v>
      </c>
      <c r="E1224" t="s">
        <v>12431</v>
      </c>
      <c r="F1224" s="5">
        <v>24440000</v>
      </c>
      <c r="G1224" s="5">
        <v>24440000</v>
      </c>
      <c r="H1224" s="4">
        <v>17108000</v>
      </c>
      <c r="I1224" s="2">
        <f t="shared" si="117"/>
        <v>0.7</v>
      </c>
      <c r="J1224" s="4">
        <v>21000000</v>
      </c>
      <c r="K1224" s="2">
        <f t="shared" si="118"/>
        <v>0.85924713584288048</v>
      </c>
      <c r="L1224" t="s">
        <v>1458</v>
      </c>
      <c r="M1224" t="s">
        <v>165</v>
      </c>
      <c r="N1224" t="b">
        <f t="shared" si="119"/>
        <v>0</v>
      </c>
    </row>
    <row r="1225" spans="1:14" x14ac:dyDescent="0.15">
      <c r="A1225" t="s">
        <v>12357</v>
      </c>
      <c r="B1225" t="s">
        <v>12360</v>
      </c>
      <c r="C1225" t="s">
        <v>12432</v>
      </c>
      <c r="D1225" t="s">
        <v>23</v>
      </c>
      <c r="E1225" t="s">
        <v>12433</v>
      </c>
      <c r="F1225" s="5">
        <v>17249000</v>
      </c>
      <c r="G1225" s="5">
        <v>17249000</v>
      </c>
      <c r="H1225" s="4">
        <v>13733000</v>
      </c>
      <c r="I1225" s="2">
        <f t="shared" si="117"/>
        <v>0.79616209635341184</v>
      </c>
      <c r="J1225" s="4">
        <v>16400000</v>
      </c>
      <c r="K1225" s="2">
        <f t="shared" si="118"/>
        <v>0.95077975534813608</v>
      </c>
      <c r="L1225" t="s">
        <v>1450</v>
      </c>
      <c r="M1225" t="s">
        <v>165</v>
      </c>
      <c r="N1225" t="b">
        <f t="shared" si="119"/>
        <v>0</v>
      </c>
    </row>
    <row r="1226" spans="1:14" x14ac:dyDescent="0.15">
      <c r="A1226" t="s">
        <v>12357</v>
      </c>
      <c r="B1226" t="s">
        <v>12360</v>
      </c>
      <c r="C1226" t="s">
        <v>12434</v>
      </c>
      <c r="D1226" t="s">
        <v>23</v>
      </c>
      <c r="E1226" t="s">
        <v>12435</v>
      </c>
      <c r="F1226" s="5">
        <v>17249000</v>
      </c>
      <c r="G1226" s="5">
        <v>17249000</v>
      </c>
      <c r="H1226" s="4">
        <v>13733000</v>
      </c>
      <c r="I1226" s="2">
        <f t="shared" si="117"/>
        <v>0.79616209635341184</v>
      </c>
      <c r="J1226" s="4">
        <v>15800000</v>
      </c>
      <c r="K1226" s="2">
        <f t="shared" si="118"/>
        <v>0.91599513015247258</v>
      </c>
      <c r="L1226" t="s">
        <v>3321</v>
      </c>
      <c r="M1226" t="s">
        <v>165</v>
      </c>
      <c r="N1226" t="b">
        <f t="shared" si="119"/>
        <v>0</v>
      </c>
    </row>
    <row r="1227" spans="1:14" x14ac:dyDescent="0.15">
      <c r="A1227" t="s">
        <v>12357</v>
      </c>
      <c r="B1227" t="s">
        <v>12360</v>
      </c>
      <c r="C1227" t="s">
        <v>12436</v>
      </c>
      <c r="D1227" t="s">
        <v>23</v>
      </c>
      <c r="E1227" t="s">
        <v>12437</v>
      </c>
      <c r="F1227" s="5">
        <v>13794000</v>
      </c>
      <c r="G1227" s="5">
        <v>13794000</v>
      </c>
      <c r="H1227" s="4">
        <v>10909000</v>
      </c>
      <c r="I1227" s="2">
        <f t="shared" si="117"/>
        <v>0.79085109467884585</v>
      </c>
      <c r="J1227" s="4">
        <v>11000000</v>
      </c>
      <c r="K1227" s="2">
        <f t="shared" si="118"/>
        <v>0.79744816586921852</v>
      </c>
      <c r="L1227" t="s">
        <v>1450</v>
      </c>
      <c r="M1227" t="s">
        <v>165</v>
      </c>
      <c r="N1227" t="b">
        <f t="shared" si="119"/>
        <v>0</v>
      </c>
    </row>
    <row r="1228" spans="1:14" x14ac:dyDescent="0.15">
      <c r="A1228" t="s">
        <v>12357</v>
      </c>
      <c r="B1228" t="s">
        <v>12360</v>
      </c>
      <c r="C1228" t="s">
        <v>12438</v>
      </c>
      <c r="D1228" t="s">
        <v>23</v>
      </c>
      <c r="E1228" t="s">
        <v>12439</v>
      </c>
      <c r="F1228" s="5">
        <v>25399000</v>
      </c>
      <c r="G1228" s="5">
        <v>25399000</v>
      </c>
      <c r="H1228" s="4">
        <v>20122000</v>
      </c>
      <c r="I1228" s="2">
        <f t="shared" si="117"/>
        <v>0.79223591479979527</v>
      </c>
      <c r="J1228" s="4">
        <v>20800000</v>
      </c>
      <c r="K1228" s="2">
        <f t="shared" si="118"/>
        <v>0.81892987912909954</v>
      </c>
      <c r="L1228" t="s">
        <v>12393</v>
      </c>
      <c r="M1228" t="s">
        <v>165</v>
      </c>
      <c r="N1228" t="b">
        <f t="shared" si="119"/>
        <v>0</v>
      </c>
    </row>
    <row r="1229" spans="1:14" x14ac:dyDescent="0.15">
      <c r="A1229" t="s">
        <v>12357</v>
      </c>
      <c r="B1229" t="s">
        <v>12360</v>
      </c>
      <c r="C1229" t="s">
        <v>12440</v>
      </c>
      <c r="D1229" t="s">
        <v>23</v>
      </c>
      <c r="E1229" t="s">
        <v>12441</v>
      </c>
      <c r="F1229" s="5">
        <v>9440000</v>
      </c>
      <c r="G1229" s="5">
        <v>9440000</v>
      </c>
      <c r="H1229" s="4">
        <v>7513000</v>
      </c>
      <c r="I1229" s="2">
        <f t="shared" si="117"/>
        <v>0.79586864406779656</v>
      </c>
      <c r="J1229" s="4">
        <v>8500000</v>
      </c>
      <c r="K1229" s="2">
        <f t="shared" si="118"/>
        <v>0.90042372881355937</v>
      </c>
      <c r="L1229" t="s">
        <v>10639</v>
      </c>
      <c r="M1229" t="s">
        <v>165</v>
      </c>
      <c r="N1229" t="b">
        <f t="shared" si="119"/>
        <v>0</v>
      </c>
    </row>
    <row r="1230" spans="1:14" x14ac:dyDescent="0.15">
      <c r="A1230" t="s">
        <v>12357</v>
      </c>
      <c r="B1230" t="s">
        <v>12390</v>
      </c>
      <c r="C1230" t="s">
        <v>12442</v>
      </c>
      <c r="D1230" t="s">
        <v>23</v>
      </c>
      <c r="E1230" t="s">
        <v>12443</v>
      </c>
      <c r="F1230" s="5" t="s">
        <v>145</v>
      </c>
      <c r="G1230" s="5" t="s">
        <v>145</v>
      </c>
      <c r="H1230" t="s">
        <v>145</v>
      </c>
      <c r="I1230" s="2" t="e">
        <f t="shared" si="117"/>
        <v>#VALUE!</v>
      </c>
      <c r="K1230" s="2" t="e">
        <f t="shared" si="118"/>
        <v>#VALUE!</v>
      </c>
      <c r="M1230" t="s">
        <v>432</v>
      </c>
      <c r="N1230" t="b">
        <f t="shared" si="119"/>
        <v>0</v>
      </c>
    </row>
    <row r="1231" spans="1:14" x14ac:dyDescent="0.15">
      <c r="A1231" t="s">
        <v>12357</v>
      </c>
      <c r="B1231" t="s">
        <v>12360</v>
      </c>
      <c r="C1231" t="s">
        <v>12444</v>
      </c>
      <c r="D1231" t="s">
        <v>23</v>
      </c>
      <c r="E1231" t="s">
        <v>12445</v>
      </c>
      <c r="F1231" s="5">
        <v>31025000</v>
      </c>
      <c r="G1231" s="5">
        <v>31025000</v>
      </c>
      <c r="H1231" s="4">
        <v>21717500</v>
      </c>
      <c r="I1231" s="2">
        <f t="shared" si="117"/>
        <v>0.7</v>
      </c>
      <c r="J1231" s="4">
        <v>27000000</v>
      </c>
      <c r="K1231" s="2">
        <f t="shared" si="118"/>
        <v>0.87026591458501212</v>
      </c>
      <c r="L1231" t="s">
        <v>1458</v>
      </c>
      <c r="M1231" t="s">
        <v>192</v>
      </c>
      <c r="N1231" t="b">
        <f t="shared" si="119"/>
        <v>0</v>
      </c>
    </row>
    <row r="1232" spans="1:14" x14ac:dyDescent="0.15">
      <c r="A1232" t="s">
        <v>12357</v>
      </c>
      <c r="B1232" t="s">
        <v>12360</v>
      </c>
      <c r="C1232" t="s">
        <v>12446</v>
      </c>
      <c r="D1232" t="s">
        <v>23</v>
      </c>
      <c r="E1232" t="s">
        <v>12447</v>
      </c>
      <c r="F1232" s="5">
        <v>7600000</v>
      </c>
      <c r="G1232" s="5">
        <v>7600000</v>
      </c>
      <c r="H1232" s="4">
        <v>6080000</v>
      </c>
      <c r="I1232" s="2">
        <f t="shared" si="117"/>
        <v>0.8</v>
      </c>
      <c r="J1232" s="4">
        <v>7300000</v>
      </c>
      <c r="K1232" s="2">
        <f t="shared" si="118"/>
        <v>0.96052631578947367</v>
      </c>
      <c r="L1232" t="s">
        <v>12402</v>
      </c>
      <c r="M1232" t="s">
        <v>432</v>
      </c>
      <c r="N1232" t="b">
        <f t="shared" si="119"/>
        <v>0</v>
      </c>
    </row>
    <row r="1233" spans="1:14" x14ac:dyDescent="0.15">
      <c r="A1233" t="s">
        <v>12357</v>
      </c>
      <c r="B1233" t="s">
        <v>12360</v>
      </c>
      <c r="C1233" t="s">
        <v>12448</v>
      </c>
      <c r="D1233" t="s">
        <v>23</v>
      </c>
      <c r="E1233" t="s">
        <v>12449</v>
      </c>
      <c r="F1233" s="5">
        <v>14649000</v>
      </c>
      <c r="G1233" s="5">
        <v>14649000</v>
      </c>
      <c r="H1233" s="4">
        <v>11606000</v>
      </c>
      <c r="I1233" s="2">
        <f t="shared" si="117"/>
        <v>0.79227251006894672</v>
      </c>
      <c r="J1233" s="4">
        <v>13700000</v>
      </c>
      <c r="K1233" s="2">
        <f t="shared" si="118"/>
        <v>0.93521742098436755</v>
      </c>
      <c r="L1233" t="s">
        <v>853</v>
      </c>
      <c r="M1233" t="s">
        <v>165</v>
      </c>
      <c r="N1233" t="b">
        <f t="shared" si="119"/>
        <v>0</v>
      </c>
    </row>
    <row r="1234" spans="1:14" x14ac:dyDescent="0.15">
      <c r="A1234" t="s">
        <v>12357</v>
      </c>
      <c r="B1234" t="s">
        <v>12360</v>
      </c>
      <c r="C1234" t="s">
        <v>12450</v>
      </c>
      <c r="D1234" t="s">
        <v>23</v>
      </c>
      <c r="E1234" t="s">
        <v>12451</v>
      </c>
      <c r="F1234" s="5">
        <v>14707000</v>
      </c>
      <c r="G1234" s="5">
        <v>14707000</v>
      </c>
      <c r="H1234" s="4">
        <v>11620000</v>
      </c>
      <c r="I1234" s="2">
        <f t="shared" si="117"/>
        <v>0.7900999524036173</v>
      </c>
      <c r="J1234" s="4">
        <v>14000000</v>
      </c>
      <c r="K1234" s="2">
        <f t="shared" si="118"/>
        <v>0.95192765349833408</v>
      </c>
      <c r="L1234" t="s">
        <v>9367</v>
      </c>
      <c r="M1234" t="s">
        <v>165</v>
      </c>
      <c r="N1234" t="b">
        <f t="shared" si="119"/>
        <v>0</v>
      </c>
    </row>
    <row r="1235" spans="1:14" x14ac:dyDescent="0.15">
      <c r="A1235" t="s">
        <v>12357</v>
      </c>
      <c r="B1235" t="s">
        <v>12390</v>
      </c>
      <c r="C1235" t="s">
        <v>12452</v>
      </c>
      <c r="D1235" t="s">
        <v>23</v>
      </c>
      <c r="E1235" t="s">
        <v>12453</v>
      </c>
      <c r="F1235" s="5">
        <v>12150000</v>
      </c>
      <c r="G1235" s="5">
        <v>10431000</v>
      </c>
      <c r="H1235" s="4">
        <v>7301700</v>
      </c>
      <c r="I1235" s="2">
        <f t="shared" si="117"/>
        <v>0.7</v>
      </c>
      <c r="J1235" s="4">
        <v>8900000</v>
      </c>
      <c r="K1235" s="2">
        <f t="shared" si="118"/>
        <v>0.85322596107755733</v>
      </c>
      <c r="L1235" t="s">
        <v>10639</v>
      </c>
      <c r="M1235" t="s">
        <v>165</v>
      </c>
      <c r="N1235" t="b">
        <f t="shared" si="119"/>
        <v>1</v>
      </c>
    </row>
    <row r="1236" spans="1:14" x14ac:dyDescent="0.15">
      <c r="A1236" t="s">
        <v>12357</v>
      </c>
      <c r="B1236" t="s">
        <v>12390</v>
      </c>
      <c r="C1236" t="s">
        <v>12454</v>
      </c>
      <c r="D1236" t="s">
        <v>23</v>
      </c>
      <c r="E1236" t="s">
        <v>12455</v>
      </c>
      <c r="F1236" s="5">
        <v>7942000</v>
      </c>
      <c r="G1236" s="5">
        <v>7942000</v>
      </c>
      <c r="H1236" s="4">
        <v>5559400</v>
      </c>
      <c r="I1236" s="2">
        <f t="shared" si="117"/>
        <v>0.7</v>
      </c>
      <c r="J1236" s="4">
        <v>7150000</v>
      </c>
      <c r="K1236" s="2">
        <f t="shared" si="118"/>
        <v>0.90027700831024926</v>
      </c>
      <c r="L1236" t="s">
        <v>1104</v>
      </c>
      <c r="M1236" t="s">
        <v>432</v>
      </c>
      <c r="N1236" t="b">
        <f t="shared" si="119"/>
        <v>0</v>
      </c>
    </row>
    <row r="1237" spans="1:14" x14ac:dyDescent="0.15">
      <c r="A1237" t="s">
        <v>12357</v>
      </c>
      <c r="B1237" t="s">
        <v>12390</v>
      </c>
      <c r="C1237" t="s">
        <v>12456</v>
      </c>
      <c r="D1237" t="s">
        <v>23</v>
      </c>
      <c r="E1237" t="s">
        <v>12457</v>
      </c>
      <c r="F1237" s="5">
        <v>30033000</v>
      </c>
      <c r="G1237" s="5">
        <v>30033000</v>
      </c>
      <c r="H1237" s="4">
        <v>21023100</v>
      </c>
      <c r="I1237" s="2">
        <f t="shared" si="117"/>
        <v>0.7</v>
      </c>
      <c r="J1237" s="4">
        <v>27200000</v>
      </c>
      <c r="K1237" s="2">
        <f t="shared" si="118"/>
        <v>0.90567042919455265</v>
      </c>
      <c r="L1237" t="s">
        <v>1104</v>
      </c>
      <c r="M1237" t="s">
        <v>192</v>
      </c>
      <c r="N1237" t="b">
        <f t="shared" si="119"/>
        <v>0</v>
      </c>
    </row>
    <row r="1238" spans="1:14" x14ac:dyDescent="0.15">
      <c r="A1238" t="s">
        <v>12458</v>
      </c>
      <c r="B1238" t="s">
        <v>12461</v>
      </c>
      <c r="C1238" t="s">
        <v>12459</v>
      </c>
      <c r="D1238" t="s">
        <v>23</v>
      </c>
      <c r="E1238" t="s">
        <v>12460</v>
      </c>
      <c r="F1238" s="5">
        <f t="shared" ref="F1238:F1301" si="120">G1238</f>
        <v>4167000</v>
      </c>
      <c r="G1238" s="5">
        <v>4167000</v>
      </c>
      <c r="I1238" s="2">
        <f t="shared" si="117"/>
        <v>0</v>
      </c>
      <c r="J1238" s="4">
        <v>3900000</v>
      </c>
      <c r="K1238" s="2">
        <f t="shared" si="118"/>
        <v>0.93592512598992084</v>
      </c>
      <c r="L1238" t="s">
        <v>5636</v>
      </c>
      <c r="M1238" t="s">
        <v>432</v>
      </c>
      <c r="N1238" t="b">
        <f t="shared" si="119"/>
        <v>0</v>
      </c>
    </row>
    <row r="1239" spans="1:14" x14ac:dyDescent="0.15">
      <c r="A1239" t="s">
        <v>12458</v>
      </c>
      <c r="B1239" t="s">
        <v>12464</v>
      </c>
      <c r="C1239" t="s">
        <v>12462</v>
      </c>
      <c r="D1239" t="s">
        <v>23</v>
      </c>
      <c r="E1239" t="s">
        <v>12463</v>
      </c>
      <c r="F1239" s="5">
        <f t="shared" si="120"/>
        <v>6824000</v>
      </c>
      <c r="G1239" s="5">
        <v>6824000</v>
      </c>
      <c r="H1239" s="4">
        <v>5482000</v>
      </c>
      <c r="I1239" s="2">
        <f t="shared" si="117"/>
        <v>0.80334114888628372</v>
      </c>
      <c r="J1239" s="4">
        <v>5980000</v>
      </c>
      <c r="K1239" s="2">
        <f t="shared" si="118"/>
        <v>0.87631887456037516</v>
      </c>
      <c r="L1239" t="s">
        <v>5422</v>
      </c>
      <c r="M1239" t="s">
        <v>126</v>
      </c>
      <c r="N1239" t="b">
        <f t="shared" si="119"/>
        <v>0</v>
      </c>
    </row>
    <row r="1240" spans="1:14" x14ac:dyDescent="0.15">
      <c r="A1240" t="s">
        <v>12458</v>
      </c>
      <c r="B1240" t="s">
        <v>12464</v>
      </c>
      <c r="C1240" t="s">
        <v>12465</v>
      </c>
      <c r="D1240" t="s">
        <v>23</v>
      </c>
      <c r="E1240" t="s">
        <v>12466</v>
      </c>
      <c r="F1240" s="5">
        <f t="shared" si="120"/>
        <v>15853000</v>
      </c>
      <c r="G1240" s="5">
        <v>15853000</v>
      </c>
      <c r="H1240" s="4">
        <v>12524000</v>
      </c>
      <c r="I1240" s="2">
        <f t="shared" si="117"/>
        <v>0.79000820034062957</v>
      </c>
      <c r="J1240" s="4">
        <v>14580000</v>
      </c>
      <c r="K1240" s="2">
        <f t="shared" si="118"/>
        <v>0.91969974137387245</v>
      </c>
      <c r="L1240" t="s">
        <v>12467</v>
      </c>
      <c r="M1240" t="s">
        <v>80</v>
      </c>
      <c r="N1240" t="b">
        <f t="shared" si="119"/>
        <v>0</v>
      </c>
    </row>
    <row r="1241" spans="1:14" x14ac:dyDescent="0.15">
      <c r="A1241" t="s">
        <v>12458</v>
      </c>
      <c r="B1241" t="s">
        <v>12464</v>
      </c>
      <c r="C1241" t="s">
        <v>12468</v>
      </c>
      <c r="D1241" t="s">
        <v>23</v>
      </c>
      <c r="E1241" t="s">
        <v>12469</v>
      </c>
      <c r="F1241" s="5">
        <f t="shared" si="120"/>
        <v>6440000</v>
      </c>
      <c r="G1241" s="5">
        <v>6440000</v>
      </c>
      <c r="H1241" s="4">
        <v>5175000</v>
      </c>
      <c r="I1241" s="2">
        <f t="shared" si="117"/>
        <v>0.8035714285714286</v>
      </c>
      <c r="J1241" s="4">
        <v>5175000</v>
      </c>
      <c r="K1241" s="2">
        <f t="shared" si="118"/>
        <v>0.8035714285714286</v>
      </c>
      <c r="L1241" t="s">
        <v>12470</v>
      </c>
      <c r="M1241" t="s">
        <v>192</v>
      </c>
      <c r="N1241" t="b">
        <f t="shared" si="119"/>
        <v>0</v>
      </c>
    </row>
    <row r="1242" spans="1:14" x14ac:dyDescent="0.15">
      <c r="A1242" t="s">
        <v>12458</v>
      </c>
      <c r="B1242" t="s">
        <v>12464</v>
      </c>
      <c r="C1242" t="s">
        <v>12471</v>
      </c>
      <c r="D1242" t="s">
        <v>23</v>
      </c>
      <c r="E1242" t="s">
        <v>1893</v>
      </c>
      <c r="F1242" s="5">
        <f t="shared" si="120"/>
        <v>7040000</v>
      </c>
      <c r="G1242" s="5">
        <v>7040000</v>
      </c>
      <c r="H1242" s="4">
        <v>5657000</v>
      </c>
      <c r="I1242" s="2">
        <f t="shared" si="117"/>
        <v>0.8035511363636364</v>
      </c>
      <c r="J1242" s="4">
        <v>5657000</v>
      </c>
      <c r="K1242" s="2">
        <f t="shared" si="118"/>
        <v>0.8035511363636364</v>
      </c>
      <c r="L1242" t="s">
        <v>12470</v>
      </c>
      <c r="M1242" t="s">
        <v>192</v>
      </c>
      <c r="N1242" t="b">
        <f t="shared" si="119"/>
        <v>0</v>
      </c>
    </row>
    <row r="1243" spans="1:14" x14ac:dyDescent="0.15">
      <c r="A1243" t="s">
        <v>12458</v>
      </c>
      <c r="B1243" t="s">
        <v>12464</v>
      </c>
      <c r="C1243" t="s">
        <v>12472</v>
      </c>
      <c r="D1243" t="s">
        <v>23</v>
      </c>
      <c r="E1243" t="s">
        <v>12473</v>
      </c>
      <c r="F1243" s="5">
        <f t="shared" si="120"/>
        <v>1620000</v>
      </c>
      <c r="G1243" s="5">
        <v>1620000</v>
      </c>
      <c r="I1243" s="2">
        <f t="shared" si="117"/>
        <v>0</v>
      </c>
      <c r="J1243" s="4">
        <v>1550000</v>
      </c>
      <c r="K1243" s="2">
        <f t="shared" si="118"/>
        <v>0.95679012345679015</v>
      </c>
      <c r="L1243" t="s">
        <v>9274</v>
      </c>
      <c r="M1243" t="s">
        <v>432</v>
      </c>
      <c r="N1243" t="b">
        <f t="shared" si="119"/>
        <v>0</v>
      </c>
    </row>
    <row r="1244" spans="1:14" x14ac:dyDescent="0.15">
      <c r="A1244" t="s">
        <v>12458</v>
      </c>
      <c r="B1244" t="s">
        <v>12464</v>
      </c>
      <c r="C1244" t="s">
        <v>12474</v>
      </c>
      <c r="D1244" t="s">
        <v>23</v>
      </c>
      <c r="E1244" t="s">
        <v>12475</v>
      </c>
      <c r="F1244" s="5">
        <f t="shared" si="120"/>
        <v>10656000</v>
      </c>
      <c r="G1244" s="5">
        <v>10656000</v>
      </c>
      <c r="H1244" s="4">
        <v>8492000</v>
      </c>
      <c r="I1244" s="2">
        <f t="shared" si="117"/>
        <v>0.79692192192192191</v>
      </c>
      <c r="J1244" s="4">
        <v>8563000</v>
      </c>
      <c r="K1244" s="2">
        <f t="shared" si="118"/>
        <v>0.80358483483483478</v>
      </c>
      <c r="L1244" t="s">
        <v>339</v>
      </c>
      <c r="M1244" t="s">
        <v>80</v>
      </c>
      <c r="N1244" t="b">
        <f t="shared" si="119"/>
        <v>0</v>
      </c>
    </row>
    <row r="1245" spans="1:14" x14ac:dyDescent="0.15">
      <c r="A1245" t="s">
        <v>12458</v>
      </c>
      <c r="B1245" t="s">
        <v>12464</v>
      </c>
      <c r="C1245" t="s">
        <v>12476</v>
      </c>
      <c r="D1245" t="s">
        <v>15</v>
      </c>
      <c r="E1245" t="s">
        <v>12477</v>
      </c>
      <c r="F1245" s="5">
        <f t="shared" si="120"/>
        <v>197310000</v>
      </c>
      <c r="G1245" s="5">
        <v>197310000</v>
      </c>
      <c r="I1245" s="2">
        <f t="shared" si="117"/>
        <v>0</v>
      </c>
      <c r="K1245" s="2">
        <f t="shared" si="118"/>
        <v>0</v>
      </c>
      <c r="M1245" t="s">
        <v>139</v>
      </c>
      <c r="N1245" t="b">
        <f t="shared" si="119"/>
        <v>0</v>
      </c>
    </row>
    <row r="1246" spans="1:14" x14ac:dyDescent="0.15">
      <c r="A1246" t="s">
        <v>12458</v>
      </c>
      <c r="B1246" t="s">
        <v>12464</v>
      </c>
      <c r="C1246" t="s">
        <v>12478</v>
      </c>
      <c r="D1246" t="s">
        <v>23</v>
      </c>
      <c r="E1246" t="s">
        <v>12479</v>
      </c>
      <c r="F1246" s="5">
        <f t="shared" si="120"/>
        <v>5790000</v>
      </c>
      <c r="G1246" s="5">
        <v>5790000</v>
      </c>
      <c r="H1246" s="4">
        <v>4654000</v>
      </c>
      <c r="I1246" s="2">
        <f t="shared" si="117"/>
        <v>0.80379965457685665</v>
      </c>
      <c r="J1246" s="4">
        <v>4654000</v>
      </c>
      <c r="K1246" s="2">
        <f t="shared" si="118"/>
        <v>0.80379965457685665</v>
      </c>
      <c r="L1246" t="s">
        <v>12470</v>
      </c>
      <c r="M1246" t="s">
        <v>126</v>
      </c>
      <c r="N1246" t="b">
        <f t="shared" si="119"/>
        <v>0</v>
      </c>
    </row>
    <row r="1247" spans="1:14" x14ac:dyDescent="0.15">
      <c r="A1247" t="s">
        <v>12458</v>
      </c>
      <c r="B1247" t="s">
        <v>12464</v>
      </c>
      <c r="C1247" t="s">
        <v>12480</v>
      </c>
      <c r="D1247" t="s">
        <v>23</v>
      </c>
      <c r="E1247" t="s">
        <v>12481</v>
      </c>
      <c r="F1247" s="5">
        <f t="shared" si="120"/>
        <v>10096000</v>
      </c>
      <c r="G1247" s="5">
        <v>10096000</v>
      </c>
      <c r="H1247" s="4">
        <v>8145000</v>
      </c>
      <c r="I1247" s="2">
        <f t="shared" si="117"/>
        <v>0.80675515055467517</v>
      </c>
      <c r="J1247" s="4">
        <v>8145000</v>
      </c>
      <c r="K1247" s="2">
        <f t="shared" si="118"/>
        <v>0.80675515055467517</v>
      </c>
      <c r="L1247" t="s">
        <v>263</v>
      </c>
      <c r="M1247" t="s">
        <v>80</v>
      </c>
      <c r="N1247" t="b">
        <f t="shared" si="119"/>
        <v>0</v>
      </c>
    </row>
    <row r="1248" spans="1:14" x14ac:dyDescent="0.15">
      <c r="A1248" t="s">
        <v>12458</v>
      </c>
      <c r="B1248" t="s">
        <v>12464</v>
      </c>
      <c r="C1248" t="s">
        <v>12482</v>
      </c>
      <c r="D1248" t="s">
        <v>23</v>
      </c>
      <c r="E1248" t="s">
        <v>12483</v>
      </c>
      <c r="F1248" s="5">
        <f t="shared" si="120"/>
        <v>11638000</v>
      </c>
      <c r="G1248" s="5">
        <v>11638000</v>
      </c>
      <c r="H1248" s="4">
        <v>9378000</v>
      </c>
      <c r="I1248" s="2">
        <f t="shared" si="117"/>
        <v>0.80580855817150709</v>
      </c>
      <c r="J1248" s="4">
        <v>10500000</v>
      </c>
      <c r="K1248" s="2">
        <f t="shared" si="118"/>
        <v>0.90221687575184739</v>
      </c>
      <c r="L1248" t="s">
        <v>1458</v>
      </c>
      <c r="M1248" t="s">
        <v>31</v>
      </c>
      <c r="N1248" t="b">
        <f t="shared" si="119"/>
        <v>0</v>
      </c>
    </row>
    <row r="1249" spans="1:14" x14ac:dyDescent="0.15">
      <c r="A1249" t="s">
        <v>12458</v>
      </c>
      <c r="B1249" t="s">
        <v>12464</v>
      </c>
      <c r="C1249" t="s">
        <v>12484</v>
      </c>
      <c r="D1249" t="s">
        <v>23</v>
      </c>
      <c r="E1249" t="s">
        <v>12485</v>
      </c>
      <c r="F1249" s="5">
        <f t="shared" si="120"/>
        <v>5394000</v>
      </c>
      <c r="G1249" s="5">
        <v>5394000</v>
      </c>
      <c r="H1249" s="4">
        <v>4273000</v>
      </c>
      <c r="I1249" s="2">
        <f t="shared" si="117"/>
        <v>0.79217649239896182</v>
      </c>
      <c r="J1249" s="4">
        <v>5200000</v>
      </c>
      <c r="K1249" s="2">
        <f t="shared" si="118"/>
        <v>0.96403411197626998</v>
      </c>
      <c r="L1249" t="s">
        <v>1052</v>
      </c>
      <c r="M1249" t="s">
        <v>165</v>
      </c>
      <c r="N1249" t="b">
        <f t="shared" si="119"/>
        <v>0</v>
      </c>
    </row>
    <row r="1250" spans="1:14" x14ac:dyDescent="0.15">
      <c r="A1250" t="s">
        <v>12458</v>
      </c>
      <c r="B1250" t="s">
        <v>12464</v>
      </c>
      <c r="C1250" t="s">
        <v>12486</v>
      </c>
      <c r="D1250" t="s">
        <v>23</v>
      </c>
      <c r="E1250" t="s">
        <v>12487</v>
      </c>
      <c r="F1250" s="5">
        <f t="shared" si="120"/>
        <v>6245000</v>
      </c>
      <c r="G1250" s="5">
        <v>6245000</v>
      </c>
      <c r="H1250" s="4">
        <v>5018000</v>
      </c>
      <c r="I1250" s="2">
        <f t="shared" si="117"/>
        <v>0.8035228182546037</v>
      </c>
      <c r="J1250" s="4">
        <v>5800000</v>
      </c>
      <c r="K1250" s="2">
        <f t="shared" si="118"/>
        <v>0.92874299439551644</v>
      </c>
      <c r="L1250" t="s">
        <v>5186</v>
      </c>
      <c r="M1250" t="s">
        <v>174</v>
      </c>
      <c r="N1250" t="b">
        <f t="shared" si="119"/>
        <v>0</v>
      </c>
    </row>
    <row r="1251" spans="1:14" x14ac:dyDescent="0.15">
      <c r="A1251" t="s">
        <v>12458</v>
      </c>
      <c r="B1251" t="s">
        <v>12464</v>
      </c>
      <c r="C1251" t="s">
        <v>12488</v>
      </c>
      <c r="D1251" t="s">
        <v>23</v>
      </c>
      <c r="E1251" t="s">
        <v>12489</v>
      </c>
      <c r="F1251" s="5">
        <f t="shared" si="120"/>
        <v>4800000</v>
      </c>
      <c r="G1251" s="5">
        <v>4800000</v>
      </c>
      <c r="H1251" s="4">
        <v>3859000</v>
      </c>
      <c r="I1251" s="2">
        <f t="shared" si="117"/>
        <v>0.80395833333333333</v>
      </c>
      <c r="J1251" s="4">
        <v>3859000</v>
      </c>
      <c r="K1251" s="2">
        <f t="shared" si="118"/>
        <v>0.80395833333333333</v>
      </c>
      <c r="L1251" t="s">
        <v>12490</v>
      </c>
      <c r="M1251" t="s">
        <v>192</v>
      </c>
      <c r="N1251" t="b">
        <f t="shared" si="119"/>
        <v>0</v>
      </c>
    </row>
    <row r="1252" spans="1:14" x14ac:dyDescent="0.15">
      <c r="A1252" t="s">
        <v>12458</v>
      </c>
      <c r="B1252" t="s">
        <v>12464</v>
      </c>
      <c r="C1252" t="s">
        <v>12491</v>
      </c>
      <c r="D1252" t="s">
        <v>23</v>
      </c>
      <c r="E1252" t="s">
        <v>12492</v>
      </c>
      <c r="F1252" s="5">
        <f t="shared" si="120"/>
        <v>28474000</v>
      </c>
      <c r="G1252" s="5">
        <v>28474000</v>
      </c>
      <c r="H1252" s="4">
        <v>22876000</v>
      </c>
      <c r="I1252" s="2">
        <f t="shared" si="117"/>
        <v>0.80339959261080285</v>
      </c>
      <c r="J1252" s="4">
        <v>22876000</v>
      </c>
      <c r="K1252" s="2">
        <f t="shared" si="118"/>
        <v>0.80339959261080285</v>
      </c>
      <c r="L1252" t="s">
        <v>360</v>
      </c>
      <c r="M1252" t="s">
        <v>104</v>
      </c>
      <c r="N1252" t="b">
        <f t="shared" si="119"/>
        <v>0</v>
      </c>
    </row>
    <row r="1253" spans="1:14" x14ac:dyDescent="0.15">
      <c r="A1253" t="s">
        <v>12458</v>
      </c>
      <c r="B1253" t="s">
        <v>12464</v>
      </c>
      <c r="C1253" t="s">
        <v>12493</v>
      </c>
      <c r="D1253" t="s">
        <v>23</v>
      </c>
      <c r="E1253" t="s">
        <v>12494</v>
      </c>
      <c r="F1253" s="5">
        <f t="shared" si="120"/>
        <v>10133000</v>
      </c>
      <c r="G1253" s="5">
        <v>10133000</v>
      </c>
      <c r="H1253" s="4">
        <v>8207000</v>
      </c>
      <c r="I1253" s="2">
        <f t="shared" si="117"/>
        <v>0.8099279581565183</v>
      </c>
      <c r="J1253" s="4">
        <v>8207000</v>
      </c>
      <c r="K1253" s="2">
        <f t="shared" si="118"/>
        <v>0.8099279581565183</v>
      </c>
      <c r="L1253" t="s">
        <v>1915</v>
      </c>
      <c r="M1253" t="s">
        <v>165</v>
      </c>
      <c r="N1253" t="b">
        <f t="shared" si="119"/>
        <v>0</v>
      </c>
    </row>
    <row r="1254" spans="1:14" x14ac:dyDescent="0.15">
      <c r="A1254" t="s">
        <v>12458</v>
      </c>
      <c r="B1254" t="s">
        <v>12464</v>
      </c>
      <c r="C1254" t="s">
        <v>12495</v>
      </c>
      <c r="D1254" t="s">
        <v>23</v>
      </c>
      <c r="E1254" t="s">
        <v>12496</v>
      </c>
      <c r="F1254" s="5">
        <f t="shared" si="120"/>
        <v>11081000</v>
      </c>
      <c r="G1254" s="5">
        <v>11081000</v>
      </c>
      <c r="I1254" s="2">
        <f t="shared" si="117"/>
        <v>0</v>
      </c>
      <c r="J1254" s="4">
        <v>11000000</v>
      </c>
      <c r="K1254" s="2">
        <f t="shared" si="118"/>
        <v>0.99269019041602746</v>
      </c>
      <c r="L1254" t="s">
        <v>1384</v>
      </c>
      <c r="M1254" t="s">
        <v>216</v>
      </c>
      <c r="N1254" t="b">
        <f t="shared" si="119"/>
        <v>0</v>
      </c>
    </row>
    <row r="1255" spans="1:14" x14ac:dyDescent="0.15">
      <c r="A1255" t="s">
        <v>12458</v>
      </c>
      <c r="B1255" t="s">
        <v>12464</v>
      </c>
      <c r="C1255" t="s">
        <v>12497</v>
      </c>
      <c r="D1255" t="s">
        <v>23</v>
      </c>
      <c r="E1255" t="s">
        <v>12498</v>
      </c>
      <c r="F1255" s="5">
        <f t="shared" si="120"/>
        <v>7490000</v>
      </c>
      <c r="G1255" s="5">
        <v>7490000</v>
      </c>
      <c r="H1255" s="4">
        <v>6018000</v>
      </c>
      <c r="I1255" s="2">
        <f t="shared" si="117"/>
        <v>0.80347129506008008</v>
      </c>
      <c r="J1255" s="4">
        <v>6018000</v>
      </c>
      <c r="K1255" s="2">
        <f t="shared" si="118"/>
        <v>0.80347129506008008</v>
      </c>
      <c r="L1255" t="s">
        <v>39</v>
      </c>
      <c r="M1255" t="s">
        <v>192</v>
      </c>
      <c r="N1255" t="b">
        <f t="shared" si="119"/>
        <v>0</v>
      </c>
    </row>
    <row r="1256" spans="1:14" x14ac:dyDescent="0.15">
      <c r="A1256" t="s">
        <v>12458</v>
      </c>
      <c r="B1256" t="s">
        <v>12464</v>
      </c>
      <c r="C1256" t="s">
        <v>12499</v>
      </c>
      <c r="D1256" t="s">
        <v>23</v>
      </c>
      <c r="E1256" t="s">
        <v>4663</v>
      </c>
      <c r="F1256" s="5">
        <f t="shared" si="120"/>
        <v>697550</v>
      </c>
      <c r="G1256" s="5">
        <v>697550</v>
      </c>
      <c r="I1256" s="2">
        <f t="shared" si="117"/>
        <v>0</v>
      </c>
      <c r="J1256" s="4">
        <v>595000</v>
      </c>
      <c r="K1256" s="2">
        <f t="shared" si="118"/>
        <v>0.85298544907175111</v>
      </c>
      <c r="L1256" t="s">
        <v>3486</v>
      </c>
      <c r="M1256" t="s">
        <v>21</v>
      </c>
      <c r="N1256" t="b">
        <f t="shared" si="119"/>
        <v>0</v>
      </c>
    </row>
    <row r="1257" spans="1:14" x14ac:dyDescent="0.15">
      <c r="A1257" t="s">
        <v>12458</v>
      </c>
      <c r="B1257" t="s">
        <v>12464</v>
      </c>
      <c r="C1257" t="s">
        <v>12500</v>
      </c>
      <c r="D1257" t="s">
        <v>23</v>
      </c>
      <c r="E1257" t="s">
        <v>12501</v>
      </c>
      <c r="F1257" s="5">
        <f t="shared" si="120"/>
        <v>7000000</v>
      </c>
      <c r="G1257" s="5">
        <v>7000000</v>
      </c>
      <c r="I1257" s="2">
        <f t="shared" si="117"/>
        <v>0</v>
      </c>
      <c r="J1257" s="4">
        <v>5850000</v>
      </c>
      <c r="K1257" s="2">
        <f t="shared" si="118"/>
        <v>0.83571428571428574</v>
      </c>
      <c r="L1257" t="s">
        <v>12502</v>
      </c>
      <c r="M1257" t="s">
        <v>174</v>
      </c>
      <c r="N1257" t="b">
        <f t="shared" si="119"/>
        <v>0</v>
      </c>
    </row>
    <row r="1258" spans="1:14" x14ac:dyDescent="0.15">
      <c r="A1258" t="s">
        <v>12458</v>
      </c>
      <c r="B1258" t="s">
        <v>12464</v>
      </c>
      <c r="C1258" t="s">
        <v>12503</v>
      </c>
      <c r="D1258" t="s">
        <v>23</v>
      </c>
      <c r="E1258" t="s">
        <v>12504</v>
      </c>
      <c r="F1258" s="5">
        <f t="shared" si="120"/>
        <v>3700000</v>
      </c>
      <c r="G1258" s="5">
        <v>3700000</v>
      </c>
      <c r="I1258" s="2">
        <f t="shared" si="117"/>
        <v>0</v>
      </c>
      <c r="J1258" s="4">
        <v>2580000</v>
      </c>
      <c r="K1258" s="2">
        <f t="shared" si="118"/>
        <v>0.69729729729729728</v>
      </c>
      <c r="L1258" t="s">
        <v>12502</v>
      </c>
      <c r="M1258" t="s">
        <v>165</v>
      </c>
      <c r="N1258" t="b">
        <f t="shared" si="119"/>
        <v>0</v>
      </c>
    </row>
    <row r="1259" spans="1:14" x14ac:dyDescent="0.15">
      <c r="A1259" t="s">
        <v>12458</v>
      </c>
      <c r="B1259" t="s">
        <v>12464</v>
      </c>
      <c r="C1259" t="s">
        <v>12505</v>
      </c>
      <c r="D1259" t="s">
        <v>23</v>
      </c>
      <c r="E1259" t="s">
        <v>12506</v>
      </c>
      <c r="F1259" s="5">
        <f t="shared" si="120"/>
        <v>1420000</v>
      </c>
      <c r="G1259" s="5">
        <v>1420000</v>
      </c>
      <c r="H1259" s="4">
        <v>1139000</v>
      </c>
      <c r="I1259" s="2">
        <f t="shared" si="117"/>
        <v>0.80211267605633807</v>
      </c>
      <c r="J1259" s="4">
        <v>1420000</v>
      </c>
      <c r="K1259" s="2">
        <f t="shared" si="118"/>
        <v>1</v>
      </c>
      <c r="L1259" t="s">
        <v>2729</v>
      </c>
      <c r="M1259" t="s">
        <v>1015</v>
      </c>
      <c r="N1259" t="b">
        <f t="shared" si="119"/>
        <v>0</v>
      </c>
    </row>
    <row r="1260" spans="1:14" x14ac:dyDescent="0.15">
      <c r="A1260" t="s">
        <v>12458</v>
      </c>
      <c r="B1260" t="s">
        <v>12464</v>
      </c>
      <c r="C1260" t="s">
        <v>12507</v>
      </c>
      <c r="D1260" t="s">
        <v>23</v>
      </c>
      <c r="E1260" t="s">
        <v>12506</v>
      </c>
      <c r="F1260" s="5">
        <f t="shared" si="120"/>
        <v>6340000</v>
      </c>
      <c r="G1260" s="5">
        <v>6340000</v>
      </c>
      <c r="H1260" s="4">
        <v>5116000</v>
      </c>
      <c r="I1260" s="2">
        <f t="shared" si="117"/>
        <v>0.8069400630914827</v>
      </c>
      <c r="J1260" s="4">
        <v>5432000</v>
      </c>
      <c r="K1260" s="2">
        <f t="shared" si="118"/>
        <v>0.85678233438485807</v>
      </c>
      <c r="L1260" t="s">
        <v>2729</v>
      </c>
      <c r="M1260" t="s">
        <v>192</v>
      </c>
      <c r="N1260" t="b">
        <f t="shared" si="119"/>
        <v>0</v>
      </c>
    </row>
    <row r="1261" spans="1:14" x14ac:dyDescent="0.15">
      <c r="A1261" t="s">
        <v>12458</v>
      </c>
      <c r="B1261" t="s">
        <v>12464</v>
      </c>
      <c r="C1261" t="s">
        <v>12508</v>
      </c>
      <c r="D1261" t="s">
        <v>23</v>
      </c>
      <c r="E1261" t="s">
        <v>12509</v>
      </c>
      <c r="F1261" s="5">
        <f t="shared" si="120"/>
        <v>5089000</v>
      </c>
      <c r="G1261" s="5">
        <v>5089000</v>
      </c>
      <c r="H1261" s="4">
        <v>4088000</v>
      </c>
      <c r="I1261" s="2">
        <f t="shared" si="117"/>
        <v>0.80330123796423658</v>
      </c>
      <c r="J1261" s="4">
        <v>5000000</v>
      </c>
      <c r="K1261" s="2">
        <f t="shared" si="118"/>
        <v>0.98251129887993716</v>
      </c>
      <c r="L1261" t="s">
        <v>819</v>
      </c>
      <c r="M1261" t="s">
        <v>165</v>
      </c>
      <c r="N1261" t="b">
        <f t="shared" si="119"/>
        <v>0</v>
      </c>
    </row>
    <row r="1262" spans="1:14" x14ac:dyDescent="0.15">
      <c r="A1262" t="s">
        <v>12458</v>
      </c>
      <c r="B1262" t="s">
        <v>12464</v>
      </c>
      <c r="C1262" t="s">
        <v>12510</v>
      </c>
      <c r="D1262" t="s">
        <v>23</v>
      </c>
      <c r="E1262" t="s">
        <v>12511</v>
      </c>
      <c r="F1262" s="5">
        <f t="shared" si="120"/>
        <v>9020000</v>
      </c>
      <c r="G1262" s="5">
        <v>9020000</v>
      </c>
      <c r="H1262" s="4">
        <v>7241000</v>
      </c>
      <c r="I1262" s="2">
        <f t="shared" si="117"/>
        <v>0.80277161862527713</v>
      </c>
      <c r="J1262" s="4">
        <v>8800000</v>
      </c>
      <c r="K1262" s="2">
        <f t="shared" si="118"/>
        <v>0.97560975609756095</v>
      </c>
      <c r="L1262" t="s">
        <v>39</v>
      </c>
      <c r="M1262" t="s">
        <v>80</v>
      </c>
      <c r="N1262" t="b">
        <f t="shared" si="119"/>
        <v>0</v>
      </c>
    </row>
    <row r="1263" spans="1:14" x14ac:dyDescent="0.15">
      <c r="A1263" t="s">
        <v>12458</v>
      </c>
      <c r="B1263" t="s">
        <v>12464</v>
      </c>
      <c r="C1263" t="s">
        <v>12512</v>
      </c>
      <c r="D1263" t="s">
        <v>23</v>
      </c>
      <c r="E1263" t="s">
        <v>12513</v>
      </c>
      <c r="F1263" s="5">
        <f t="shared" si="120"/>
        <v>12727000</v>
      </c>
      <c r="G1263" s="5">
        <v>12727000</v>
      </c>
      <c r="H1263" s="4">
        <v>10255000</v>
      </c>
      <c r="I1263" s="2">
        <f t="shared" si="117"/>
        <v>0.80576726644142371</v>
      </c>
      <c r="J1263" s="4">
        <v>10255000</v>
      </c>
      <c r="K1263" s="2">
        <f t="shared" si="118"/>
        <v>0.80576726644142371</v>
      </c>
      <c r="L1263" t="s">
        <v>263</v>
      </c>
      <c r="M1263" t="s">
        <v>192</v>
      </c>
      <c r="N1263" t="b">
        <f t="shared" si="119"/>
        <v>0</v>
      </c>
    </row>
    <row r="1264" spans="1:14" x14ac:dyDescent="0.15">
      <c r="A1264" t="s">
        <v>12458</v>
      </c>
      <c r="B1264" t="s">
        <v>12464</v>
      </c>
      <c r="C1264" t="s">
        <v>12514</v>
      </c>
      <c r="D1264" t="s">
        <v>23</v>
      </c>
      <c r="E1264" t="s">
        <v>12515</v>
      </c>
      <c r="F1264" s="5">
        <f t="shared" si="120"/>
        <v>12870000</v>
      </c>
      <c r="G1264" s="5">
        <v>12870000</v>
      </c>
      <c r="I1264" s="2">
        <f t="shared" si="117"/>
        <v>0</v>
      </c>
      <c r="J1264" s="4">
        <v>12220000</v>
      </c>
      <c r="K1264" s="2">
        <f t="shared" si="118"/>
        <v>0.9494949494949495</v>
      </c>
      <c r="L1264" t="s">
        <v>1262</v>
      </c>
      <c r="M1264" t="s">
        <v>104</v>
      </c>
      <c r="N1264" t="b">
        <f t="shared" si="119"/>
        <v>0</v>
      </c>
    </row>
    <row r="1265" spans="1:14" x14ac:dyDescent="0.15">
      <c r="A1265" t="s">
        <v>12458</v>
      </c>
      <c r="B1265" t="s">
        <v>12464</v>
      </c>
      <c r="C1265" t="s">
        <v>12516</v>
      </c>
      <c r="D1265" t="s">
        <v>23</v>
      </c>
      <c r="E1265" t="s">
        <v>12517</v>
      </c>
      <c r="F1265" s="5">
        <f t="shared" si="120"/>
        <v>8347000</v>
      </c>
      <c r="G1265" s="5">
        <v>8347000</v>
      </c>
      <c r="H1265" s="4">
        <v>5706000</v>
      </c>
      <c r="I1265" s="2">
        <f t="shared" si="117"/>
        <v>0.68359889780759553</v>
      </c>
      <c r="J1265" s="4">
        <v>5707000</v>
      </c>
      <c r="K1265" s="2">
        <f t="shared" si="118"/>
        <v>0.68371870132981905</v>
      </c>
      <c r="L1265" t="s">
        <v>12518</v>
      </c>
      <c r="M1265" t="s">
        <v>174</v>
      </c>
      <c r="N1265" t="b">
        <f t="shared" si="119"/>
        <v>0</v>
      </c>
    </row>
    <row r="1266" spans="1:14" x14ac:dyDescent="0.15">
      <c r="A1266" t="s">
        <v>12458</v>
      </c>
      <c r="B1266" t="s">
        <v>12464</v>
      </c>
      <c r="C1266" t="s">
        <v>12519</v>
      </c>
      <c r="D1266" t="s">
        <v>23</v>
      </c>
      <c r="E1266" t="s">
        <v>12517</v>
      </c>
      <c r="F1266" s="5">
        <f t="shared" si="120"/>
        <v>7919000</v>
      </c>
      <c r="G1266" s="5">
        <v>7919000</v>
      </c>
      <c r="H1266" s="4">
        <v>5414000</v>
      </c>
      <c r="I1266" s="2">
        <f t="shared" si="117"/>
        <v>0.68367218083091297</v>
      </c>
      <c r="J1266" s="4">
        <v>5414000</v>
      </c>
      <c r="K1266" s="2">
        <f t="shared" si="118"/>
        <v>0.68367218083091297</v>
      </c>
      <c r="L1266" t="s">
        <v>12470</v>
      </c>
      <c r="M1266" t="s">
        <v>174</v>
      </c>
      <c r="N1266" t="b">
        <f t="shared" si="119"/>
        <v>0</v>
      </c>
    </row>
    <row r="1267" spans="1:14" x14ac:dyDescent="0.15">
      <c r="A1267" t="s">
        <v>12458</v>
      </c>
      <c r="B1267" t="s">
        <v>12464</v>
      </c>
      <c r="C1267" t="s">
        <v>12520</v>
      </c>
      <c r="D1267" t="s">
        <v>23</v>
      </c>
      <c r="E1267" t="s">
        <v>12521</v>
      </c>
      <c r="F1267" s="5">
        <f t="shared" si="120"/>
        <v>1440000</v>
      </c>
      <c r="G1267" s="5">
        <v>1440000</v>
      </c>
      <c r="I1267" s="2">
        <f t="shared" si="117"/>
        <v>0</v>
      </c>
      <c r="J1267" s="4">
        <v>1380000</v>
      </c>
      <c r="K1267" s="2">
        <f t="shared" si="118"/>
        <v>0.95833333333333337</v>
      </c>
      <c r="L1267" t="s">
        <v>9274</v>
      </c>
      <c r="M1267" t="s">
        <v>1015</v>
      </c>
      <c r="N1267" t="b">
        <f t="shared" si="119"/>
        <v>0</v>
      </c>
    </row>
    <row r="1268" spans="1:14" x14ac:dyDescent="0.15">
      <c r="A1268" t="s">
        <v>12458</v>
      </c>
      <c r="B1268" t="s">
        <v>12464</v>
      </c>
      <c r="C1268" t="s">
        <v>12522</v>
      </c>
      <c r="D1268" t="s">
        <v>23</v>
      </c>
      <c r="E1268" t="s">
        <v>12523</v>
      </c>
      <c r="F1268" s="5">
        <f t="shared" si="120"/>
        <v>3402000</v>
      </c>
      <c r="G1268" s="5">
        <v>3402000</v>
      </c>
      <c r="H1268" s="4">
        <v>2331000</v>
      </c>
      <c r="I1268" s="2">
        <f t="shared" si="117"/>
        <v>0.68518518518518523</v>
      </c>
      <c r="J1268" s="4">
        <v>3200000</v>
      </c>
      <c r="K1268" s="2">
        <f t="shared" si="118"/>
        <v>0.94062316284538505</v>
      </c>
      <c r="L1268" t="s">
        <v>12524</v>
      </c>
      <c r="M1268" t="s">
        <v>1015</v>
      </c>
      <c r="N1268" t="b">
        <f t="shared" si="119"/>
        <v>0</v>
      </c>
    </row>
    <row r="1269" spans="1:14" x14ac:dyDescent="0.15">
      <c r="A1269" t="s">
        <v>12458</v>
      </c>
      <c r="B1269" t="s">
        <v>12464</v>
      </c>
      <c r="C1269" t="s">
        <v>12476</v>
      </c>
      <c r="D1269" t="s">
        <v>15</v>
      </c>
      <c r="E1269" t="s">
        <v>12525</v>
      </c>
      <c r="F1269" s="5">
        <f t="shared" si="120"/>
        <v>129080000</v>
      </c>
      <c r="G1269" s="5">
        <v>129080000</v>
      </c>
      <c r="I1269" s="2">
        <f t="shared" si="117"/>
        <v>0</v>
      </c>
      <c r="K1269" s="2">
        <f t="shared" si="118"/>
        <v>0</v>
      </c>
      <c r="M1269" t="s">
        <v>139</v>
      </c>
      <c r="N1269" t="b">
        <f t="shared" si="119"/>
        <v>0</v>
      </c>
    </row>
    <row r="1270" spans="1:14" x14ac:dyDescent="0.15">
      <c r="A1270" t="s">
        <v>12458</v>
      </c>
      <c r="B1270" t="s">
        <v>12464</v>
      </c>
      <c r="C1270" t="s">
        <v>12526</v>
      </c>
      <c r="D1270" t="s">
        <v>23</v>
      </c>
      <c r="E1270" t="s">
        <v>12525</v>
      </c>
      <c r="F1270" s="5">
        <f t="shared" si="120"/>
        <v>9080000</v>
      </c>
      <c r="G1270" s="5">
        <v>9080000</v>
      </c>
      <c r="H1270" s="4">
        <v>6208000</v>
      </c>
      <c r="I1270" s="2">
        <f t="shared" si="117"/>
        <v>0.68370044052863432</v>
      </c>
      <c r="J1270" s="4">
        <v>6980000</v>
      </c>
      <c r="K1270" s="2">
        <f t="shared" si="118"/>
        <v>0.7687224669603524</v>
      </c>
      <c r="L1270" t="s">
        <v>12527</v>
      </c>
      <c r="M1270" t="s">
        <v>192</v>
      </c>
      <c r="N1270" t="b">
        <f t="shared" si="119"/>
        <v>0</v>
      </c>
    </row>
    <row r="1271" spans="1:14" x14ac:dyDescent="0.15">
      <c r="A1271" t="s">
        <v>12458</v>
      </c>
      <c r="B1271" t="s">
        <v>12464</v>
      </c>
      <c r="C1271" t="s">
        <v>12528</v>
      </c>
      <c r="D1271" t="s">
        <v>23</v>
      </c>
      <c r="E1271" t="s">
        <v>12529</v>
      </c>
      <c r="F1271" s="5">
        <f t="shared" si="120"/>
        <v>2090000</v>
      </c>
      <c r="G1271" s="5">
        <v>2090000</v>
      </c>
      <c r="I1271" s="2">
        <f t="shared" si="117"/>
        <v>0</v>
      </c>
      <c r="J1271" s="4">
        <v>1800000</v>
      </c>
      <c r="K1271" s="2">
        <f t="shared" si="118"/>
        <v>0.86124401913875603</v>
      </c>
      <c r="L1271" t="s">
        <v>12530</v>
      </c>
      <c r="M1271" t="s">
        <v>165</v>
      </c>
      <c r="N1271" t="b">
        <f t="shared" si="119"/>
        <v>0</v>
      </c>
    </row>
    <row r="1272" spans="1:14" x14ac:dyDescent="0.15">
      <c r="A1272" t="s">
        <v>12458</v>
      </c>
      <c r="B1272" t="s">
        <v>12464</v>
      </c>
      <c r="C1272" t="s">
        <v>12531</v>
      </c>
      <c r="D1272" t="s">
        <v>23</v>
      </c>
      <c r="E1272" t="s">
        <v>12529</v>
      </c>
      <c r="F1272" s="5">
        <f t="shared" si="120"/>
        <v>1363000</v>
      </c>
      <c r="G1272" s="5">
        <v>1363000</v>
      </c>
      <c r="I1272" s="2">
        <f t="shared" si="117"/>
        <v>0</v>
      </c>
      <c r="J1272" s="4">
        <v>1280000</v>
      </c>
      <c r="K1272" s="2">
        <f t="shared" si="118"/>
        <v>0.9391049156272927</v>
      </c>
      <c r="L1272" t="s">
        <v>1624</v>
      </c>
      <c r="M1272" t="s">
        <v>165</v>
      </c>
      <c r="N1272" t="b">
        <f t="shared" si="119"/>
        <v>0</v>
      </c>
    </row>
    <row r="1273" spans="1:14" x14ac:dyDescent="0.15">
      <c r="A1273" t="s">
        <v>12458</v>
      </c>
      <c r="B1273" t="s">
        <v>12464</v>
      </c>
      <c r="C1273" t="s">
        <v>12532</v>
      </c>
      <c r="D1273" t="s">
        <v>23</v>
      </c>
      <c r="E1273" t="s">
        <v>12533</v>
      </c>
      <c r="F1273" s="5">
        <f t="shared" si="120"/>
        <v>5620000</v>
      </c>
      <c r="G1273" s="5">
        <v>5620000</v>
      </c>
      <c r="H1273" s="4">
        <v>3850000</v>
      </c>
      <c r="I1273" s="2">
        <f t="shared" si="117"/>
        <v>0.68505338078291811</v>
      </c>
      <c r="J1273" s="4">
        <v>3853000</v>
      </c>
      <c r="K1273" s="2">
        <f t="shared" si="118"/>
        <v>0.68558718861209966</v>
      </c>
      <c r="L1273" t="s">
        <v>12534</v>
      </c>
      <c r="M1273" t="s">
        <v>192</v>
      </c>
      <c r="N1273" t="b">
        <f t="shared" si="119"/>
        <v>0</v>
      </c>
    </row>
    <row r="1274" spans="1:14" x14ac:dyDescent="0.15">
      <c r="A1274" t="s">
        <v>12458</v>
      </c>
      <c r="B1274" t="s">
        <v>12464</v>
      </c>
      <c r="C1274" t="s">
        <v>12535</v>
      </c>
      <c r="D1274" t="s">
        <v>23</v>
      </c>
      <c r="E1274" t="s">
        <v>12536</v>
      </c>
      <c r="F1274" s="5">
        <f t="shared" si="120"/>
        <v>4240000</v>
      </c>
      <c r="G1274" s="5">
        <v>4240000</v>
      </c>
      <c r="I1274" s="2">
        <f t="shared" si="117"/>
        <v>0</v>
      </c>
      <c r="J1274" s="4">
        <v>4010000</v>
      </c>
      <c r="K1274" s="2">
        <f t="shared" si="118"/>
        <v>0.94575471698113212</v>
      </c>
      <c r="L1274" t="s">
        <v>332</v>
      </c>
      <c r="M1274" t="s">
        <v>174</v>
      </c>
      <c r="N1274" t="b">
        <f t="shared" si="119"/>
        <v>0</v>
      </c>
    </row>
    <row r="1275" spans="1:14" x14ac:dyDescent="0.15">
      <c r="A1275" t="s">
        <v>12458</v>
      </c>
      <c r="B1275" t="s">
        <v>12464</v>
      </c>
      <c r="C1275" t="s">
        <v>12537</v>
      </c>
      <c r="D1275" t="s">
        <v>23</v>
      </c>
      <c r="E1275" t="s">
        <v>12536</v>
      </c>
      <c r="F1275" s="5">
        <f t="shared" si="120"/>
        <v>2265000</v>
      </c>
      <c r="G1275" s="5">
        <v>2265000</v>
      </c>
      <c r="I1275" s="2">
        <f t="shared" si="117"/>
        <v>0</v>
      </c>
      <c r="J1275" s="4">
        <v>2030000</v>
      </c>
      <c r="K1275" s="2">
        <f t="shared" si="118"/>
        <v>0.89624724061810157</v>
      </c>
      <c r="L1275" t="s">
        <v>5186</v>
      </c>
      <c r="M1275" t="s">
        <v>432</v>
      </c>
      <c r="N1275" t="b">
        <f t="shared" si="119"/>
        <v>0</v>
      </c>
    </row>
    <row r="1276" spans="1:14" x14ac:dyDescent="0.15">
      <c r="A1276" t="s">
        <v>12458</v>
      </c>
      <c r="B1276" t="s">
        <v>12464</v>
      </c>
      <c r="C1276" t="s">
        <v>12538</v>
      </c>
      <c r="D1276" t="s">
        <v>23</v>
      </c>
      <c r="E1276" t="s">
        <v>12539</v>
      </c>
      <c r="F1276" s="5">
        <f t="shared" si="120"/>
        <v>20062000</v>
      </c>
      <c r="G1276" s="5">
        <v>20062000</v>
      </c>
      <c r="I1276" s="2">
        <f t="shared" si="117"/>
        <v>0</v>
      </c>
      <c r="J1276" s="4">
        <v>18500000</v>
      </c>
      <c r="K1276" s="2">
        <f t="shared" si="118"/>
        <v>0.92214136177848671</v>
      </c>
      <c r="L1276" t="s">
        <v>1458</v>
      </c>
      <c r="M1276" t="s">
        <v>80</v>
      </c>
      <c r="N1276" t="b">
        <f t="shared" si="119"/>
        <v>0</v>
      </c>
    </row>
    <row r="1277" spans="1:14" x14ac:dyDescent="0.15">
      <c r="A1277" t="s">
        <v>12458</v>
      </c>
      <c r="B1277" t="s">
        <v>12464</v>
      </c>
      <c r="C1277" t="s">
        <v>12540</v>
      </c>
      <c r="D1277" t="s">
        <v>23</v>
      </c>
      <c r="E1277" t="s">
        <v>12541</v>
      </c>
      <c r="F1277" s="5">
        <f t="shared" si="120"/>
        <v>27181819</v>
      </c>
      <c r="G1277" s="5">
        <v>27181819</v>
      </c>
      <c r="I1277" s="2">
        <f t="shared" si="117"/>
        <v>0</v>
      </c>
      <c r="J1277" s="4">
        <v>22000000</v>
      </c>
      <c r="K1277" s="2">
        <f t="shared" si="118"/>
        <v>0.80936452413284043</v>
      </c>
      <c r="L1277" t="s">
        <v>1262</v>
      </c>
      <c r="M1277" t="s">
        <v>104</v>
      </c>
      <c r="N1277" t="b">
        <f t="shared" si="119"/>
        <v>0</v>
      </c>
    </row>
    <row r="1278" spans="1:14" x14ac:dyDescent="0.15">
      <c r="A1278" t="s">
        <v>12458</v>
      </c>
      <c r="B1278" t="s">
        <v>12464</v>
      </c>
      <c r="C1278" t="s">
        <v>12542</v>
      </c>
      <c r="D1278" t="s">
        <v>23</v>
      </c>
      <c r="E1278" t="s">
        <v>12543</v>
      </c>
      <c r="F1278" s="5">
        <f t="shared" si="120"/>
        <v>22271000</v>
      </c>
      <c r="G1278" s="5">
        <v>22271000</v>
      </c>
      <c r="I1278" s="2">
        <f t="shared" si="117"/>
        <v>0</v>
      </c>
      <c r="J1278" s="4">
        <v>11875000</v>
      </c>
      <c r="K1278" s="2">
        <f t="shared" si="118"/>
        <v>0.53320461586816936</v>
      </c>
      <c r="L1278" t="s">
        <v>173</v>
      </c>
      <c r="M1278" t="s">
        <v>80</v>
      </c>
      <c r="N1278" t="b">
        <f t="shared" si="119"/>
        <v>0</v>
      </c>
    </row>
    <row r="1279" spans="1:14" x14ac:dyDescent="0.15">
      <c r="A1279" t="s">
        <v>12458</v>
      </c>
      <c r="B1279" t="s">
        <v>12464</v>
      </c>
      <c r="C1279" t="s">
        <v>12544</v>
      </c>
      <c r="D1279" t="s">
        <v>23</v>
      </c>
      <c r="E1279" t="s">
        <v>12545</v>
      </c>
      <c r="F1279" s="5">
        <f t="shared" si="120"/>
        <v>17988000</v>
      </c>
      <c r="G1279" s="5">
        <v>17988000</v>
      </c>
      <c r="H1279" s="4">
        <v>12344000</v>
      </c>
      <c r="I1279" s="2">
        <f t="shared" si="117"/>
        <v>0.68623526795641543</v>
      </c>
      <c r="J1279" s="4">
        <v>12344000</v>
      </c>
      <c r="K1279" s="2">
        <f t="shared" si="118"/>
        <v>0.68623526795641543</v>
      </c>
      <c r="L1279" t="s">
        <v>263</v>
      </c>
      <c r="M1279" t="s">
        <v>192</v>
      </c>
      <c r="N1279" t="b">
        <f t="shared" si="119"/>
        <v>0</v>
      </c>
    </row>
    <row r="1280" spans="1:14" x14ac:dyDescent="0.15">
      <c r="A1280" t="s">
        <v>12458</v>
      </c>
      <c r="B1280" t="s">
        <v>12464</v>
      </c>
      <c r="C1280" t="s">
        <v>12546</v>
      </c>
      <c r="D1280" t="s">
        <v>23</v>
      </c>
      <c r="E1280" t="s">
        <v>12547</v>
      </c>
      <c r="F1280" s="5">
        <f t="shared" si="120"/>
        <v>9000000</v>
      </c>
      <c r="G1280" s="5">
        <v>9000000</v>
      </c>
      <c r="I1280" s="2">
        <f t="shared" si="117"/>
        <v>0</v>
      </c>
      <c r="J1280" s="4">
        <v>8800000</v>
      </c>
      <c r="K1280" s="2">
        <f t="shared" si="118"/>
        <v>0.97777777777777775</v>
      </c>
      <c r="L1280" t="s">
        <v>39</v>
      </c>
      <c r="M1280" t="s">
        <v>192</v>
      </c>
      <c r="N1280" t="b">
        <f t="shared" si="119"/>
        <v>0</v>
      </c>
    </row>
    <row r="1281" spans="1:14" x14ac:dyDescent="0.15">
      <c r="A1281" t="s">
        <v>12548</v>
      </c>
      <c r="B1281" t="s">
        <v>12551</v>
      </c>
      <c r="C1281" t="s">
        <v>12549</v>
      </c>
      <c r="D1281" t="s">
        <v>23</v>
      </c>
      <c r="E1281" t="s">
        <v>12550</v>
      </c>
      <c r="F1281" s="5">
        <f t="shared" si="120"/>
        <v>4470000</v>
      </c>
      <c r="G1281" s="5">
        <v>4470000</v>
      </c>
      <c r="H1281" s="4">
        <v>3800000</v>
      </c>
      <c r="I1281" s="2">
        <f t="shared" si="117"/>
        <v>0.85011185682326618</v>
      </c>
      <c r="J1281" s="4">
        <v>4100000</v>
      </c>
      <c r="K1281" s="2">
        <f t="shared" si="118"/>
        <v>0.91722595078299773</v>
      </c>
      <c r="L1281" t="s">
        <v>12552</v>
      </c>
      <c r="M1281" t="s">
        <v>192</v>
      </c>
      <c r="N1281" t="b">
        <f t="shared" si="119"/>
        <v>0</v>
      </c>
    </row>
    <row r="1282" spans="1:14" x14ac:dyDescent="0.15">
      <c r="A1282" t="s">
        <v>12548</v>
      </c>
      <c r="B1282" t="s">
        <v>12551</v>
      </c>
      <c r="C1282" t="s">
        <v>12553</v>
      </c>
      <c r="D1282" t="s">
        <v>23</v>
      </c>
      <c r="E1282" t="s">
        <v>12554</v>
      </c>
      <c r="F1282" s="5">
        <f t="shared" si="120"/>
        <v>9170000</v>
      </c>
      <c r="G1282" s="5">
        <v>9170000</v>
      </c>
      <c r="H1282" s="4">
        <v>7481000</v>
      </c>
      <c r="I1282" s="2">
        <f t="shared" si="117"/>
        <v>0.81581243184296615</v>
      </c>
      <c r="J1282" s="4">
        <v>8400000</v>
      </c>
      <c r="K1282" s="2">
        <f t="shared" si="118"/>
        <v>0.91603053435114501</v>
      </c>
      <c r="L1282" t="s">
        <v>12552</v>
      </c>
      <c r="M1282" t="s">
        <v>192</v>
      </c>
      <c r="N1282" t="b">
        <f t="shared" si="119"/>
        <v>0</v>
      </c>
    </row>
    <row r="1283" spans="1:14" x14ac:dyDescent="0.15">
      <c r="A1283" t="s">
        <v>12548</v>
      </c>
      <c r="B1283" t="s">
        <v>12551</v>
      </c>
      <c r="C1283" t="s">
        <v>12555</v>
      </c>
      <c r="D1283" t="s">
        <v>23</v>
      </c>
      <c r="E1283" t="s">
        <v>12556</v>
      </c>
      <c r="F1283" s="5">
        <f t="shared" si="120"/>
        <v>13966000</v>
      </c>
      <c r="G1283" s="5">
        <v>13966000</v>
      </c>
      <c r="H1283" s="4">
        <v>11210000</v>
      </c>
      <c r="I1283" s="2">
        <f t="shared" si="117"/>
        <v>0.80266361162823996</v>
      </c>
      <c r="J1283" s="4">
        <v>13400000</v>
      </c>
      <c r="K1283" s="2">
        <f t="shared" si="118"/>
        <v>0.95947300587140194</v>
      </c>
      <c r="L1283" t="s">
        <v>360</v>
      </c>
      <c r="M1283" t="s">
        <v>192</v>
      </c>
      <c r="N1283" t="b">
        <f t="shared" si="119"/>
        <v>0</v>
      </c>
    </row>
    <row r="1284" spans="1:14" x14ac:dyDescent="0.15">
      <c r="A1284" t="s">
        <v>12548</v>
      </c>
      <c r="B1284" t="s">
        <v>12551</v>
      </c>
      <c r="C1284" t="s">
        <v>12557</v>
      </c>
      <c r="D1284" t="s">
        <v>23</v>
      </c>
      <c r="E1284" t="s">
        <v>12558</v>
      </c>
      <c r="F1284" s="5">
        <f t="shared" si="120"/>
        <v>11613000</v>
      </c>
      <c r="G1284" s="5">
        <v>11613000</v>
      </c>
      <c r="H1284" s="4">
        <v>9113000</v>
      </c>
      <c r="I1284" s="2">
        <f t="shared" ref="I1284:I1347" si="121">H1284/G1284</f>
        <v>0.78472401618875398</v>
      </c>
      <c r="J1284" s="4">
        <v>9113000</v>
      </c>
      <c r="K1284" s="2">
        <f t="shared" ref="K1284:K1347" si="122">J1284/G1284</f>
        <v>0.78472401618875398</v>
      </c>
      <c r="L1284" t="s">
        <v>1078</v>
      </c>
      <c r="M1284" t="s">
        <v>192</v>
      </c>
      <c r="N1284" t="b">
        <f t="shared" ref="N1284:N1347" si="123">F1284&lt;&gt;G1284</f>
        <v>0</v>
      </c>
    </row>
    <row r="1285" spans="1:14" x14ac:dyDescent="0.15">
      <c r="A1285" t="s">
        <v>12548</v>
      </c>
      <c r="B1285" t="s">
        <v>12551</v>
      </c>
      <c r="C1285" t="s">
        <v>12559</v>
      </c>
      <c r="D1285" t="s">
        <v>23</v>
      </c>
      <c r="E1285" t="s">
        <v>12560</v>
      </c>
      <c r="F1285" s="5">
        <f t="shared" si="120"/>
        <v>2550000</v>
      </c>
      <c r="G1285" s="5">
        <v>2550000</v>
      </c>
      <c r="I1285" s="2">
        <f t="shared" si="121"/>
        <v>0</v>
      </c>
      <c r="J1285" s="4">
        <v>2400000</v>
      </c>
      <c r="K1285" s="2">
        <f t="shared" si="122"/>
        <v>0.94117647058823528</v>
      </c>
      <c r="L1285" t="s">
        <v>12561</v>
      </c>
      <c r="M1285" t="s">
        <v>432</v>
      </c>
      <c r="N1285" t="b">
        <f t="shared" si="123"/>
        <v>0</v>
      </c>
    </row>
    <row r="1286" spans="1:14" x14ac:dyDescent="0.15">
      <c r="A1286" t="s">
        <v>12548</v>
      </c>
      <c r="B1286" t="s">
        <v>12551</v>
      </c>
      <c r="C1286" t="s">
        <v>12562</v>
      </c>
      <c r="D1286" t="s">
        <v>23</v>
      </c>
      <c r="E1286" t="s">
        <v>12563</v>
      </c>
      <c r="F1286" s="5">
        <f t="shared" si="120"/>
        <v>22100000</v>
      </c>
      <c r="G1286" s="5">
        <v>22100000</v>
      </c>
      <c r="I1286" s="2">
        <f t="shared" si="121"/>
        <v>0</v>
      </c>
      <c r="J1286" s="4">
        <v>20979200</v>
      </c>
      <c r="K1286" s="2">
        <f t="shared" si="122"/>
        <v>0.94928506787330313</v>
      </c>
      <c r="L1286" t="s">
        <v>12564</v>
      </c>
      <c r="M1286" t="s">
        <v>192</v>
      </c>
      <c r="N1286" t="b">
        <f t="shared" si="123"/>
        <v>0</v>
      </c>
    </row>
    <row r="1287" spans="1:14" x14ac:dyDescent="0.15">
      <c r="A1287" t="s">
        <v>12548</v>
      </c>
      <c r="B1287" t="s">
        <v>12551</v>
      </c>
      <c r="C1287" t="s">
        <v>12565</v>
      </c>
      <c r="D1287" t="s">
        <v>23</v>
      </c>
      <c r="E1287" t="s">
        <v>12566</v>
      </c>
      <c r="F1287" s="5">
        <f t="shared" si="120"/>
        <v>1760000</v>
      </c>
      <c r="G1287" s="5">
        <v>1760000</v>
      </c>
      <c r="H1287" s="4">
        <v>1414000</v>
      </c>
      <c r="I1287" s="2">
        <f t="shared" si="121"/>
        <v>0.80340909090909096</v>
      </c>
      <c r="J1287" s="4">
        <v>1650000</v>
      </c>
      <c r="K1287" s="2">
        <f t="shared" si="122"/>
        <v>0.9375</v>
      </c>
      <c r="L1287" t="s">
        <v>12567</v>
      </c>
      <c r="M1287" t="s">
        <v>432</v>
      </c>
      <c r="N1287" t="b">
        <f t="shared" si="123"/>
        <v>0</v>
      </c>
    </row>
    <row r="1288" spans="1:14" x14ac:dyDescent="0.15">
      <c r="A1288" t="s">
        <v>12548</v>
      </c>
      <c r="B1288" t="s">
        <v>12551</v>
      </c>
      <c r="C1288" t="s">
        <v>12568</v>
      </c>
      <c r="D1288" t="s">
        <v>23</v>
      </c>
      <c r="E1288" t="s">
        <v>12569</v>
      </c>
      <c r="F1288" s="5">
        <f t="shared" si="120"/>
        <v>2140000</v>
      </c>
      <c r="G1288" s="5">
        <v>2140000</v>
      </c>
      <c r="H1288" s="4">
        <v>1718000</v>
      </c>
      <c r="I1288" s="2">
        <f t="shared" si="121"/>
        <v>0.80280373831775698</v>
      </c>
      <c r="J1288" s="4">
        <v>2020000</v>
      </c>
      <c r="K1288" s="2">
        <f t="shared" si="122"/>
        <v>0.94392523364485981</v>
      </c>
      <c r="L1288" t="s">
        <v>12570</v>
      </c>
      <c r="M1288" t="s">
        <v>432</v>
      </c>
      <c r="N1288" t="b">
        <f t="shared" si="123"/>
        <v>0</v>
      </c>
    </row>
    <row r="1289" spans="1:14" x14ac:dyDescent="0.15">
      <c r="A1289" t="s">
        <v>12548</v>
      </c>
      <c r="B1289" t="s">
        <v>12551</v>
      </c>
      <c r="C1289" t="s">
        <v>12571</v>
      </c>
      <c r="D1289" t="s">
        <v>23</v>
      </c>
      <c r="E1289" t="s">
        <v>12572</v>
      </c>
      <c r="F1289" s="5">
        <f t="shared" si="120"/>
        <v>3330000</v>
      </c>
      <c r="G1289" s="5">
        <v>3330000</v>
      </c>
      <c r="H1289" s="4">
        <v>2672000</v>
      </c>
      <c r="I1289" s="2">
        <f t="shared" si="121"/>
        <v>0.80240240240240235</v>
      </c>
      <c r="J1289" s="4">
        <v>3150000</v>
      </c>
      <c r="K1289" s="2">
        <f t="shared" si="122"/>
        <v>0.94594594594594594</v>
      </c>
      <c r="L1289" t="s">
        <v>12567</v>
      </c>
      <c r="M1289" t="s">
        <v>432</v>
      </c>
      <c r="N1289" t="b">
        <f t="shared" si="123"/>
        <v>0</v>
      </c>
    </row>
    <row r="1290" spans="1:14" x14ac:dyDescent="0.15">
      <c r="A1290" t="s">
        <v>12548</v>
      </c>
      <c r="B1290" t="s">
        <v>12551</v>
      </c>
      <c r="C1290" t="s">
        <v>12573</v>
      </c>
      <c r="D1290" t="s">
        <v>23</v>
      </c>
      <c r="E1290" t="s">
        <v>12574</v>
      </c>
      <c r="F1290" s="5">
        <f t="shared" si="120"/>
        <v>9502000</v>
      </c>
      <c r="G1290" s="5">
        <v>9502000</v>
      </c>
      <c r="H1290" s="4">
        <v>7633000</v>
      </c>
      <c r="I1290" s="2">
        <f t="shared" si="121"/>
        <v>0.8033045674594822</v>
      </c>
      <c r="J1290" s="4">
        <v>9300000</v>
      </c>
      <c r="K1290" s="2">
        <f t="shared" si="122"/>
        <v>0.97874131761734373</v>
      </c>
      <c r="L1290" t="s">
        <v>64</v>
      </c>
      <c r="M1290" t="s">
        <v>192</v>
      </c>
      <c r="N1290" t="b">
        <f t="shared" si="123"/>
        <v>0</v>
      </c>
    </row>
    <row r="1291" spans="1:14" x14ac:dyDescent="0.15">
      <c r="A1291" t="s">
        <v>12548</v>
      </c>
      <c r="B1291" t="s">
        <v>12551</v>
      </c>
      <c r="C1291" t="s">
        <v>12575</v>
      </c>
      <c r="D1291" t="s">
        <v>23</v>
      </c>
      <c r="E1291" t="s">
        <v>12576</v>
      </c>
      <c r="F1291" s="5">
        <f t="shared" si="120"/>
        <v>18024000</v>
      </c>
      <c r="G1291" s="5">
        <v>18024000</v>
      </c>
      <c r="H1291" s="4">
        <v>14468000</v>
      </c>
      <c r="I1291" s="2">
        <f t="shared" si="121"/>
        <v>0.80270750110963163</v>
      </c>
      <c r="J1291" s="4">
        <v>17500000</v>
      </c>
      <c r="K1291" s="2">
        <f t="shared" si="122"/>
        <v>0.97092765201952946</v>
      </c>
      <c r="L1291" t="s">
        <v>360</v>
      </c>
      <c r="M1291" t="s">
        <v>192</v>
      </c>
      <c r="N1291" t="b">
        <f t="shared" si="123"/>
        <v>0</v>
      </c>
    </row>
    <row r="1292" spans="1:14" x14ac:dyDescent="0.15">
      <c r="A1292" t="s">
        <v>12548</v>
      </c>
      <c r="B1292" t="s">
        <v>12551</v>
      </c>
      <c r="C1292" t="s">
        <v>12577</v>
      </c>
      <c r="D1292" t="s">
        <v>23</v>
      </c>
      <c r="E1292" t="s">
        <v>12578</v>
      </c>
      <c r="F1292" s="5">
        <f t="shared" si="120"/>
        <v>1760000</v>
      </c>
      <c r="G1292" s="5">
        <v>1760000</v>
      </c>
      <c r="H1292" s="4">
        <v>1414000</v>
      </c>
      <c r="I1292" s="2">
        <f t="shared" si="121"/>
        <v>0.80340909090909096</v>
      </c>
      <c r="J1292" s="4">
        <v>1650000</v>
      </c>
      <c r="K1292" s="2">
        <f t="shared" si="122"/>
        <v>0.9375</v>
      </c>
      <c r="L1292" t="s">
        <v>12570</v>
      </c>
      <c r="M1292" t="s">
        <v>432</v>
      </c>
      <c r="N1292" t="b">
        <f t="shared" si="123"/>
        <v>0</v>
      </c>
    </row>
    <row r="1293" spans="1:14" x14ac:dyDescent="0.15">
      <c r="A1293" t="s">
        <v>12548</v>
      </c>
      <c r="B1293" t="s">
        <v>12551</v>
      </c>
      <c r="C1293" t="s">
        <v>12579</v>
      </c>
      <c r="D1293" t="s">
        <v>23</v>
      </c>
      <c r="E1293" t="s">
        <v>12580</v>
      </c>
      <c r="F1293" s="5">
        <f t="shared" si="120"/>
        <v>2709000</v>
      </c>
      <c r="G1293" s="5">
        <v>2709000</v>
      </c>
      <c r="H1293" s="4">
        <v>2173000</v>
      </c>
      <c r="I1293" s="2">
        <f t="shared" si="121"/>
        <v>0.80214101144333705</v>
      </c>
      <c r="J1293" s="4">
        <v>2550000</v>
      </c>
      <c r="K1293" s="2">
        <f t="shared" si="122"/>
        <v>0.94130675526024365</v>
      </c>
      <c r="L1293" t="s">
        <v>12567</v>
      </c>
      <c r="M1293" t="s">
        <v>432</v>
      </c>
      <c r="N1293" t="b">
        <f t="shared" si="123"/>
        <v>0</v>
      </c>
    </row>
    <row r="1294" spans="1:14" x14ac:dyDescent="0.15">
      <c r="A1294" t="s">
        <v>12548</v>
      </c>
      <c r="B1294" t="s">
        <v>12551</v>
      </c>
      <c r="C1294" t="s">
        <v>12581</v>
      </c>
      <c r="D1294" t="s">
        <v>23</v>
      </c>
      <c r="E1294" t="s">
        <v>12582</v>
      </c>
      <c r="F1294" s="5">
        <f t="shared" si="120"/>
        <v>5419000</v>
      </c>
      <c r="G1294" s="5">
        <v>5419000</v>
      </c>
      <c r="H1294" s="4">
        <v>4639000</v>
      </c>
      <c r="I1294" s="2">
        <f t="shared" si="121"/>
        <v>0.85606200405978961</v>
      </c>
      <c r="J1294" s="4">
        <v>5140000</v>
      </c>
      <c r="K1294" s="2">
        <f t="shared" si="122"/>
        <v>0.94851448606754019</v>
      </c>
      <c r="L1294" t="s">
        <v>1541</v>
      </c>
      <c r="M1294" t="s">
        <v>174</v>
      </c>
      <c r="N1294" t="b">
        <f t="shared" si="123"/>
        <v>0</v>
      </c>
    </row>
    <row r="1295" spans="1:14" x14ac:dyDescent="0.15">
      <c r="A1295" t="s">
        <v>12548</v>
      </c>
      <c r="B1295" t="s">
        <v>12551</v>
      </c>
      <c r="C1295" t="s">
        <v>12583</v>
      </c>
      <c r="D1295" t="s">
        <v>23</v>
      </c>
      <c r="E1295" t="s">
        <v>12584</v>
      </c>
      <c r="F1295" s="5">
        <f t="shared" si="120"/>
        <v>4470000</v>
      </c>
      <c r="G1295" s="5">
        <v>4470000</v>
      </c>
      <c r="H1295" s="4">
        <v>3589000</v>
      </c>
      <c r="I1295" s="2">
        <f t="shared" si="121"/>
        <v>0.80290827740492166</v>
      </c>
      <c r="J1295" s="4">
        <v>4300000</v>
      </c>
      <c r="K1295" s="2">
        <f t="shared" si="122"/>
        <v>0.96196868008948544</v>
      </c>
      <c r="L1295" t="s">
        <v>9274</v>
      </c>
      <c r="M1295" t="s">
        <v>432</v>
      </c>
      <c r="N1295" t="b">
        <f t="shared" si="123"/>
        <v>0</v>
      </c>
    </row>
    <row r="1296" spans="1:14" x14ac:dyDescent="0.15">
      <c r="A1296" t="s">
        <v>12548</v>
      </c>
      <c r="B1296" t="s">
        <v>12551</v>
      </c>
      <c r="C1296" t="s">
        <v>12585</v>
      </c>
      <c r="D1296" t="s">
        <v>23</v>
      </c>
      <c r="E1296" t="s">
        <v>12586</v>
      </c>
      <c r="F1296" s="5">
        <f t="shared" si="120"/>
        <v>3900000</v>
      </c>
      <c r="G1296" s="5">
        <v>3900000</v>
      </c>
      <c r="H1296" s="4">
        <v>3144000</v>
      </c>
      <c r="I1296" s="2">
        <f t="shared" si="121"/>
        <v>0.80615384615384611</v>
      </c>
      <c r="J1296" s="4">
        <v>3650000</v>
      </c>
      <c r="K1296" s="2">
        <f t="shared" si="122"/>
        <v>0.9358974358974359</v>
      </c>
      <c r="L1296" t="s">
        <v>10639</v>
      </c>
      <c r="M1296" t="s">
        <v>432</v>
      </c>
      <c r="N1296" t="b">
        <f t="shared" si="123"/>
        <v>0</v>
      </c>
    </row>
    <row r="1297" spans="1:14" x14ac:dyDescent="0.15">
      <c r="A1297" t="s">
        <v>12548</v>
      </c>
      <c r="B1297" t="s">
        <v>12551</v>
      </c>
      <c r="C1297" t="s">
        <v>12587</v>
      </c>
      <c r="D1297" t="s">
        <v>23</v>
      </c>
      <c r="E1297" t="s">
        <v>12588</v>
      </c>
      <c r="F1297" s="5">
        <f t="shared" si="120"/>
        <v>1363000</v>
      </c>
      <c r="G1297" s="5">
        <v>1363000</v>
      </c>
      <c r="H1297" s="4">
        <v>1162000</v>
      </c>
      <c r="I1297" s="2">
        <f t="shared" si="121"/>
        <v>0.85253118121790172</v>
      </c>
      <c r="J1297" s="4">
        <v>1270000</v>
      </c>
      <c r="K1297" s="2">
        <f t="shared" si="122"/>
        <v>0.93176815847395456</v>
      </c>
      <c r="L1297" t="s">
        <v>12567</v>
      </c>
      <c r="M1297" t="s">
        <v>432</v>
      </c>
      <c r="N1297" t="b">
        <f t="shared" si="123"/>
        <v>0</v>
      </c>
    </row>
    <row r="1298" spans="1:14" x14ac:dyDescent="0.15">
      <c r="A1298" t="s">
        <v>12548</v>
      </c>
      <c r="B1298" t="s">
        <v>12551</v>
      </c>
      <c r="C1298" t="s">
        <v>12589</v>
      </c>
      <c r="D1298" t="s">
        <v>23</v>
      </c>
      <c r="E1298" t="s">
        <v>12590</v>
      </c>
      <c r="F1298" s="5">
        <f t="shared" si="120"/>
        <v>1477000</v>
      </c>
      <c r="G1298" s="5">
        <v>1477000</v>
      </c>
      <c r="H1298" s="4">
        <v>1162000</v>
      </c>
      <c r="I1298" s="2">
        <f t="shared" si="121"/>
        <v>0.78672985781990523</v>
      </c>
      <c r="J1298" s="4">
        <v>1400000</v>
      </c>
      <c r="K1298" s="2">
        <f t="shared" si="122"/>
        <v>0.94786729857819907</v>
      </c>
      <c r="L1298" t="s">
        <v>12591</v>
      </c>
      <c r="M1298" t="s">
        <v>432</v>
      </c>
      <c r="N1298" t="b">
        <f t="shared" si="123"/>
        <v>0</v>
      </c>
    </row>
    <row r="1299" spans="1:14" x14ac:dyDescent="0.15">
      <c r="A1299" t="s">
        <v>12548</v>
      </c>
      <c r="B1299" t="s">
        <v>12551</v>
      </c>
      <c r="C1299" t="s">
        <v>12592</v>
      </c>
      <c r="D1299" t="s">
        <v>23</v>
      </c>
      <c r="E1299" t="s">
        <v>12593</v>
      </c>
      <c r="F1299" s="5">
        <f t="shared" si="120"/>
        <v>3464638</v>
      </c>
      <c r="G1299" s="5">
        <v>3464638</v>
      </c>
      <c r="H1299" s="4">
        <v>2719000</v>
      </c>
      <c r="I1299" s="2">
        <f t="shared" si="121"/>
        <v>0.7847861739090779</v>
      </c>
      <c r="J1299" s="4">
        <v>3340000</v>
      </c>
      <c r="K1299" s="2">
        <f t="shared" si="122"/>
        <v>0.96402567887323298</v>
      </c>
      <c r="L1299" t="s">
        <v>12567</v>
      </c>
      <c r="M1299" t="s">
        <v>432</v>
      </c>
      <c r="N1299" t="b">
        <f t="shared" si="123"/>
        <v>0</v>
      </c>
    </row>
    <row r="1300" spans="1:14" x14ac:dyDescent="0.15">
      <c r="A1300" t="s">
        <v>12548</v>
      </c>
      <c r="B1300" t="s">
        <v>12551</v>
      </c>
      <c r="C1300" t="s">
        <v>12594</v>
      </c>
      <c r="D1300" t="s">
        <v>23</v>
      </c>
      <c r="E1300" t="s">
        <v>12595</v>
      </c>
      <c r="F1300" s="5">
        <f t="shared" si="120"/>
        <v>2250000</v>
      </c>
      <c r="G1300" s="5">
        <v>2250000</v>
      </c>
      <c r="H1300" s="4">
        <v>1811000</v>
      </c>
      <c r="I1300" s="2">
        <f t="shared" si="121"/>
        <v>0.80488888888888888</v>
      </c>
      <c r="J1300" s="4">
        <v>2100000</v>
      </c>
      <c r="K1300" s="2">
        <f t="shared" si="122"/>
        <v>0.93333333333333335</v>
      </c>
      <c r="L1300" t="s">
        <v>39</v>
      </c>
      <c r="M1300" t="s">
        <v>432</v>
      </c>
      <c r="N1300" t="b">
        <f t="shared" si="123"/>
        <v>0</v>
      </c>
    </row>
    <row r="1301" spans="1:14" x14ac:dyDescent="0.15">
      <c r="A1301" t="s">
        <v>12548</v>
      </c>
      <c r="B1301" t="s">
        <v>12551</v>
      </c>
      <c r="C1301" t="s">
        <v>12596</v>
      </c>
      <c r="D1301" t="s">
        <v>23</v>
      </c>
      <c r="E1301" t="s">
        <v>12597</v>
      </c>
      <c r="F1301" s="5">
        <f t="shared" si="120"/>
        <v>8750000</v>
      </c>
      <c r="G1301" s="5">
        <v>8750000</v>
      </c>
      <c r="H1301" s="4">
        <v>7033000</v>
      </c>
      <c r="I1301" s="2">
        <f t="shared" si="121"/>
        <v>0.80377142857142858</v>
      </c>
      <c r="J1301" s="4">
        <v>8300000</v>
      </c>
      <c r="K1301" s="2">
        <f t="shared" si="122"/>
        <v>0.94857142857142862</v>
      </c>
      <c r="L1301" t="s">
        <v>1458</v>
      </c>
      <c r="M1301" t="s">
        <v>174</v>
      </c>
      <c r="N1301" t="b">
        <f t="shared" si="123"/>
        <v>0</v>
      </c>
    </row>
    <row r="1302" spans="1:14" x14ac:dyDescent="0.15">
      <c r="A1302" t="s">
        <v>12548</v>
      </c>
      <c r="B1302" t="s">
        <v>12551</v>
      </c>
      <c r="C1302" t="s">
        <v>12598</v>
      </c>
      <c r="D1302" t="s">
        <v>23</v>
      </c>
      <c r="E1302" t="s">
        <v>12599</v>
      </c>
      <c r="F1302" s="5">
        <f t="shared" ref="F1302:F1356" si="124">G1302</f>
        <v>1420000</v>
      </c>
      <c r="G1302" s="5">
        <v>1420000</v>
      </c>
      <c r="I1302" s="2">
        <f t="shared" si="121"/>
        <v>0</v>
      </c>
      <c r="J1302" s="4">
        <v>1390000</v>
      </c>
      <c r="K1302" s="2">
        <f t="shared" si="122"/>
        <v>0.97887323943661975</v>
      </c>
      <c r="L1302" t="s">
        <v>12600</v>
      </c>
      <c r="M1302" t="s">
        <v>432</v>
      </c>
      <c r="N1302" t="b">
        <f t="shared" si="123"/>
        <v>0</v>
      </c>
    </row>
    <row r="1303" spans="1:14" x14ac:dyDescent="0.15">
      <c r="A1303" t="s">
        <v>12548</v>
      </c>
      <c r="B1303" t="s">
        <v>12551</v>
      </c>
      <c r="C1303" t="s">
        <v>12601</v>
      </c>
      <c r="D1303" t="s">
        <v>23</v>
      </c>
      <c r="E1303" t="s">
        <v>12602</v>
      </c>
      <c r="F1303" s="5">
        <f t="shared" si="124"/>
        <v>3049000</v>
      </c>
      <c r="G1303" s="5">
        <v>3049000</v>
      </c>
      <c r="I1303" s="2">
        <f t="shared" si="121"/>
        <v>0</v>
      </c>
      <c r="J1303" s="4">
        <v>2990000</v>
      </c>
      <c r="K1303" s="2">
        <f t="shared" si="122"/>
        <v>0.9806493932436865</v>
      </c>
      <c r="L1303" t="s">
        <v>125</v>
      </c>
      <c r="M1303" t="s">
        <v>432</v>
      </c>
      <c r="N1303" t="b">
        <f t="shared" si="123"/>
        <v>0</v>
      </c>
    </row>
    <row r="1304" spans="1:14" x14ac:dyDescent="0.15">
      <c r="A1304" t="s">
        <v>12548</v>
      </c>
      <c r="B1304" t="s">
        <v>12551</v>
      </c>
      <c r="C1304" t="s">
        <v>12603</v>
      </c>
      <c r="D1304" t="s">
        <v>23</v>
      </c>
      <c r="E1304" t="s">
        <v>12604</v>
      </c>
      <c r="F1304" s="5">
        <f t="shared" si="124"/>
        <v>3619000</v>
      </c>
      <c r="G1304" s="5">
        <v>3619000</v>
      </c>
      <c r="H1304" s="4">
        <v>2862000</v>
      </c>
      <c r="I1304" s="2">
        <f t="shared" si="121"/>
        <v>0.79082619508151419</v>
      </c>
      <c r="J1304" s="4">
        <v>3470000</v>
      </c>
      <c r="K1304" s="2">
        <f t="shared" si="122"/>
        <v>0.95882840563691629</v>
      </c>
      <c r="L1304" t="s">
        <v>12570</v>
      </c>
      <c r="M1304" t="s">
        <v>432</v>
      </c>
      <c r="N1304" t="b">
        <f t="shared" si="123"/>
        <v>0</v>
      </c>
    </row>
    <row r="1305" spans="1:14" x14ac:dyDescent="0.15">
      <c r="A1305" t="s">
        <v>12548</v>
      </c>
      <c r="B1305" t="s">
        <v>12551</v>
      </c>
      <c r="C1305" t="s">
        <v>12605</v>
      </c>
      <c r="D1305" t="s">
        <v>23</v>
      </c>
      <c r="E1305" t="s">
        <v>12606</v>
      </c>
      <c r="F1305" s="5">
        <f t="shared" si="124"/>
        <v>3162000</v>
      </c>
      <c r="G1305" s="5">
        <v>3162000</v>
      </c>
      <c r="H1305" s="4">
        <v>2465000</v>
      </c>
      <c r="I1305" s="2">
        <f t="shared" si="121"/>
        <v>0.77956989247311825</v>
      </c>
      <c r="J1305" s="4">
        <v>2950000</v>
      </c>
      <c r="K1305" s="2">
        <f t="shared" si="122"/>
        <v>0.93295382669196714</v>
      </c>
      <c r="L1305" t="s">
        <v>12607</v>
      </c>
      <c r="M1305" t="s">
        <v>432</v>
      </c>
      <c r="N1305" t="b">
        <f t="shared" si="123"/>
        <v>0</v>
      </c>
    </row>
    <row r="1306" spans="1:14" x14ac:dyDescent="0.15">
      <c r="A1306" t="s">
        <v>12548</v>
      </c>
      <c r="B1306" t="s">
        <v>12551</v>
      </c>
      <c r="C1306" t="s">
        <v>12608</v>
      </c>
      <c r="D1306" t="s">
        <v>23</v>
      </c>
      <c r="E1306" t="s">
        <v>12609</v>
      </c>
      <c r="F1306" s="5">
        <f t="shared" si="124"/>
        <v>2330000</v>
      </c>
      <c r="G1306" s="5">
        <v>2330000</v>
      </c>
      <c r="H1306" s="4">
        <v>1872000</v>
      </c>
      <c r="I1306" s="2">
        <f t="shared" si="121"/>
        <v>0.80343347639484974</v>
      </c>
      <c r="J1306" s="4">
        <v>2200000</v>
      </c>
      <c r="K1306" s="2">
        <f t="shared" si="122"/>
        <v>0.94420600858369097</v>
      </c>
      <c r="L1306" t="s">
        <v>12570</v>
      </c>
      <c r="M1306" t="s">
        <v>432</v>
      </c>
      <c r="N1306" t="b">
        <f t="shared" si="123"/>
        <v>0</v>
      </c>
    </row>
    <row r="1307" spans="1:14" x14ac:dyDescent="0.15">
      <c r="A1307" t="s">
        <v>12548</v>
      </c>
      <c r="B1307" t="s">
        <v>12551</v>
      </c>
      <c r="C1307" t="s">
        <v>12610</v>
      </c>
      <c r="D1307" t="s">
        <v>23</v>
      </c>
      <c r="E1307" t="s">
        <v>12611</v>
      </c>
      <c r="F1307" s="5">
        <f t="shared" si="124"/>
        <v>1803000</v>
      </c>
      <c r="G1307" s="5">
        <v>1803000</v>
      </c>
      <c r="H1307" s="4">
        <v>1409000</v>
      </c>
      <c r="I1307" s="2">
        <f t="shared" si="121"/>
        <v>0.78147531891292288</v>
      </c>
      <c r="J1307" s="4">
        <v>1690000</v>
      </c>
      <c r="K1307" s="2">
        <f t="shared" si="122"/>
        <v>0.93732667775929002</v>
      </c>
      <c r="L1307" t="s">
        <v>12567</v>
      </c>
      <c r="M1307" t="s">
        <v>432</v>
      </c>
      <c r="N1307" t="b">
        <f t="shared" si="123"/>
        <v>0</v>
      </c>
    </row>
    <row r="1308" spans="1:14" x14ac:dyDescent="0.15">
      <c r="A1308" t="s">
        <v>12548</v>
      </c>
      <c r="B1308" t="s">
        <v>12551</v>
      </c>
      <c r="C1308" t="s">
        <v>12612</v>
      </c>
      <c r="D1308" t="s">
        <v>23</v>
      </c>
      <c r="E1308" t="s">
        <v>12613</v>
      </c>
      <c r="F1308" s="5">
        <f t="shared" si="124"/>
        <v>2266000</v>
      </c>
      <c r="G1308" s="5">
        <v>2266000</v>
      </c>
      <c r="H1308" s="4">
        <v>1818000</v>
      </c>
      <c r="I1308" s="2">
        <f t="shared" si="121"/>
        <v>0.80229479258605474</v>
      </c>
      <c r="J1308" s="4">
        <v>2120000</v>
      </c>
      <c r="K1308" s="2">
        <f t="shared" si="122"/>
        <v>0.93556928508384818</v>
      </c>
      <c r="L1308" t="s">
        <v>12567</v>
      </c>
      <c r="M1308" t="s">
        <v>432</v>
      </c>
      <c r="N1308" t="b">
        <f t="shared" si="123"/>
        <v>0</v>
      </c>
    </row>
    <row r="1309" spans="1:14" x14ac:dyDescent="0.15">
      <c r="A1309" t="s">
        <v>12548</v>
      </c>
      <c r="B1309" t="s">
        <v>12551</v>
      </c>
      <c r="C1309" t="s">
        <v>12614</v>
      </c>
      <c r="D1309" t="s">
        <v>23</v>
      </c>
      <c r="E1309" t="s">
        <v>12615</v>
      </c>
      <c r="F1309" s="5">
        <f t="shared" si="124"/>
        <v>1818000</v>
      </c>
      <c r="G1309" s="5">
        <v>1818000</v>
      </c>
      <c r="H1309" s="4">
        <v>1397000</v>
      </c>
      <c r="I1309" s="2">
        <f t="shared" si="121"/>
        <v>0.76842684268426842</v>
      </c>
      <c r="J1309" s="4">
        <v>1700000</v>
      </c>
      <c r="K1309" s="2">
        <f t="shared" si="122"/>
        <v>0.93509350935093505</v>
      </c>
      <c r="L1309" t="s">
        <v>12570</v>
      </c>
      <c r="M1309" t="s">
        <v>432</v>
      </c>
      <c r="N1309" t="b">
        <f t="shared" si="123"/>
        <v>0</v>
      </c>
    </row>
    <row r="1310" spans="1:14" x14ac:dyDescent="0.15">
      <c r="A1310" t="s">
        <v>12548</v>
      </c>
      <c r="B1310" t="s">
        <v>12551</v>
      </c>
      <c r="C1310" t="s">
        <v>12616</v>
      </c>
      <c r="D1310" t="s">
        <v>23</v>
      </c>
      <c r="E1310" t="s">
        <v>12617</v>
      </c>
      <c r="F1310" s="5">
        <f t="shared" si="124"/>
        <v>3120000</v>
      </c>
      <c r="G1310" s="5">
        <v>3120000</v>
      </c>
      <c r="H1310" s="4">
        <v>2506000</v>
      </c>
      <c r="I1310" s="2">
        <f t="shared" si="121"/>
        <v>0.80320512820512824</v>
      </c>
      <c r="J1310" s="4">
        <v>3000000</v>
      </c>
      <c r="K1310" s="2">
        <f t="shared" si="122"/>
        <v>0.96153846153846156</v>
      </c>
      <c r="L1310" t="s">
        <v>12570</v>
      </c>
      <c r="M1310" t="s">
        <v>432</v>
      </c>
      <c r="N1310" t="b">
        <f t="shared" si="123"/>
        <v>0</v>
      </c>
    </row>
    <row r="1311" spans="1:14" x14ac:dyDescent="0.15">
      <c r="A1311" t="s">
        <v>12548</v>
      </c>
      <c r="B1311" t="s">
        <v>12551</v>
      </c>
      <c r="C1311" t="s">
        <v>12618</v>
      </c>
      <c r="D1311" t="s">
        <v>23</v>
      </c>
      <c r="E1311" t="s">
        <v>12619</v>
      </c>
      <c r="F1311" s="5">
        <f t="shared" si="124"/>
        <v>3470000</v>
      </c>
      <c r="G1311" s="5">
        <v>3470000</v>
      </c>
      <c r="H1311" s="4">
        <v>2796000</v>
      </c>
      <c r="I1311" s="2">
        <f t="shared" si="121"/>
        <v>0.80576368876080695</v>
      </c>
      <c r="J1311" s="4">
        <v>3300000</v>
      </c>
      <c r="K1311" s="2">
        <f t="shared" si="122"/>
        <v>0.95100864553314124</v>
      </c>
      <c r="L1311" t="s">
        <v>12620</v>
      </c>
      <c r="M1311" t="s">
        <v>432</v>
      </c>
      <c r="N1311" t="b">
        <f t="shared" si="123"/>
        <v>0</v>
      </c>
    </row>
    <row r="1312" spans="1:14" x14ac:dyDescent="0.15">
      <c r="A1312" t="s">
        <v>12548</v>
      </c>
      <c r="B1312" t="s">
        <v>12551</v>
      </c>
      <c r="C1312" t="s">
        <v>12621</v>
      </c>
      <c r="D1312" t="s">
        <v>23</v>
      </c>
      <c r="E1312" t="s">
        <v>12622</v>
      </c>
      <c r="F1312" s="5">
        <f t="shared" si="124"/>
        <v>1556000</v>
      </c>
      <c r="G1312" s="5">
        <v>1556000</v>
      </c>
      <c r="H1312" s="4">
        <v>1248000</v>
      </c>
      <c r="I1312" s="2">
        <f t="shared" si="121"/>
        <v>0.80205655526992292</v>
      </c>
      <c r="J1312" s="4">
        <v>1450000</v>
      </c>
      <c r="K1312" s="2">
        <f t="shared" si="122"/>
        <v>0.93187660668380468</v>
      </c>
      <c r="L1312" t="s">
        <v>12623</v>
      </c>
      <c r="M1312" t="s">
        <v>432</v>
      </c>
      <c r="N1312" t="b">
        <f t="shared" si="123"/>
        <v>0</v>
      </c>
    </row>
    <row r="1313" spans="1:14" x14ac:dyDescent="0.15">
      <c r="A1313" t="s">
        <v>12548</v>
      </c>
      <c r="B1313" t="s">
        <v>12551</v>
      </c>
      <c r="C1313" t="s">
        <v>12624</v>
      </c>
      <c r="D1313" t="s">
        <v>23</v>
      </c>
      <c r="E1313" t="s">
        <v>12625</v>
      </c>
      <c r="F1313" s="5">
        <f t="shared" si="124"/>
        <v>3580000</v>
      </c>
      <c r="G1313" s="5">
        <v>3580000</v>
      </c>
      <c r="H1313" s="4">
        <v>2874000</v>
      </c>
      <c r="I1313" s="2">
        <f t="shared" si="121"/>
        <v>0.80279329608938543</v>
      </c>
      <c r="J1313" s="4">
        <v>3420000</v>
      </c>
      <c r="K1313" s="2">
        <f t="shared" si="122"/>
        <v>0.95530726256983245</v>
      </c>
      <c r="L1313" t="s">
        <v>12567</v>
      </c>
      <c r="M1313" t="s">
        <v>432</v>
      </c>
      <c r="N1313" t="b">
        <f t="shared" si="123"/>
        <v>0</v>
      </c>
    </row>
    <row r="1314" spans="1:14" x14ac:dyDescent="0.15">
      <c r="A1314" t="s">
        <v>12548</v>
      </c>
      <c r="B1314" t="s">
        <v>12551</v>
      </c>
      <c r="C1314" t="s">
        <v>12626</v>
      </c>
      <c r="D1314" t="s">
        <v>23</v>
      </c>
      <c r="E1314" t="s">
        <v>12627</v>
      </c>
      <c r="F1314" s="5">
        <f t="shared" si="124"/>
        <v>3760000</v>
      </c>
      <c r="G1314" s="5">
        <v>3760000</v>
      </c>
      <c r="H1314" s="4">
        <v>3018000</v>
      </c>
      <c r="I1314" s="2">
        <f t="shared" si="121"/>
        <v>0.80265957446808511</v>
      </c>
      <c r="J1314" s="4">
        <v>3570000</v>
      </c>
      <c r="K1314" s="2">
        <f t="shared" si="122"/>
        <v>0.94946808510638303</v>
      </c>
      <c r="L1314" t="s">
        <v>12620</v>
      </c>
      <c r="M1314" t="s">
        <v>432</v>
      </c>
      <c r="N1314" t="b">
        <f t="shared" si="123"/>
        <v>0</v>
      </c>
    </row>
    <row r="1315" spans="1:14" x14ac:dyDescent="0.15">
      <c r="A1315" t="s">
        <v>12548</v>
      </c>
      <c r="B1315" t="s">
        <v>12551</v>
      </c>
      <c r="C1315" t="s">
        <v>12628</v>
      </c>
      <c r="D1315" t="s">
        <v>23</v>
      </c>
      <c r="E1315" t="s">
        <v>12629</v>
      </c>
      <c r="F1315" s="5">
        <f t="shared" si="124"/>
        <v>4500000</v>
      </c>
      <c r="G1315" s="5">
        <v>4500000</v>
      </c>
      <c r="H1315" s="4">
        <v>3612000</v>
      </c>
      <c r="I1315" s="2">
        <f t="shared" si="121"/>
        <v>0.80266666666666664</v>
      </c>
      <c r="J1315" s="4">
        <v>4320000</v>
      </c>
      <c r="K1315" s="2">
        <f t="shared" si="122"/>
        <v>0.96</v>
      </c>
      <c r="L1315" t="s">
        <v>12570</v>
      </c>
      <c r="M1315" t="s">
        <v>432</v>
      </c>
      <c r="N1315" t="b">
        <f t="shared" si="123"/>
        <v>0</v>
      </c>
    </row>
    <row r="1316" spans="1:14" x14ac:dyDescent="0.15">
      <c r="A1316" t="s">
        <v>12548</v>
      </c>
      <c r="B1316" t="s">
        <v>12551</v>
      </c>
      <c r="C1316" t="s">
        <v>12630</v>
      </c>
      <c r="D1316" t="s">
        <v>23</v>
      </c>
      <c r="E1316" t="s">
        <v>12631</v>
      </c>
      <c r="F1316" s="5">
        <f t="shared" si="124"/>
        <v>4910000</v>
      </c>
      <c r="G1316" s="5">
        <v>4910000</v>
      </c>
      <c r="H1316" s="4">
        <v>3947000</v>
      </c>
      <c r="I1316" s="2">
        <f t="shared" si="121"/>
        <v>0.80386965376782082</v>
      </c>
      <c r="J1316" s="4">
        <v>4700000</v>
      </c>
      <c r="K1316" s="2">
        <f t="shared" si="122"/>
        <v>0.95723014256619143</v>
      </c>
      <c r="L1316" t="s">
        <v>39</v>
      </c>
      <c r="M1316" t="s">
        <v>174</v>
      </c>
      <c r="N1316" t="b">
        <f t="shared" si="123"/>
        <v>0</v>
      </c>
    </row>
    <row r="1317" spans="1:14" x14ac:dyDescent="0.15">
      <c r="A1317" t="s">
        <v>12548</v>
      </c>
      <c r="B1317" t="s">
        <v>12551</v>
      </c>
      <c r="C1317" t="s">
        <v>12632</v>
      </c>
      <c r="D1317" t="s">
        <v>23</v>
      </c>
      <c r="E1317" t="s">
        <v>12633</v>
      </c>
      <c r="F1317" s="5">
        <f t="shared" si="124"/>
        <v>1524000</v>
      </c>
      <c r="G1317" s="5">
        <v>1524000</v>
      </c>
      <c r="H1317" s="4">
        <v>1201000</v>
      </c>
      <c r="I1317" s="2">
        <f t="shared" si="121"/>
        <v>0.78805774278215224</v>
      </c>
      <c r="J1317" s="4">
        <v>1470000</v>
      </c>
      <c r="K1317" s="2">
        <f t="shared" si="122"/>
        <v>0.96456692913385822</v>
      </c>
      <c r="L1317" t="s">
        <v>12591</v>
      </c>
      <c r="M1317" t="s">
        <v>432</v>
      </c>
      <c r="N1317" t="b">
        <f t="shared" si="123"/>
        <v>0</v>
      </c>
    </row>
    <row r="1318" spans="1:14" x14ac:dyDescent="0.15">
      <c r="A1318" t="s">
        <v>12548</v>
      </c>
      <c r="B1318" t="s">
        <v>12551</v>
      </c>
      <c r="C1318" t="s">
        <v>12634</v>
      </c>
      <c r="D1318" t="s">
        <v>23</v>
      </c>
      <c r="E1318" t="s">
        <v>12635</v>
      </c>
      <c r="F1318" s="5">
        <f t="shared" si="124"/>
        <v>11160000</v>
      </c>
      <c r="G1318" s="5">
        <v>11160000</v>
      </c>
      <c r="H1318" s="4">
        <v>8551000</v>
      </c>
      <c r="I1318" s="2">
        <f t="shared" si="121"/>
        <v>0.76621863799283152</v>
      </c>
      <c r="J1318" s="4">
        <v>8959000</v>
      </c>
      <c r="K1318" s="2">
        <f t="shared" si="122"/>
        <v>0.80277777777777781</v>
      </c>
      <c r="L1318" t="s">
        <v>1321</v>
      </c>
      <c r="M1318" t="s">
        <v>192</v>
      </c>
      <c r="N1318" t="b">
        <f t="shared" si="123"/>
        <v>0</v>
      </c>
    </row>
    <row r="1319" spans="1:14" x14ac:dyDescent="0.15">
      <c r="A1319" t="s">
        <v>12548</v>
      </c>
      <c r="B1319" t="s">
        <v>12551</v>
      </c>
      <c r="C1319" t="s">
        <v>12636</v>
      </c>
      <c r="D1319" t="s">
        <v>23</v>
      </c>
      <c r="E1319" t="s">
        <v>12637</v>
      </c>
      <c r="F1319" s="5">
        <f t="shared" si="124"/>
        <v>13000000</v>
      </c>
      <c r="G1319" s="5">
        <v>13000000</v>
      </c>
      <c r="H1319" s="4">
        <v>10431000</v>
      </c>
      <c r="I1319" s="2">
        <f t="shared" si="121"/>
        <v>0.80238461538461536</v>
      </c>
      <c r="J1319" s="4">
        <v>12000000</v>
      </c>
      <c r="K1319" s="2">
        <f t="shared" si="122"/>
        <v>0.92307692307692313</v>
      </c>
      <c r="L1319" t="s">
        <v>10639</v>
      </c>
      <c r="M1319" t="s">
        <v>192</v>
      </c>
      <c r="N1319" t="b">
        <f t="shared" si="123"/>
        <v>0</v>
      </c>
    </row>
    <row r="1320" spans="1:14" x14ac:dyDescent="0.15">
      <c r="A1320" t="s">
        <v>12548</v>
      </c>
      <c r="B1320" t="s">
        <v>12551</v>
      </c>
      <c r="C1320" t="s">
        <v>12638</v>
      </c>
      <c r="D1320" t="s">
        <v>23</v>
      </c>
      <c r="E1320" t="s">
        <v>12639</v>
      </c>
      <c r="F1320" s="5">
        <f t="shared" si="124"/>
        <v>23540000</v>
      </c>
      <c r="G1320" s="5">
        <v>23540000</v>
      </c>
      <c r="H1320" s="4">
        <v>20436000</v>
      </c>
      <c r="I1320" s="2">
        <f t="shared" si="121"/>
        <v>0.8681393372982158</v>
      </c>
      <c r="J1320" s="4">
        <v>22000000</v>
      </c>
      <c r="K1320" s="2">
        <f t="shared" si="122"/>
        <v>0.93457943925233644</v>
      </c>
      <c r="L1320" t="s">
        <v>12640</v>
      </c>
      <c r="M1320" t="s">
        <v>192</v>
      </c>
      <c r="N1320" t="b">
        <f t="shared" si="123"/>
        <v>0</v>
      </c>
    </row>
    <row r="1321" spans="1:14" x14ac:dyDescent="0.15">
      <c r="A1321" t="s">
        <v>12548</v>
      </c>
      <c r="B1321" t="s">
        <v>12551</v>
      </c>
      <c r="C1321" t="s">
        <v>12641</v>
      </c>
      <c r="D1321" t="s">
        <v>23</v>
      </c>
      <c r="E1321" t="s">
        <v>12642</v>
      </c>
      <c r="F1321" s="5">
        <f t="shared" si="124"/>
        <v>2350000</v>
      </c>
      <c r="G1321" s="5">
        <v>2350000</v>
      </c>
      <c r="I1321" s="2">
        <f t="shared" si="121"/>
        <v>0</v>
      </c>
      <c r="J1321" s="4">
        <v>2300000</v>
      </c>
      <c r="K1321" s="2">
        <f t="shared" si="122"/>
        <v>0.97872340425531912</v>
      </c>
      <c r="L1321" t="s">
        <v>12643</v>
      </c>
      <c r="M1321" t="s">
        <v>432</v>
      </c>
      <c r="N1321" t="b">
        <f t="shared" si="123"/>
        <v>0</v>
      </c>
    </row>
    <row r="1322" spans="1:14" x14ac:dyDescent="0.15">
      <c r="A1322" t="s">
        <v>12548</v>
      </c>
      <c r="B1322" t="s">
        <v>12551</v>
      </c>
      <c r="C1322" t="s">
        <v>12644</v>
      </c>
      <c r="D1322" t="s">
        <v>23</v>
      </c>
      <c r="E1322" t="s">
        <v>12645</v>
      </c>
      <c r="F1322" s="5">
        <f t="shared" si="124"/>
        <v>14540000</v>
      </c>
      <c r="G1322" s="5">
        <v>14540000</v>
      </c>
      <c r="I1322" s="2">
        <f t="shared" si="121"/>
        <v>0</v>
      </c>
      <c r="J1322" s="4">
        <v>13807000</v>
      </c>
      <c r="K1322" s="2">
        <f t="shared" si="122"/>
        <v>0.94958734525447042</v>
      </c>
      <c r="L1322" t="s">
        <v>12646</v>
      </c>
      <c r="M1322" t="s">
        <v>174</v>
      </c>
      <c r="N1322" t="b">
        <f t="shared" si="123"/>
        <v>0</v>
      </c>
    </row>
    <row r="1323" spans="1:14" x14ac:dyDescent="0.15">
      <c r="A1323" t="s">
        <v>12548</v>
      </c>
      <c r="B1323" t="s">
        <v>12551</v>
      </c>
      <c r="C1323" t="s">
        <v>12647</v>
      </c>
      <c r="D1323" t="s">
        <v>23</v>
      </c>
      <c r="E1323" t="s">
        <v>12648</v>
      </c>
      <c r="F1323" s="5">
        <f t="shared" si="124"/>
        <v>1860000</v>
      </c>
      <c r="G1323" s="5">
        <v>1860000</v>
      </c>
      <c r="H1323" s="4">
        <v>1495000</v>
      </c>
      <c r="I1323" s="2">
        <f t="shared" si="121"/>
        <v>0.80376344086021501</v>
      </c>
      <c r="J1323" s="4">
        <v>1750000</v>
      </c>
      <c r="K1323" s="2">
        <f t="shared" si="122"/>
        <v>0.94086021505376349</v>
      </c>
      <c r="L1323" t="s">
        <v>12570</v>
      </c>
      <c r="M1323" t="s">
        <v>432</v>
      </c>
      <c r="N1323" t="b">
        <f t="shared" si="123"/>
        <v>0</v>
      </c>
    </row>
    <row r="1324" spans="1:14" x14ac:dyDescent="0.15">
      <c r="A1324" t="s">
        <v>12548</v>
      </c>
      <c r="B1324" t="s">
        <v>12551</v>
      </c>
      <c r="C1324" t="s">
        <v>12649</v>
      </c>
      <c r="D1324" t="s">
        <v>23</v>
      </c>
      <c r="E1324" t="s">
        <v>12650</v>
      </c>
      <c r="F1324" s="5">
        <f t="shared" si="124"/>
        <v>1791000</v>
      </c>
      <c r="G1324" s="5">
        <v>1791000</v>
      </c>
      <c r="H1324" s="4">
        <v>1395000</v>
      </c>
      <c r="I1324" s="2">
        <f t="shared" si="121"/>
        <v>0.77889447236180909</v>
      </c>
      <c r="J1324" s="4">
        <v>1680000</v>
      </c>
      <c r="K1324" s="2">
        <f t="shared" si="122"/>
        <v>0.93802345058626468</v>
      </c>
      <c r="L1324" t="s">
        <v>12567</v>
      </c>
      <c r="M1324" t="s">
        <v>432</v>
      </c>
      <c r="N1324" t="b">
        <f t="shared" si="123"/>
        <v>0</v>
      </c>
    </row>
    <row r="1325" spans="1:14" x14ac:dyDescent="0.15">
      <c r="A1325" t="s">
        <v>12548</v>
      </c>
      <c r="B1325" t="s">
        <v>12551</v>
      </c>
      <c r="C1325" t="s">
        <v>12651</v>
      </c>
      <c r="D1325" t="s">
        <v>23</v>
      </c>
      <c r="E1325" t="s">
        <v>12652</v>
      </c>
      <c r="F1325" s="5">
        <f t="shared" si="124"/>
        <v>4655000</v>
      </c>
      <c r="G1325" s="5">
        <v>4655000</v>
      </c>
      <c r="H1325" s="4">
        <v>3671000</v>
      </c>
      <c r="I1325" s="2">
        <f t="shared" si="121"/>
        <v>0.78861439312567128</v>
      </c>
      <c r="J1325" s="4">
        <v>4420000</v>
      </c>
      <c r="K1325" s="2">
        <f t="shared" si="122"/>
        <v>0.94951664876476904</v>
      </c>
      <c r="L1325" t="s">
        <v>12591</v>
      </c>
      <c r="M1325" t="s">
        <v>174</v>
      </c>
      <c r="N1325" t="b">
        <f t="shared" si="123"/>
        <v>0</v>
      </c>
    </row>
    <row r="1326" spans="1:14" x14ac:dyDescent="0.15">
      <c r="A1326" t="s">
        <v>12548</v>
      </c>
      <c r="B1326" t="s">
        <v>12551</v>
      </c>
      <c r="C1326" t="s">
        <v>12653</v>
      </c>
      <c r="D1326" t="s">
        <v>23</v>
      </c>
      <c r="E1326" t="s">
        <v>12654</v>
      </c>
      <c r="F1326" s="5">
        <f t="shared" si="124"/>
        <v>6124000</v>
      </c>
      <c r="G1326" s="5">
        <v>6124000</v>
      </c>
      <c r="H1326" s="4">
        <v>4843000</v>
      </c>
      <c r="I1326" s="2">
        <f t="shared" si="121"/>
        <v>0.79082299150881774</v>
      </c>
      <c r="J1326" s="4">
        <v>5820000</v>
      </c>
      <c r="K1326" s="2">
        <f t="shared" si="122"/>
        <v>0.95035924232527758</v>
      </c>
      <c r="L1326" t="s">
        <v>12567</v>
      </c>
      <c r="M1326" t="s">
        <v>174</v>
      </c>
      <c r="N1326" t="b">
        <f t="shared" si="123"/>
        <v>0</v>
      </c>
    </row>
    <row r="1327" spans="1:14" x14ac:dyDescent="0.15">
      <c r="A1327" t="s">
        <v>12548</v>
      </c>
      <c r="B1327" t="s">
        <v>12551</v>
      </c>
      <c r="C1327" t="s">
        <v>12655</v>
      </c>
      <c r="D1327" t="s">
        <v>23</v>
      </c>
      <c r="E1327" t="s">
        <v>12656</v>
      </c>
      <c r="F1327" s="5">
        <f t="shared" si="124"/>
        <v>9988000</v>
      </c>
      <c r="G1327" s="5">
        <v>9988000</v>
      </c>
      <c r="H1327" s="4">
        <v>8023000</v>
      </c>
      <c r="I1327" s="2">
        <f t="shared" si="121"/>
        <v>0.80326391670004005</v>
      </c>
      <c r="J1327" s="4">
        <v>9800000</v>
      </c>
      <c r="K1327" s="2">
        <f t="shared" si="122"/>
        <v>0.98117741289547455</v>
      </c>
      <c r="L1327" t="s">
        <v>64</v>
      </c>
      <c r="M1327" t="s">
        <v>192</v>
      </c>
      <c r="N1327" t="b">
        <f t="shared" si="123"/>
        <v>0</v>
      </c>
    </row>
    <row r="1328" spans="1:14" x14ac:dyDescent="0.15">
      <c r="A1328" t="s">
        <v>12548</v>
      </c>
      <c r="B1328" t="s">
        <v>12551</v>
      </c>
      <c r="C1328" t="s">
        <v>12657</v>
      </c>
      <c r="D1328" t="s">
        <v>23</v>
      </c>
      <c r="E1328" t="s">
        <v>12658</v>
      </c>
      <c r="F1328" s="5">
        <f t="shared" si="124"/>
        <v>2342000</v>
      </c>
      <c r="G1328" s="5">
        <v>2342000</v>
      </c>
      <c r="H1328" s="4">
        <v>1826000</v>
      </c>
      <c r="I1328" s="2">
        <f t="shared" si="121"/>
        <v>0.77967549103330491</v>
      </c>
      <c r="J1328" s="4">
        <v>2190000</v>
      </c>
      <c r="K1328" s="2">
        <f t="shared" si="122"/>
        <v>0.93509820666097354</v>
      </c>
      <c r="L1328" t="s">
        <v>12567</v>
      </c>
      <c r="M1328" t="s">
        <v>432</v>
      </c>
      <c r="N1328" t="b">
        <f t="shared" si="123"/>
        <v>0</v>
      </c>
    </row>
    <row r="1329" spans="1:14" x14ac:dyDescent="0.15">
      <c r="A1329" t="s">
        <v>12548</v>
      </c>
      <c r="B1329" t="s">
        <v>12551</v>
      </c>
      <c r="C1329" t="s">
        <v>12659</v>
      </c>
      <c r="D1329" t="s">
        <v>23</v>
      </c>
      <c r="E1329" t="s">
        <v>12660</v>
      </c>
      <c r="F1329" s="5">
        <f t="shared" si="124"/>
        <v>1690000</v>
      </c>
      <c r="G1329" s="5">
        <v>1690000</v>
      </c>
      <c r="H1329" s="4">
        <v>1357000</v>
      </c>
      <c r="I1329" s="2">
        <f t="shared" si="121"/>
        <v>0.80295857988165675</v>
      </c>
      <c r="J1329" s="4">
        <v>1580000</v>
      </c>
      <c r="K1329" s="2">
        <f t="shared" si="122"/>
        <v>0.9349112426035503</v>
      </c>
      <c r="L1329" t="s">
        <v>12623</v>
      </c>
      <c r="M1329" t="s">
        <v>432</v>
      </c>
      <c r="N1329" t="b">
        <f t="shared" si="123"/>
        <v>0</v>
      </c>
    </row>
    <row r="1330" spans="1:14" x14ac:dyDescent="0.15">
      <c r="A1330" t="s">
        <v>12548</v>
      </c>
      <c r="B1330" t="s">
        <v>12551</v>
      </c>
      <c r="C1330" t="s">
        <v>12661</v>
      </c>
      <c r="D1330" t="s">
        <v>23</v>
      </c>
      <c r="E1330" t="s">
        <v>12662</v>
      </c>
      <c r="F1330" s="5">
        <f t="shared" si="124"/>
        <v>1860000</v>
      </c>
      <c r="G1330" s="5">
        <v>1860000</v>
      </c>
      <c r="H1330" s="4">
        <v>1522000</v>
      </c>
      <c r="I1330" s="2">
        <f t="shared" si="121"/>
        <v>0.81827956989247308</v>
      </c>
      <c r="J1330" s="4">
        <v>1740000</v>
      </c>
      <c r="K1330" s="2">
        <f t="shared" si="122"/>
        <v>0.93548387096774188</v>
      </c>
      <c r="L1330" t="s">
        <v>12567</v>
      </c>
      <c r="M1330" t="s">
        <v>432</v>
      </c>
      <c r="N1330" t="b">
        <f t="shared" si="123"/>
        <v>0</v>
      </c>
    </row>
    <row r="1331" spans="1:14" x14ac:dyDescent="0.15">
      <c r="A1331" t="s">
        <v>12548</v>
      </c>
      <c r="B1331" t="s">
        <v>12551</v>
      </c>
      <c r="C1331" t="s">
        <v>12663</v>
      </c>
      <c r="D1331" t="s">
        <v>23</v>
      </c>
      <c r="E1331" t="s">
        <v>12664</v>
      </c>
      <c r="F1331" s="5">
        <f t="shared" si="124"/>
        <v>2400000</v>
      </c>
      <c r="G1331" s="5">
        <v>2400000</v>
      </c>
      <c r="H1331" s="4">
        <v>1937000</v>
      </c>
      <c r="I1331" s="2">
        <f t="shared" si="121"/>
        <v>0.80708333333333337</v>
      </c>
      <c r="J1331" s="4">
        <v>2300000</v>
      </c>
      <c r="K1331" s="2">
        <f t="shared" si="122"/>
        <v>0.95833333333333337</v>
      </c>
      <c r="L1331" t="s">
        <v>12570</v>
      </c>
      <c r="M1331" t="s">
        <v>432</v>
      </c>
      <c r="N1331" t="b">
        <f t="shared" si="123"/>
        <v>0</v>
      </c>
    </row>
    <row r="1332" spans="1:14" x14ac:dyDescent="0.15">
      <c r="A1332" t="s">
        <v>12548</v>
      </c>
      <c r="B1332" t="s">
        <v>12551</v>
      </c>
      <c r="C1332" t="s">
        <v>12665</v>
      </c>
      <c r="D1332" t="s">
        <v>23</v>
      </c>
      <c r="E1332" t="s">
        <v>12666</v>
      </c>
      <c r="F1332" s="5">
        <f t="shared" si="124"/>
        <v>10970000</v>
      </c>
      <c r="G1332" s="5">
        <v>10970000</v>
      </c>
      <c r="H1332" s="4">
        <v>8804000</v>
      </c>
      <c r="I1332" s="2">
        <f t="shared" si="121"/>
        <v>0.80255241567912483</v>
      </c>
      <c r="J1332" s="4">
        <v>8880000</v>
      </c>
      <c r="K1332" s="2">
        <f t="shared" si="122"/>
        <v>0.80948040109389241</v>
      </c>
      <c r="L1332" t="s">
        <v>1321</v>
      </c>
      <c r="M1332" t="s">
        <v>192</v>
      </c>
      <c r="N1332" t="b">
        <f t="shared" si="123"/>
        <v>0</v>
      </c>
    </row>
    <row r="1333" spans="1:14" x14ac:dyDescent="0.15">
      <c r="A1333" t="s">
        <v>12548</v>
      </c>
      <c r="B1333" t="s">
        <v>12551</v>
      </c>
      <c r="C1333" t="s">
        <v>12667</v>
      </c>
      <c r="D1333" t="s">
        <v>23</v>
      </c>
      <c r="E1333" t="s">
        <v>12668</v>
      </c>
      <c r="F1333" s="5">
        <f t="shared" si="124"/>
        <v>1360000</v>
      </c>
      <c r="G1333" s="5">
        <v>1360000</v>
      </c>
      <c r="H1333" s="4">
        <v>1061000</v>
      </c>
      <c r="I1333" s="2">
        <f t="shared" si="121"/>
        <v>0.78014705882352942</v>
      </c>
      <c r="J1333" s="4">
        <v>1230000</v>
      </c>
      <c r="K1333" s="2">
        <f t="shared" si="122"/>
        <v>0.90441176470588236</v>
      </c>
      <c r="L1333" t="s">
        <v>12567</v>
      </c>
      <c r="M1333" t="s">
        <v>432</v>
      </c>
      <c r="N1333" t="b">
        <f t="shared" si="123"/>
        <v>0</v>
      </c>
    </row>
    <row r="1334" spans="1:14" x14ac:dyDescent="0.15">
      <c r="A1334" t="s">
        <v>12548</v>
      </c>
      <c r="B1334" t="s">
        <v>12551</v>
      </c>
      <c r="C1334" t="s">
        <v>12669</v>
      </c>
      <c r="D1334" t="s">
        <v>23</v>
      </c>
      <c r="E1334" t="s">
        <v>12670</v>
      </c>
      <c r="F1334" s="5">
        <f t="shared" si="124"/>
        <v>1690000</v>
      </c>
      <c r="G1334" s="5">
        <v>1690000</v>
      </c>
      <c r="H1334" s="4">
        <v>1357000</v>
      </c>
      <c r="I1334" s="2">
        <f t="shared" si="121"/>
        <v>0.80295857988165675</v>
      </c>
      <c r="J1334" s="4">
        <v>1600000</v>
      </c>
      <c r="K1334" s="2">
        <f t="shared" si="122"/>
        <v>0.94674556213017746</v>
      </c>
      <c r="L1334" t="s">
        <v>12620</v>
      </c>
      <c r="M1334" t="s">
        <v>432</v>
      </c>
      <c r="N1334" t="b">
        <f t="shared" si="123"/>
        <v>0</v>
      </c>
    </row>
    <row r="1335" spans="1:14" x14ac:dyDescent="0.15">
      <c r="A1335" t="s">
        <v>12548</v>
      </c>
      <c r="B1335" t="s">
        <v>12551</v>
      </c>
      <c r="C1335" t="s">
        <v>12671</v>
      </c>
      <c r="D1335" t="s">
        <v>23</v>
      </c>
      <c r="E1335" t="s">
        <v>12672</v>
      </c>
      <c r="F1335" s="5">
        <f t="shared" si="124"/>
        <v>2170000</v>
      </c>
      <c r="G1335" s="5">
        <v>2170000</v>
      </c>
      <c r="H1335" s="4">
        <v>1743000</v>
      </c>
      <c r="I1335" s="2">
        <f t="shared" si="121"/>
        <v>0.8032258064516129</v>
      </c>
      <c r="J1335" s="4">
        <v>2100000</v>
      </c>
      <c r="K1335" s="2">
        <f t="shared" si="122"/>
        <v>0.967741935483871</v>
      </c>
      <c r="L1335" t="s">
        <v>12570</v>
      </c>
      <c r="M1335" t="s">
        <v>432</v>
      </c>
      <c r="N1335" t="b">
        <f t="shared" si="123"/>
        <v>0</v>
      </c>
    </row>
    <row r="1336" spans="1:14" x14ac:dyDescent="0.15">
      <c r="A1336" t="s">
        <v>12548</v>
      </c>
      <c r="B1336" t="s">
        <v>12551</v>
      </c>
      <c r="C1336" t="s">
        <v>12673</v>
      </c>
      <c r="D1336" t="s">
        <v>23</v>
      </c>
      <c r="E1336" t="s">
        <v>12674</v>
      </c>
      <c r="F1336" s="5">
        <f t="shared" si="124"/>
        <v>774000</v>
      </c>
      <c r="G1336" s="5">
        <v>774000</v>
      </c>
      <c r="H1336" s="4">
        <v>620000</v>
      </c>
      <c r="I1336" s="2">
        <f t="shared" si="121"/>
        <v>0.8010335917312662</v>
      </c>
      <c r="J1336" s="4">
        <v>700000</v>
      </c>
      <c r="K1336" s="2">
        <f t="shared" si="122"/>
        <v>0.90439276485788112</v>
      </c>
      <c r="L1336" t="s">
        <v>12607</v>
      </c>
      <c r="M1336" t="s">
        <v>21</v>
      </c>
      <c r="N1336" t="b">
        <f t="shared" si="123"/>
        <v>0</v>
      </c>
    </row>
    <row r="1337" spans="1:14" x14ac:dyDescent="0.15">
      <c r="A1337" t="s">
        <v>12548</v>
      </c>
      <c r="B1337" t="s">
        <v>12551</v>
      </c>
      <c r="C1337" t="s">
        <v>12675</v>
      </c>
      <c r="D1337" t="s">
        <v>23</v>
      </c>
      <c r="E1337" t="s">
        <v>12676</v>
      </c>
      <c r="F1337" s="5">
        <f t="shared" si="124"/>
        <v>1395000</v>
      </c>
      <c r="G1337" s="5">
        <v>1395000</v>
      </c>
      <c r="I1337" s="2">
        <f t="shared" si="121"/>
        <v>0</v>
      </c>
      <c r="J1337" s="4">
        <v>1360000</v>
      </c>
      <c r="K1337" s="2">
        <f t="shared" si="122"/>
        <v>0.97491039426523296</v>
      </c>
      <c r="L1337" t="s">
        <v>12643</v>
      </c>
      <c r="M1337" t="s">
        <v>432</v>
      </c>
      <c r="N1337" t="b">
        <f t="shared" si="123"/>
        <v>0</v>
      </c>
    </row>
    <row r="1338" spans="1:14" x14ac:dyDescent="0.15">
      <c r="A1338" t="s">
        <v>12548</v>
      </c>
      <c r="B1338" t="s">
        <v>12551</v>
      </c>
      <c r="C1338" t="s">
        <v>12677</v>
      </c>
      <c r="D1338" t="s">
        <v>23</v>
      </c>
      <c r="E1338" t="s">
        <v>12678</v>
      </c>
      <c r="F1338" s="5">
        <f t="shared" si="124"/>
        <v>13588000</v>
      </c>
      <c r="G1338" s="5">
        <v>13588000</v>
      </c>
      <c r="H1338" s="4">
        <v>10675000</v>
      </c>
      <c r="I1338" s="2">
        <f t="shared" si="121"/>
        <v>0.78561966440977338</v>
      </c>
      <c r="J1338" s="4">
        <v>13120000</v>
      </c>
      <c r="K1338" s="2">
        <f t="shared" si="122"/>
        <v>0.96555784515749188</v>
      </c>
      <c r="L1338" t="s">
        <v>12567</v>
      </c>
      <c r="M1338" t="s">
        <v>192</v>
      </c>
      <c r="N1338" t="b">
        <f t="shared" si="123"/>
        <v>0</v>
      </c>
    </row>
    <row r="1339" spans="1:14" x14ac:dyDescent="0.15">
      <c r="A1339" t="s">
        <v>12548</v>
      </c>
      <c r="B1339" t="s">
        <v>12551</v>
      </c>
      <c r="C1339" t="s">
        <v>12679</v>
      </c>
      <c r="D1339" t="s">
        <v>23</v>
      </c>
      <c r="E1339" t="s">
        <v>11219</v>
      </c>
      <c r="F1339" s="5">
        <f t="shared" si="124"/>
        <v>1320000</v>
      </c>
      <c r="G1339" s="5">
        <v>1320000</v>
      </c>
      <c r="H1339" s="4">
        <v>1059000</v>
      </c>
      <c r="I1339" s="2">
        <f t="shared" si="121"/>
        <v>0.80227272727272725</v>
      </c>
      <c r="J1339" s="4">
        <v>1220000</v>
      </c>
      <c r="K1339" s="2">
        <f t="shared" si="122"/>
        <v>0.9242424242424242</v>
      </c>
      <c r="L1339" t="s">
        <v>12567</v>
      </c>
      <c r="M1339" t="s">
        <v>432</v>
      </c>
      <c r="N1339" t="b">
        <f t="shared" si="123"/>
        <v>0</v>
      </c>
    </row>
    <row r="1340" spans="1:14" x14ac:dyDescent="0.15">
      <c r="A1340" t="s">
        <v>12548</v>
      </c>
      <c r="B1340" t="s">
        <v>12551</v>
      </c>
      <c r="C1340" t="s">
        <v>12680</v>
      </c>
      <c r="D1340" t="s">
        <v>23</v>
      </c>
      <c r="E1340" t="s">
        <v>12681</v>
      </c>
      <c r="F1340" s="5">
        <f t="shared" si="124"/>
        <v>9953000</v>
      </c>
      <c r="G1340" s="5">
        <v>9953000</v>
      </c>
      <c r="H1340" s="4">
        <v>7920000</v>
      </c>
      <c r="I1340" s="2">
        <f t="shared" si="121"/>
        <v>0.79573997789611173</v>
      </c>
      <c r="J1340" s="4">
        <v>9500000</v>
      </c>
      <c r="K1340" s="2">
        <f t="shared" si="122"/>
        <v>0.95448608459760875</v>
      </c>
      <c r="L1340" t="s">
        <v>360</v>
      </c>
      <c r="M1340" t="s">
        <v>192</v>
      </c>
      <c r="N1340" t="b">
        <f t="shared" si="123"/>
        <v>0</v>
      </c>
    </row>
    <row r="1341" spans="1:14" x14ac:dyDescent="0.15">
      <c r="A1341" t="s">
        <v>12548</v>
      </c>
      <c r="B1341" t="s">
        <v>12551</v>
      </c>
      <c r="C1341" t="s">
        <v>12682</v>
      </c>
      <c r="D1341" t="s">
        <v>23</v>
      </c>
      <c r="E1341" t="s">
        <v>12683</v>
      </c>
      <c r="F1341" s="5">
        <f t="shared" si="124"/>
        <v>4590000</v>
      </c>
      <c r="G1341" s="5">
        <v>4590000</v>
      </c>
      <c r="H1341" s="4">
        <v>3652000</v>
      </c>
      <c r="I1341" s="2">
        <f t="shared" si="121"/>
        <v>0.79564270152505445</v>
      </c>
      <c r="J1341" s="4">
        <v>4400000</v>
      </c>
      <c r="K1341" s="2">
        <f t="shared" si="122"/>
        <v>0.95860566448801743</v>
      </c>
      <c r="L1341" t="s">
        <v>12570</v>
      </c>
      <c r="M1341" t="s">
        <v>174</v>
      </c>
      <c r="N1341" t="b">
        <f t="shared" si="123"/>
        <v>0</v>
      </c>
    </row>
    <row r="1342" spans="1:14" x14ac:dyDescent="0.15">
      <c r="A1342" t="s">
        <v>12548</v>
      </c>
      <c r="B1342" t="s">
        <v>12551</v>
      </c>
      <c r="C1342" t="s">
        <v>12684</v>
      </c>
      <c r="D1342" t="s">
        <v>23</v>
      </c>
      <c r="E1342" t="s">
        <v>12685</v>
      </c>
      <c r="F1342" s="5">
        <f t="shared" si="124"/>
        <v>1307000</v>
      </c>
      <c r="G1342" s="5">
        <v>1307000</v>
      </c>
      <c r="H1342" s="4">
        <v>1038000</v>
      </c>
      <c r="I1342" s="2">
        <f t="shared" si="121"/>
        <v>0.79418515684774293</v>
      </c>
      <c r="J1342" s="4">
        <v>1230000</v>
      </c>
      <c r="K1342" s="2">
        <f t="shared" si="122"/>
        <v>0.94108645753634279</v>
      </c>
      <c r="L1342" t="s">
        <v>12623</v>
      </c>
      <c r="M1342" t="s">
        <v>432</v>
      </c>
      <c r="N1342" t="b">
        <f t="shared" si="123"/>
        <v>0</v>
      </c>
    </row>
    <row r="1343" spans="1:14" x14ac:dyDescent="0.15">
      <c r="A1343" t="s">
        <v>12548</v>
      </c>
      <c r="B1343" t="s">
        <v>12551</v>
      </c>
      <c r="C1343" t="s">
        <v>12686</v>
      </c>
      <c r="D1343" t="s">
        <v>23</v>
      </c>
      <c r="E1343" t="s">
        <v>12687</v>
      </c>
      <c r="F1343" s="5">
        <f t="shared" si="124"/>
        <v>1356000</v>
      </c>
      <c r="G1343" s="5">
        <v>1356000</v>
      </c>
      <c r="H1343" s="4">
        <v>1080000</v>
      </c>
      <c r="I1343" s="2">
        <f t="shared" si="121"/>
        <v>0.79646017699115046</v>
      </c>
      <c r="J1343" s="4">
        <v>1260000</v>
      </c>
      <c r="K1343" s="2">
        <f t="shared" si="122"/>
        <v>0.92920353982300885</v>
      </c>
      <c r="L1343" t="s">
        <v>12623</v>
      </c>
      <c r="M1343" t="s">
        <v>432</v>
      </c>
      <c r="N1343" t="b">
        <f t="shared" si="123"/>
        <v>0</v>
      </c>
    </row>
    <row r="1344" spans="1:14" x14ac:dyDescent="0.15">
      <c r="A1344" t="s">
        <v>12548</v>
      </c>
      <c r="B1344" t="s">
        <v>12551</v>
      </c>
      <c r="C1344" t="s">
        <v>12688</v>
      </c>
      <c r="D1344" t="s">
        <v>23</v>
      </c>
      <c r="E1344" t="s">
        <v>12689</v>
      </c>
      <c r="F1344" s="5">
        <f t="shared" si="124"/>
        <v>2900000</v>
      </c>
      <c r="G1344" s="5">
        <v>2900000</v>
      </c>
      <c r="H1344" s="4">
        <v>2275000</v>
      </c>
      <c r="I1344" s="2">
        <f t="shared" si="121"/>
        <v>0.78448275862068961</v>
      </c>
      <c r="J1344" s="4">
        <v>2790000</v>
      </c>
      <c r="K1344" s="2">
        <f t="shared" si="122"/>
        <v>0.96206896551724141</v>
      </c>
      <c r="L1344" t="s">
        <v>12567</v>
      </c>
      <c r="M1344" t="s">
        <v>432</v>
      </c>
      <c r="N1344" t="b">
        <f t="shared" si="123"/>
        <v>0</v>
      </c>
    </row>
    <row r="1345" spans="1:14" x14ac:dyDescent="0.15">
      <c r="A1345" t="s">
        <v>12548</v>
      </c>
      <c r="B1345" t="s">
        <v>12551</v>
      </c>
      <c r="C1345" t="s">
        <v>12690</v>
      </c>
      <c r="D1345" t="s">
        <v>23</v>
      </c>
      <c r="E1345" t="s">
        <v>12691</v>
      </c>
      <c r="F1345" s="5">
        <f t="shared" si="124"/>
        <v>2843400</v>
      </c>
      <c r="G1345" s="5">
        <v>2843400</v>
      </c>
      <c r="I1345" s="2">
        <f t="shared" si="121"/>
        <v>0</v>
      </c>
      <c r="J1345" s="4">
        <v>2790000</v>
      </c>
      <c r="K1345" s="2">
        <f t="shared" si="122"/>
        <v>0.98121966659632831</v>
      </c>
      <c r="L1345" t="s">
        <v>125</v>
      </c>
      <c r="M1345" t="s">
        <v>432</v>
      </c>
      <c r="N1345" t="b">
        <f t="shared" si="123"/>
        <v>0</v>
      </c>
    </row>
    <row r="1346" spans="1:14" x14ac:dyDescent="0.15">
      <c r="A1346" t="s">
        <v>12548</v>
      </c>
      <c r="B1346" t="s">
        <v>12551</v>
      </c>
      <c r="C1346" t="s">
        <v>12692</v>
      </c>
      <c r="D1346" t="s">
        <v>23</v>
      </c>
      <c r="E1346" t="s">
        <v>12693</v>
      </c>
      <c r="F1346" s="5">
        <f t="shared" si="124"/>
        <v>15000000</v>
      </c>
      <c r="G1346" s="5">
        <v>15000000</v>
      </c>
      <c r="H1346" s="4">
        <v>11940000</v>
      </c>
      <c r="I1346" s="2">
        <f t="shared" si="121"/>
        <v>0.79600000000000004</v>
      </c>
      <c r="J1346" s="4">
        <v>14250000</v>
      </c>
      <c r="K1346" s="2">
        <f t="shared" si="122"/>
        <v>0.95</v>
      </c>
      <c r="L1346" t="s">
        <v>1541</v>
      </c>
      <c r="M1346" t="s">
        <v>192</v>
      </c>
      <c r="N1346" t="b">
        <f t="shared" si="123"/>
        <v>0</v>
      </c>
    </row>
    <row r="1347" spans="1:14" x14ac:dyDescent="0.15">
      <c r="A1347" t="s">
        <v>12548</v>
      </c>
      <c r="B1347" t="s">
        <v>12551</v>
      </c>
      <c r="C1347" t="s">
        <v>12694</v>
      </c>
      <c r="D1347" t="s">
        <v>23</v>
      </c>
      <c r="E1347" t="s">
        <v>12695</v>
      </c>
      <c r="F1347" s="5">
        <f t="shared" si="124"/>
        <v>24360000</v>
      </c>
      <c r="G1347" s="5">
        <v>24360000</v>
      </c>
      <c r="H1347" s="4">
        <v>20822000</v>
      </c>
      <c r="I1347" s="2">
        <f t="shared" si="121"/>
        <v>0.85476190476190472</v>
      </c>
      <c r="J1347" s="4">
        <v>24000000</v>
      </c>
      <c r="K1347" s="2">
        <f t="shared" si="122"/>
        <v>0.98522167487684731</v>
      </c>
      <c r="L1347" t="s">
        <v>10194</v>
      </c>
      <c r="M1347" t="s">
        <v>192</v>
      </c>
      <c r="N1347" t="b">
        <f t="shared" si="123"/>
        <v>0</v>
      </c>
    </row>
    <row r="1348" spans="1:14" x14ac:dyDescent="0.15">
      <c r="A1348" t="s">
        <v>12548</v>
      </c>
      <c r="B1348" t="s">
        <v>12551</v>
      </c>
      <c r="C1348" t="s">
        <v>12696</v>
      </c>
      <c r="D1348" t="s">
        <v>23</v>
      </c>
      <c r="E1348" t="s">
        <v>9492</v>
      </c>
      <c r="F1348" s="5">
        <f t="shared" si="124"/>
        <v>1690000</v>
      </c>
      <c r="G1348" s="5">
        <v>1690000</v>
      </c>
      <c r="H1348" s="4">
        <v>1345000</v>
      </c>
      <c r="I1348" s="2">
        <f t="shared" ref="I1348:I1411" si="125">H1348/G1348</f>
        <v>0.79585798816568043</v>
      </c>
      <c r="J1348" s="4">
        <v>1600000</v>
      </c>
      <c r="K1348" s="2">
        <f t="shared" ref="K1348:K1411" si="126">J1348/G1348</f>
        <v>0.94674556213017746</v>
      </c>
      <c r="L1348" t="s">
        <v>12570</v>
      </c>
      <c r="M1348" t="s">
        <v>432</v>
      </c>
      <c r="N1348" t="b">
        <f t="shared" ref="N1348:N1411" si="127">F1348&lt;&gt;G1348</f>
        <v>0</v>
      </c>
    </row>
    <row r="1349" spans="1:14" x14ac:dyDescent="0.15">
      <c r="A1349" t="s">
        <v>12548</v>
      </c>
      <c r="B1349" t="s">
        <v>12551</v>
      </c>
      <c r="C1349" t="s">
        <v>12697</v>
      </c>
      <c r="D1349" t="s">
        <v>23</v>
      </c>
      <c r="E1349" t="s">
        <v>11395</v>
      </c>
      <c r="F1349" s="5">
        <f t="shared" si="124"/>
        <v>3120000</v>
      </c>
      <c r="G1349" s="5">
        <v>3120000</v>
      </c>
      <c r="H1349" s="4">
        <v>2484000</v>
      </c>
      <c r="I1349" s="2">
        <f t="shared" si="125"/>
        <v>0.7961538461538461</v>
      </c>
      <c r="J1349" s="4">
        <v>2970000</v>
      </c>
      <c r="K1349" s="2">
        <f t="shared" si="126"/>
        <v>0.95192307692307687</v>
      </c>
      <c r="L1349" t="s">
        <v>12567</v>
      </c>
      <c r="M1349" t="s">
        <v>432</v>
      </c>
      <c r="N1349" t="b">
        <f t="shared" si="127"/>
        <v>0</v>
      </c>
    </row>
    <row r="1350" spans="1:14" x14ac:dyDescent="0.15">
      <c r="A1350" t="s">
        <v>12548</v>
      </c>
      <c r="B1350" t="s">
        <v>12551</v>
      </c>
      <c r="C1350" t="s">
        <v>12698</v>
      </c>
      <c r="D1350" t="s">
        <v>23</v>
      </c>
      <c r="E1350" t="s">
        <v>12699</v>
      </c>
      <c r="F1350" s="5">
        <f t="shared" si="124"/>
        <v>814000</v>
      </c>
      <c r="G1350" s="5">
        <v>814000</v>
      </c>
      <c r="H1350" s="4">
        <v>628000</v>
      </c>
      <c r="I1350" s="2">
        <f t="shared" si="125"/>
        <v>0.77149877149877155</v>
      </c>
      <c r="J1350" s="4">
        <v>750000</v>
      </c>
      <c r="K1350" s="2">
        <f t="shared" si="126"/>
        <v>0.92137592137592139</v>
      </c>
      <c r="L1350" t="s">
        <v>12567</v>
      </c>
      <c r="M1350" t="s">
        <v>21</v>
      </c>
      <c r="N1350" t="b">
        <f t="shared" si="127"/>
        <v>0</v>
      </c>
    </row>
    <row r="1351" spans="1:14" x14ac:dyDescent="0.15">
      <c r="A1351" t="s">
        <v>12548</v>
      </c>
      <c r="B1351" t="s">
        <v>12551</v>
      </c>
      <c r="C1351" t="s">
        <v>12700</v>
      </c>
      <c r="D1351" t="s">
        <v>23</v>
      </c>
      <c r="E1351" t="s">
        <v>12701</v>
      </c>
      <c r="F1351" s="5">
        <f t="shared" si="124"/>
        <v>1755000</v>
      </c>
      <c r="G1351" s="5">
        <v>1755000</v>
      </c>
      <c r="H1351" s="4">
        <v>1363000</v>
      </c>
      <c r="I1351" s="2">
        <f t="shared" si="125"/>
        <v>0.77663817663817669</v>
      </c>
      <c r="J1351" s="4">
        <v>1640000</v>
      </c>
      <c r="K1351" s="2">
        <f t="shared" si="126"/>
        <v>0.93447293447293445</v>
      </c>
      <c r="L1351" t="s">
        <v>12567</v>
      </c>
      <c r="M1351" t="s">
        <v>432</v>
      </c>
      <c r="N1351" t="b">
        <f t="shared" si="127"/>
        <v>0</v>
      </c>
    </row>
    <row r="1352" spans="1:14" x14ac:dyDescent="0.15">
      <c r="A1352" t="s">
        <v>12548</v>
      </c>
      <c r="B1352" t="s">
        <v>12551</v>
      </c>
      <c r="C1352" t="s">
        <v>12702</v>
      </c>
      <c r="D1352" t="s">
        <v>23</v>
      </c>
      <c r="E1352" t="s">
        <v>12703</v>
      </c>
      <c r="F1352" s="5">
        <f t="shared" si="124"/>
        <v>2170000</v>
      </c>
      <c r="G1352" s="5">
        <v>2170000</v>
      </c>
      <c r="H1352" s="4">
        <v>1728000</v>
      </c>
      <c r="I1352" s="2">
        <f t="shared" si="125"/>
        <v>0.79631336405529951</v>
      </c>
      <c r="J1352" s="4">
        <v>2050000</v>
      </c>
      <c r="K1352" s="2">
        <f t="shared" si="126"/>
        <v>0.9447004608294931</v>
      </c>
      <c r="L1352" t="s">
        <v>12620</v>
      </c>
      <c r="M1352" t="s">
        <v>432</v>
      </c>
      <c r="N1352" t="b">
        <f t="shared" si="127"/>
        <v>0</v>
      </c>
    </row>
    <row r="1353" spans="1:14" x14ac:dyDescent="0.15">
      <c r="A1353" t="s">
        <v>12548</v>
      </c>
      <c r="B1353" t="s">
        <v>12551</v>
      </c>
      <c r="C1353" t="s">
        <v>12704</v>
      </c>
      <c r="D1353" t="s">
        <v>23</v>
      </c>
      <c r="E1353" t="s">
        <v>12705</v>
      </c>
      <c r="F1353" s="5">
        <f t="shared" si="124"/>
        <v>2570000</v>
      </c>
      <c r="G1353" s="5">
        <v>2570000</v>
      </c>
      <c r="H1353" s="4">
        <v>2045000</v>
      </c>
      <c r="I1353" s="2">
        <f t="shared" si="125"/>
        <v>0.7957198443579766</v>
      </c>
      <c r="J1353" s="4">
        <v>2450000</v>
      </c>
      <c r="K1353" s="2">
        <f t="shared" si="126"/>
        <v>0.953307392996109</v>
      </c>
      <c r="L1353" t="s">
        <v>12570</v>
      </c>
      <c r="M1353" t="s">
        <v>432</v>
      </c>
      <c r="N1353" t="b">
        <f t="shared" si="127"/>
        <v>0</v>
      </c>
    </row>
    <row r="1354" spans="1:14" x14ac:dyDescent="0.15">
      <c r="A1354" t="s">
        <v>12548</v>
      </c>
      <c r="B1354" t="s">
        <v>12551</v>
      </c>
      <c r="C1354" t="s">
        <v>12706</v>
      </c>
      <c r="D1354" t="s">
        <v>23</v>
      </c>
      <c r="E1354" t="s">
        <v>12707</v>
      </c>
      <c r="F1354" s="5">
        <f t="shared" si="124"/>
        <v>11750000</v>
      </c>
      <c r="G1354" s="5">
        <v>11750000</v>
      </c>
      <c r="H1354" s="4">
        <v>9344000</v>
      </c>
      <c r="I1354" s="2">
        <f t="shared" si="125"/>
        <v>0.79523404255319152</v>
      </c>
      <c r="J1354" s="4">
        <v>10900000</v>
      </c>
      <c r="K1354" s="2">
        <f t="shared" si="126"/>
        <v>0.92765957446808511</v>
      </c>
      <c r="L1354" t="s">
        <v>10639</v>
      </c>
      <c r="M1354" t="s">
        <v>192</v>
      </c>
      <c r="N1354" t="b">
        <f t="shared" si="127"/>
        <v>0</v>
      </c>
    </row>
    <row r="1355" spans="1:14" x14ac:dyDescent="0.15">
      <c r="A1355" t="s">
        <v>12548</v>
      </c>
      <c r="B1355" t="s">
        <v>12551</v>
      </c>
      <c r="C1355" t="s">
        <v>12708</v>
      </c>
      <c r="D1355" t="s">
        <v>23</v>
      </c>
      <c r="E1355" t="s">
        <v>12709</v>
      </c>
      <c r="F1355" s="5">
        <f t="shared" si="124"/>
        <v>2303000</v>
      </c>
      <c r="G1355" s="5">
        <v>2303000</v>
      </c>
      <c r="H1355" s="4">
        <v>1703000</v>
      </c>
      <c r="I1355" s="2">
        <f t="shared" si="125"/>
        <v>0.73947025618758144</v>
      </c>
      <c r="J1355" s="4">
        <v>2180000</v>
      </c>
      <c r="K1355" s="2">
        <f t="shared" si="126"/>
        <v>0.94659140251845419</v>
      </c>
      <c r="L1355" t="s">
        <v>12570</v>
      </c>
      <c r="M1355" t="s">
        <v>432</v>
      </c>
      <c r="N1355" t="b">
        <f t="shared" si="127"/>
        <v>0</v>
      </c>
    </row>
    <row r="1356" spans="1:14" x14ac:dyDescent="0.15">
      <c r="A1356" t="s">
        <v>12548</v>
      </c>
      <c r="B1356" t="s">
        <v>12551</v>
      </c>
      <c r="C1356" t="s">
        <v>12710</v>
      </c>
      <c r="D1356" t="s">
        <v>23</v>
      </c>
      <c r="E1356" t="s">
        <v>12711</v>
      </c>
      <c r="F1356" s="5">
        <f t="shared" si="124"/>
        <v>5000000</v>
      </c>
      <c r="G1356" s="5">
        <v>5000000</v>
      </c>
      <c r="H1356" s="4">
        <v>3986000</v>
      </c>
      <c r="I1356" s="2">
        <f t="shared" si="125"/>
        <v>0.79720000000000002</v>
      </c>
      <c r="J1356" s="4">
        <v>4800000</v>
      </c>
      <c r="K1356" s="2">
        <f t="shared" si="126"/>
        <v>0.96</v>
      </c>
      <c r="L1356" t="s">
        <v>39</v>
      </c>
      <c r="M1356" t="s">
        <v>174</v>
      </c>
      <c r="N1356" t="b">
        <f t="shared" si="127"/>
        <v>0</v>
      </c>
    </row>
    <row r="1357" spans="1:14" x14ac:dyDescent="0.15">
      <c r="A1357" t="s">
        <v>12712</v>
      </c>
      <c r="B1357" t="s">
        <v>12715</v>
      </c>
      <c r="C1357" t="s">
        <v>12713</v>
      </c>
      <c r="D1357" t="s">
        <v>23</v>
      </c>
      <c r="E1357" t="s">
        <v>12714</v>
      </c>
      <c r="F1357" s="5">
        <v>12987000</v>
      </c>
      <c r="G1357" s="5">
        <v>12987000</v>
      </c>
      <c r="H1357" s="4">
        <v>10432000</v>
      </c>
      <c r="I1357" s="2">
        <f t="shared" si="125"/>
        <v>0.80326480326480332</v>
      </c>
      <c r="J1357" s="4">
        <v>10450000</v>
      </c>
      <c r="K1357" s="2">
        <f t="shared" si="126"/>
        <v>0.80465080465080463</v>
      </c>
      <c r="L1357" t="s">
        <v>12716</v>
      </c>
      <c r="M1357" t="s">
        <v>353</v>
      </c>
      <c r="N1357" t="b">
        <f t="shared" si="127"/>
        <v>0</v>
      </c>
    </row>
    <row r="1358" spans="1:14" x14ac:dyDescent="0.15">
      <c r="A1358" t="s">
        <v>12712</v>
      </c>
      <c r="B1358" t="s">
        <v>12715</v>
      </c>
      <c r="C1358" t="s">
        <v>12717</v>
      </c>
      <c r="D1358" t="s">
        <v>23</v>
      </c>
      <c r="E1358" t="s">
        <v>12718</v>
      </c>
      <c r="F1358" s="5">
        <v>8930000</v>
      </c>
      <c r="G1358" s="5">
        <v>8930000</v>
      </c>
      <c r="H1358" s="4">
        <v>7174000</v>
      </c>
      <c r="I1358" s="2">
        <f t="shared" si="125"/>
        <v>0.80335946248600221</v>
      </c>
      <c r="J1358" s="4">
        <v>8100000</v>
      </c>
      <c r="K1358" s="2">
        <f t="shared" si="126"/>
        <v>0.90705487122060469</v>
      </c>
      <c r="L1358" t="s">
        <v>10277</v>
      </c>
      <c r="M1358" t="s">
        <v>174</v>
      </c>
      <c r="N1358" t="b">
        <f t="shared" si="127"/>
        <v>0</v>
      </c>
    </row>
    <row r="1359" spans="1:14" x14ac:dyDescent="0.15">
      <c r="A1359" t="s">
        <v>12712</v>
      </c>
      <c r="B1359" t="s">
        <v>12715</v>
      </c>
      <c r="C1359" t="s">
        <v>12719</v>
      </c>
      <c r="D1359" t="s">
        <v>23</v>
      </c>
      <c r="E1359" t="s">
        <v>12720</v>
      </c>
      <c r="F1359" s="5">
        <v>111940000</v>
      </c>
      <c r="G1359" s="5">
        <v>111940000</v>
      </c>
      <c r="H1359" s="4">
        <v>89838000</v>
      </c>
      <c r="I1359" s="2">
        <f t="shared" si="125"/>
        <v>0.80255494014650708</v>
      </c>
      <c r="J1359" s="4">
        <v>103000000</v>
      </c>
      <c r="K1359" s="2">
        <f t="shared" si="126"/>
        <v>0.92013578702876542</v>
      </c>
      <c r="L1359" t="s">
        <v>4797</v>
      </c>
      <c r="M1359" t="s">
        <v>192</v>
      </c>
      <c r="N1359" t="b">
        <f t="shared" si="127"/>
        <v>0</v>
      </c>
    </row>
    <row r="1360" spans="1:14" x14ac:dyDescent="0.15">
      <c r="A1360" t="s">
        <v>12712</v>
      </c>
      <c r="B1360" t="s">
        <v>12715</v>
      </c>
      <c r="C1360" t="s">
        <v>12721</v>
      </c>
      <c r="D1360" t="s">
        <v>23</v>
      </c>
      <c r="E1360" t="s">
        <v>12722</v>
      </c>
      <c r="F1360" s="5">
        <v>36970000</v>
      </c>
      <c r="G1360" s="5">
        <v>36970000</v>
      </c>
      <c r="H1360" s="4">
        <v>29678000</v>
      </c>
      <c r="I1360" s="2">
        <f t="shared" si="125"/>
        <v>0.80275899377873949</v>
      </c>
      <c r="J1360" s="4">
        <v>29682000</v>
      </c>
      <c r="K1360" s="2">
        <f t="shared" si="126"/>
        <v>0.80286718961319992</v>
      </c>
      <c r="L1360" t="s">
        <v>4797</v>
      </c>
      <c r="M1360" t="s">
        <v>126</v>
      </c>
      <c r="N1360" t="b">
        <f t="shared" si="127"/>
        <v>0</v>
      </c>
    </row>
    <row r="1361" spans="1:14" x14ac:dyDescent="0.15">
      <c r="A1361" t="s">
        <v>12712</v>
      </c>
      <c r="B1361" t="s">
        <v>12715</v>
      </c>
      <c r="C1361" t="s">
        <v>12723</v>
      </c>
      <c r="D1361" t="s">
        <v>23</v>
      </c>
      <c r="E1361" t="s">
        <v>12724</v>
      </c>
      <c r="F1361" s="5">
        <v>7470000</v>
      </c>
      <c r="G1361" s="5">
        <v>7470000</v>
      </c>
      <c r="H1361" s="4">
        <v>6002000</v>
      </c>
      <c r="I1361" s="2">
        <f t="shared" si="125"/>
        <v>0.80348058902275765</v>
      </c>
      <c r="J1361" s="4">
        <v>7000000</v>
      </c>
      <c r="K1361" s="2">
        <f t="shared" si="126"/>
        <v>0.93708165997322623</v>
      </c>
      <c r="L1361" t="s">
        <v>1384</v>
      </c>
      <c r="M1361" t="s">
        <v>21</v>
      </c>
      <c r="N1361" t="b">
        <f t="shared" si="127"/>
        <v>0</v>
      </c>
    </row>
    <row r="1362" spans="1:14" x14ac:dyDescent="0.15">
      <c r="A1362" t="s">
        <v>12712</v>
      </c>
      <c r="B1362" t="s">
        <v>12715</v>
      </c>
      <c r="C1362" t="s">
        <v>12725</v>
      </c>
      <c r="D1362" t="s">
        <v>23</v>
      </c>
      <c r="E1362" t="s">
        <v>12726</v>
      </c>
      <c r="F1362" s="5">
        <v>24397000</v>
      </c>
      <c r="G1362" s="5">
        <v>24397000</v>
      </c>
      <c r="H1362" s="4">
        <v>19519000</v>
      </c>
      <c r="I1362" s="2">
        <f t="shared" si="125"/>
        <v>0.80005738410460303</v>
      </c>
      <c r="J1362" s="4">
        <v>22000000</v>
      </c>
      <c r="K1362" s="2">
        <f t="shared" si="126"/>
        <v>0.90175021519039222</v>
      </c>
      <c r="L1362" t="s">
        <v>1384</v>
      </c>
      <c r="M1362" t="s">
        <v>31</v>
      </c>
      <c r="N1362" t="b">
        <f t="shared" si="127"/>
        <v>0</v>
      </c>
    </row>
    <row r="1363" spans="1:14" x14ac:dyDescent="0.15">
      <c r="A1363" t="s">
        <v>12712</v>
      </c>
      <c r="B1363" t="s">
        <v>12715</v>
      </c>
      <c r="C1363" t="s">
        <v>11775</v>
      </c>
      <c r="D1363" t="s">
        <v>23</v>
      </c>
      <c r="E1363" t="s">
        <v>12727</v>
      </c>
      <c r="F1363" s="5">
        <v>53425000</v>
      </c>
      <c r="G1363" s="5">
        <v>53425000</v>
      </c>
      <c r="H1363" s="4">
        <v>42972000</v>
      </c>
      <c r="I1363" s="2">
        <f t="shared" si="125"/>
        <v>0.80434253626579322</v>
      </c>
      <c r="J1363" s="4">
        <v>42975000</v>
      </c>
      <c r="K1363" s="2">
        <f t="shared" si="126"/>
        <v>0.8043986897519888</v>
      </c>
      <c r="L1363" t="s">
        <v>239</v>
      </c>
      <c r="M1363" t="s">
        <v>279</v>
      </c>
      <c r="N1363" t="b">
        <f t="shared" si="127"/>
        <v>0</v>
      </c>
    </row>
    <row r="1364" spans="1:14" x14ac:dyDescent="0.15">
      <c r="A1364" t="s">
        <v>12712</v>
      </c>
      <c r="B1364" t="s">
        <v>12715</v>
      </c>
      <c r="C1364" t="s">
        <v>12728</v>
      </c>
      <c r="D1364" t="s">
        <v>23</v>
      </c>
      <c r="E1364" t="s">
        <v>12729</v>
      </c>
      <c r="F1364" s="5">
        <v>6023000</v>
      </c>
      <c r="G1364" s="5">
        <v>6023000</v>
      </c>
      <c r="H1364" s="4">
        <v>4840000</v>
      </c>
      <c r="I1364" s="2">
        <f t="shared" si="125"/>
        <v>0.803586252697991</v>
      </c>
      <c r="J1364" s="4">
        <v>5500000</v>
      </c>
      <c r="K1364" s="2">
        <f t="shared" si="126"/>
        <v>0.91316619624771711</v>
      </c>
      <c r="L1364" t="s">
        <v>4797</v>
      </c>
      <c r="M1364" t="s">
        <v>80</v>
      </c>
      <c r="N1364" t="b">
        <f t="shared" si="127"/>
        <v>0</v>
      </c>
    </row>
    <row r="1365" spans="1:14" x14ac:dyDescent="0.15">
      <c r="A1365" t="s">
        <v>12712</v>
      </c>
      <c r="B1365" t="s">
        <v>12715</v>
      </c>
      <c r="C1365" t="s">
        <v>12730</v>
      </c>
      <c r="D1365" t="s">
        <v>23</v>
      </c>
      <c r="E1365" t="s">
        <v>12731</v>
      </c>
      <c r="F1365" s="5">
        <v>14830000</v>
      </c>
      <c r="G1365" s="5">
        <v>14830000</v>
      </c>
      <c r="I1365" s="2">
        <f t="shared" si="125"/>
        <v>0</v>
      </c>
      <c r="J1365" s="4">
        <v>13400000</v>
      </c>
      <c r="K1365" s="2">
        <f t="shared" si="126"/>
        <v>0.90357383681726233</v>
      </c>
      <c r="L1365" t="s">
        <v>4797</v>
      </c>
      <c r="M1365" t="s">
        <v>104</v>
      </c>
      <c r="N1365" t="b">
        <f t="shared" si="127"/>
        <v>0</v>
      </c>
    </row>
    <row r="1366" spans="1:14" x14ac:dyDescent="0.15">
      <c r="A1366" t="s">
        <v>12712</v>
      </c>
      <c r="B1366" t="s">
        <v>12715</v>
      </c>
      <c r="C1366" t="s">
        <v>12732</v>
      </c>
      <c r="D1366" t="s">
        <v>23</v>
      </c>
      <c r="E1366" t="s">
        <v>12733</v>
      </c>
      <c r="F1366" s="5">
        <v>63110000</v>
      </c>
      <c r="G1366" s="5">
        <v>63110000</v>
      </c>
      <c r="H1366" s="4">
        <v>50654000</v>
      </c>
      <c r="I1366" s="2">
        <f t="shared" si="125"/>
        <v>0.80263032799873235</v>
      </c>
      <c r="J1366" s="4">
        <v>58500000</v>
      </c>
      <c r="K1366" s="2">
        <f t="shared" si="126"/>
        <v>0.92695293931231182</v>
      </c>
      <c r="L1366" t="s">
        <v>12490</v>
      </c>
      <c r="M1366" t="s">
        <v>126</v>
      </c>
      <c r="N1366" t="b">
        <f t="shared" si="127"/>
        <v>0</v>
      </c>
    </row>
    <row r="1367" spans="1:14" x14ac:dyDescent="0.15">
      <c r="A1367" t="s">
        <v>12712</v>
      </c>
      <c r="B1367" t="s">
        <v>12715</v>
      </c>
      <c r="C1367" t="s">
        <v>12734</v>
      </c>
      <c r="D1367" t="s">
        <v>23</v>
      </c>
      <c r="E1367" t="s">
        <v>12735</v>
      </c>
      <c r="F1367" s="5">
        <v>3820000</v>
      </c>
      <c r="G1367" s="5">
        <v>3820000</v>
      </c>
      <c r="H1367" s="4">
        <v>3080000</v>
      </c>
      <c r="I1367" s="2">
        <f t="shared" si="125"/>
        <v>0.80628272251308897</v>
      </c>
      <c r="J1367" s="4">
        <v>3081000</v>
      </c>
      <c r="K1367" s="2">
        <f t="shared" si="126"/>
        <v>0.80654450261780108</v>
      </c>
      <c r="L1367" t="s">
        <v>173</v>
      </c>
      <c r="M1367" t="s">
        <v>1015</v>
      </c>
      <c r="N1367" t="b">
        <f t="shared" si="127"/>
        <v>0</v>
      </c>
    </row>
    <row r="1368" spans="1:14" x14ac:dyDescent="0.15">
      <c r="A1368" t="s">
        <v>12712</v>
      </c>
      <c r="B1368" t="s">
        <v>12715</v>
      </c>
      <c r="C1368" t="s">
        <v>12736</v>
      </c>
      <c r="D1368" t="s">
        <v>23</v>
      </c>
      <c r="E1368" t="s">
        <v>12737</v>
      </c>
      <c r="F1368" s="5">
        <v>7937000</v>
      </c>
      <c r="G1368" s="5">
        <v>7937000</v>
      </c>
      <c r="H1368" s="4">
        <v>6370000</v>
      </c>
      <c r="I1368" s="2">
        <f t="shared" si="125"/>
        <v>0.80257024064507998</v>
      </c>
      <c r="J1368" s="4">
        <v>6370000</v>
      </c>
      <c r="K1368" s="2">
        <f t="shared" si="126"/>
        <v>0.80257024064507998</v>
      </c>
      <c r="L1368" t="s">
        <v>1718</v>
      </c>
      <c r="M1368" t="s">
        <v>432</v>
      </c>
      <c r="N1368" t="b">
        <f t="shared" si="127"/>
        <v>0</v>
      </c>
    </row>
    <row r="1369" spans="1:14" x14ac:dyDescent="0.15">
      <c r="A1369" t="s">
        <v>12712</v>
      </c>
      <c r="B1369" t="s">
        <v>12715</v>
      </c>
      <c r="C1369" t="s">
        <v>12738</v>
      </c>
      <c r="D1369" t="s">
        <v>23</v>
      </c>
      <c r="E1369" t="s">
        <v>12739</v>
      </c>
      <c r="F1369" s="5">
        <v>10398000</v>
      </c>
      <c r="G1369" s="5">
        <v>10398000</v>
      </c>
      <c r="H1369" s="4">
        <v>8353000</v>
      </c>
      <c r="I1369" s="2">
        <f t="shared" si="125"/>
        <v>0.80332756299288322</v>
      </c>
      <c r="J1369" s="4">
        <v>8353000</v>
      </c>
      <c r="K1369" s="2">
        <f t="shared" si="126"/>
        <v>0.80332756299288322</v>
      </c>
      <c r="L1369" t="s">
        <v>332</v>
      </c>
      <c r="M1369" t="s">
        <v>41</v>
      </c>
      <c r="N1369" t="b">
        <f t="shared" si="127"/>
        <v>0</v>
      </c>
    </row>
    <row r="1370" spans="1:14" x14ac:dyDescent="0.15">
      <c r="A1370" t="s">
        <v>12712</v>
      </c>
      <c r="B1370" t="s">
        <v>12715</v>
      </c>
      <c r="C1370" t="s">
        <v>12740</v>
      </c>
      <c r="D1370" t="s">
        <v>23</v>
      </c>
      <c r="E1370" t="s">
        <v>12741</v>
      </c>
      <c r="F1370" s="5">
        <v>4446000</v>
      </c>
      <c r="G1370" s="5">
        <v>4446000</v>
      </c>
      <c r="H1370" s="4">
        <v>3574000</v>
      </c>
      <c r="I1370" s="2">
        <f t="shared" si="125"/>
        <v>0.80386864597390917</v>
      </c>
      <c r="J1370" s="4">
        <v>4200000</v>
      </c>
      <c r="K1370" s="2">
        <f t="shared" si="126"/>
        <v>0.94466936572199733</v>
      </c>
      <c r="L1370" t="s">
        <v>4797</v>
      </c>
      <c r="M1370" t="s">
        <v>165</v>
      </c>
      <c r="N1370" t="b">
        <f t="shared" si="127"/>
        <v>0</v>
      </c>
    </row>
    <row r="1371" spans="1:14" x14ac:dyDescent="0.15">
      <c r="A1371" t="s">
        <v>12712</v>
      </c>
      <c r="B1371" t="s">
        <v>12715</v>
      </c>
      <c r="C1371" t="s">
        <v>12742</v>
      </c>
      <c r="D1371" t="s">
        <v>23</v>
      </c>
      <c r="E1371" t="s">
        <v>12743</v>
      </c>
      <c r="F1371" s="5">
        <v>4853000</v>
      </c>
      <c r="G1371" s="5">
        <v>4853000</v>
      </c>
      <c r="H1371" s="4">
        <v>3901000</v>
      </c>
      <c r="I1371" s="2">
        <f t="shared" si="125"/>
        <v>0.80383268081599013</v>
      </c>
      <c r="J1371" s="4">
        <v>4600000</v>
      </c>
      <c r="K1371" s="2">
        <f t="shared" si="126"/>
        <v>0.94786729857819907</v>
      </c>
      <c r="L1371" t="s">
        <v>4797</v>
      </c>
      <c r="M1371" t="s">
        <v>192</v>
      </c>
      <c r="N1371" t="b">
        <f t="shared" si="127"/>
        <v>0</v>
      </c>
    </row>
    <row r="1372" spans="1:14" x14ac:dyDescent="0.15">
      <c r="A1372" t="s">
        <v>12712</v>
      </c>
      <c r="B1372" t="s">
        <v>12715</v>
      </c>
      <c r="C1372" t="s">
        <v>12744</v>
      </c>
      <c r="D1372" t="s">
        <v>23</v>
      </c>
      <c r="E1372" t="s">
        <v>12745</v>
      </c>
      <c r="F1372" s="5">
        <v>24121000</v>
      </c>
      <c r="G1372" s="5">
        <v>24121000</v>
      </c>
      <c r="H1372" s="4">
        <v>19368000</v>
      </c>
      <c r="I1372" s="2">
        <f t="shared" si="125"/>
        <v>0.80295178475187601</v>
      </c>
      <c r="J1372" s="4">
        <v>19368000</v>
      </c>
      <c r="K1372" s="2">
        <f t="shared" si="126"/>
        <v>0.80295178475187601</v>
      </c>
      <c r="L1372" t="s">
        <v>903</v>
      </c>
      <c r="M1372" t="s">
        <v>104</v>
      </c>
      <c r="N1372" t="b">
        <f t="shared" si="127"/>
        <v>0</v>
      </c>
    </row>
    <row r="1373" spans="1:14" x14ac:dyDescent="0.15">
      <c r="A1373" t="s">
        <v>12712</v>
      </c>
      <c r="B1373" t="s">
        <v>12715</v>
      </c>
      <c r="C1373" t="s">
        <v>12746</v>
      </c>
      <c r="D1373" t="s">
        <v>23</v>
      </c>
      <c r="E1373" t="s">
        <v>12747</v>
      </c>
      <c r="F1373" s="5">
        <v>10964000</v>
      </c>
      <c r="G1373" s="5">
        <v>10964000</v>
      </c>
      <c r="H1373" s="4">
        <v>8850000</v>
      </c>
      <c r="I1373" s="2">
        <f t="shared" si="125"/>
        <v>0.80718715797154328</v>
      </c>
      <c r="J1373" s="4">
        <v>9750000</v>
      </c>
      <c r="K1373" s="2">
        <f t="shared" si="126"/>
        <v>0.88927398759576792</v>
      </c>
      <c r="L1373" t="s">
        <v>10022</v>
      </c>
      <c r="M1373" t="s">
        <v>104</v>
      </c>
      <c r="N1373" t="b">
        <f t="shared" si="127"/>
        <v>0</v>
      </c>
    </row>
    <row r="1374" spans="1:14" x14ac:dyDescent="0.15">
      <c r="A1374" t="s">
        <v>12712</v>
      </c>
      <c r="B1374" t="s">
        <v>12715</v>
      </c>
      <c r="C1374" t="s">
        <v>12748</v>
      </c>
      <c r="D1374" t="s">
        <v>23</v>
      </c>
      <c r="E1374" t="s">
        <v>12749</v>
      </c>
      <c r="F1374" s="5">
        <v>10891000</v>
      </c>
      <c r="G1374" s="5">
        <v>10891000</v>
      </c>
      <c r="H1374" s="4">
        <v>8742000</v>
      </c>
      <c r="I1374" s="2">
        <f t="shared" si="125"/>
        <v>0.80268111284546872</v>
      </c>
      <c r="J1374" s="4">
        <v>8742000</v>
      </c>
      <c r="K1374" s="2">
        <f t="shared" si="126"/>
        <v>0.80268111284546872</v>
      </c>
      <c r="L1374" t="s">
        <v>1125</v>
      </c>
      <c r="M1374" t="s">
        <v>216</v>
      </c>
      <c r="N1374" t="b">
        <f t="shared" si="127"/>
        <v>0</v>
      </c>
    </row>
    <row r="1375" spans="1:14" x14ac:dyDescent="0.15">
      <c r="A1375" t="s">
        <v>12712</v>
      </c>
      <c r="B1375" t="s">
        <v>12715</v>
      </c>
      <c r="C1375" t="s">
        <v>12750</v>
      </c>
      <c r="D1375" t="s">
        <v>23</v>
      </c>
      <c r="E1375" t="s">
        <v>12751</v>
      </c>
      <c r="F1375" s="5">
        <v>2899000</v>
      </c>
      <c r="G1375" s="5">
        <v>2899000</v>
      </c>
      <c r="H1375" s="4">
        <v>2331000</v>
      </c>
      <c r="I1375" s="2">
        <f t="shared" si="125"/>
        <v>0.80407036909279062</v>
      </c>
      <c r="J1375" s="4">
        <v>2680000</v>
      </c>
      <c r="K1375" s="2">
        <f t="shared" si="126"/>
        <v>0.92445670921007239</v>
      </c>
      <c r="L1375" t="s">
        <v>661</v>
      </c>
      <c r="M1375" t="s">
        <v>192</v>
      </c>
      <c r="N1375" t="b">
        <f t="shared" si="127"/>
        <v>0</v>
      </c>
    </row>
    <row r="1376" spans="1:14" x14ac:dyDescent="0.15">
      <c r="A1376" t="s">
        <v>12712</v>
      </c>
      <c r="B1376" t="s">
        <v>12715</v>
      </c>
      <c r="C1376" t="s">
        <v>12752</v>
      </c>
      <c r="D1376" t="s">
        <v>23</v>
      </c>
      <c r="E1376" t="s">
        <v>12753</v>
      </c>
      <c r="F1376" s="5">
        <v>3571000</v>
      </c>
      <c r="G1376" s="5">
        <v>3571000</v>
      </c>
      <c r="H1376" s="4">
        <v>2871000</v>
      </c>
      <c r="I1376" s="2">
        <f t="shared" si="125"/>
        <v>0.80397647717726128</v>
      </c>
      <c r="J1376" s="4">
        <v>3300000</v>
      </c>
      <c r="K1376" s="2">
        <f t="shared" si="126"/>
        <v>0.92411089330719687</v>
      </c>
      <c r="L1376" t="s">
        <v>4797</v>
      </c>
      <c r="M1376" t="s">
        <v>41</v>
      </c>
      <c r="N1376" t="b">
        <f t="shared" si="127"/>
        <v>0</v>
      </c>
    </row>
    <row r="1377" spans="1:14" x14ac:dyDescent="0.15">
      <c r="A1377" t="s">
        <v>12712</v>
      </c>
      <c r="B1377" t="s">
        <v>12715</v>
      </c>
      <c r="C1377" t="s">
        <v>12754</v>
      </c>
      <c r="D1377" t="s">
        <v>23</v>
      </c>
      <c r="E1377" t="s">
        <v>12755</v>
      </c>
      <c r="F1377" s="5">
        <v>36047000</v>
      </c>
      <c r="G1377" s="5">
        <v>36047000</v>
      </c>
      <c r="H1377" s="4">
        <v>28933000</v>
      </c>
      <c r="I1377" s="2">
        <f t="shared" si="125"/>
        <v>0.80264654478874797</v>
      </c>
      <c r="J1377" s="4">
        <v>28933000</v>
      </c>
      <c r="K1377" s="2">
        <f t="shared" si="126"/>
        <v>0.80264654478874797</v>
      </c>
      <c r="L1377" t="s">
        <v>1384</v>
      </c>
      <c r="M1377" t="s">
        <v>279</v>
      </c>
      <c r="N1377" t="b">
        <f t="shared" si="127"/>
        <v>0</v>
      </c>
    </row>
    <row r="1378" spans="1:14" x14ac:dyDescent="0.15">
      <c r="A1378" t="s">
        <v>12712</v>
      </c>
      <c r="B1378" t="s">
        <v>12715</v>
      </c>
      <c r="C1378" t="s">
        <v>12756</v>
      </c>
      <c r="D1378" t="s">
        <v>23</v>
      </c>
      <c r="E1378" t="s">
        <v>12757</v>
      </c>
      <c r="F1378" s="5">
        <v>3059000</v>
      </c>
      <c r="G1378" s="5">
        <v>3059000</v>
      </c>
      <c r="H1378" s="4">
        <v>2460000</v>
      </c>
      <c r="I1378" s="2">
        <f t="shared" si="125"/>
        <v>0.80418437397842435</v>
      </c>
      <c r="J1378" s="4">
        <v>2900000</v>
      </c>
      <c r="K1378" s="2">
        <f t="shared" si="126"/>
        <v>0.9480222294867604</v>
      </c>
      <c r="L1378" t="s">
        <v>1679</v>
      </c>
      <c r="M1378" t="s">
        <v>432</v>
      </c>
      <c r="N1378" t="b">
        <f t="shared" si="127"/>
        <v>0</v>
      </c>
    </row>
    <row r="1379" spans="1:14" x14ac:dyDescent="0.15">
      <c r="A1379" t="s">
        <v>12712</v>
      </c>
      <c r="B1379" t="s">
        <v>12715</v>
      </c>
      <c r="C1379" t="s">
        <v>12736</v>
      </c>
      <c r="D1379" t="s">
        <v>23</v>
      </c>
      <c r="E1379" t="s">
        <v>12758</v>
      </c>
      <c r="F1379" s="5">
        <v>7955000</v>
      </c>
      <c r="G1379" s="5">
        <v>7955000</v>
      </c>
      <c r="H1379" s="4">
        <v>6364000</v>
      </c>
      <c r="I1379" s="2">
        <f t="shared" si="125"/>
        <v>0.8</v>
      </c>
      <c r="K1379" s="2">
        <f t="shared" si="126"/>
        <v>0</v>
      </c>
      <c r="M1379" t="s">
        <v>432</v>
      </c>
      <c r="N1379" t="b">
        <f t="shared" si="127"/>
        <v>0</v>
      </c>
    </row>
    <row r="1380" spans="1:14" x14ac:dyDescent="0.15">
      <c r="A1380" t="s">
        <v>12712</v>
      </c>
      <c r="B1380" t="s">
        <v>12715</v>
      </c>
      <c r="C1380" t="s">
        <v>12759</v>
      </c>
      <c r="D1380" t="s">
        <v>23</v>
      </c>
      <c r="E1380" t="s">
        <v>12760</v>
      </c>
      <c r="F1380" s="5">
        <v>4923000</v>
      </c>
      <c r="G1380" s="5">
        <v>4923000</v>
      </c>
      <c r="H1380" s="4">
        <v>3938400</v>
      </c>
      <c r="I1380" s="2">
        <f t="shared" si="125"/>
        <v>0.8</v>
      </c>
      <c r="J1380" s="4">
        <v>4500000</v>
      </c>
      <c r="K1380" s="2">
        <f t="shared" si="126"/>
        <v>0.91407678244972579</v>
      </c>
      <c r="L1380" t="s">
        <v>1757</v>
      </c>
      <c r="M1380" t="s">
        <v>192</v>
      </c>
      <c r="N1380" t="b">
        <f t="shared" si="127"/>
        <v>0</v>
      </c>
    </row>
    <row r="1381" spans="1:14" x14ac:dyDescent="0.15">
      <c r="A1381" t="s">
        <v>12712</v>
      </c>
      <c r="B1381" t="s">
        <v>12715</v>
      </c>
      <c r="C1381" t="s">
        <v>12761</v>
      </c>
      <c r="D1381" t="s">
        <v>23</v>
      </c>
      <c r="E1381" t="s">
        <v>12762</v>
      </c>
      <c r="F1381" s="5">
        <v>2556000</v>
      </c>
      <c r="G1381" s="5">
        <v>2556000</v>
      </c>
      <c r="H1381" s="4">
        <v>2044800</v>
      </c>
      <c r="I1381" s="2">
        <f t="shared" si="125"/>
        <v>0.8</v>
      </c>
      <c r="J1381" s="4">
        <v>2400000</v>
      </c>
      <c r="K1381" s="2">
        <f t="shared" si="126"/>
        <v>0.93896713615023475</v>
      </c>
      <c r="L1381" t="s">
        <v>1679</v>
      </c>
      <c r="M1381" t="s">
        <v>432</v>
      </c>
      <c r="N1381" t="b">
        <f t="shared" si="127"/>
        <v>0</v>
      </c>
    </row>
    <row r="1382" spans="1:14" x14ac:dyDescent="0.15">
      <c r="A1382" t="s">
        <v>12712</v>
      </c>
      <c r="B1382" t="s">
        <v>12715</v>
      </c>
      <c r="C1382" t="s">
        <v>12763</v>
      </c>
      <c r="D1382" t="s">
        <v>23</v>
      </c>
      <c r="E1382" t="s">
        <v>12764</v>
      </c>
      <c r="F1382" s="5">
        <v>26378000</v>
      </c>
      <c r="G1382" s="5">
        <v>26378000</v>
      </c>
      <c r="H1382" s="4">
        <v>21102400</v>
      </c>
      <c r="I1382" s="2">
        <f t="shared" si="125"/>
        <v>0.8</v>
      </c>
      <c r="J1382" s="4">
        <v>21102400</v>
      </c>
      <c r="K1382" s="2">
        <f t="shared" si="126"/>
        <v>0.8</v>
      </c>
      <c r="L1382" t="s">
        <v>12765</v>
      </c>
      <c r="M1382" t="s">
        <v>80</v>
      </c>
      <c r="N1382" t="b">
        <f t="shared" si="127"/>
        <v>0</v>
      </c>
    </row>
    <row r="1383" spans="1:14" x14ac:dyDescent="0.15">
      <c r="A1383" t="s">
        <v>12712</v>
      </c>
      <c r="B1383" t="s">
        <v>12715</v>
      </c>
      <c r="C1383" t="s">
        <v>12766</v>
      </c>
      <c r="D1383" t="s">
        <v>23</v>
      </c>
      <c r="E1383" t="s">
        <v>12767</v>
      </c>
      <c r="F1383" s="5">
        <v>1377000</v>
      </c>
      <c r="G1383" s="5">
        <v>1377000</v>
      </c>
      <c r="H1383" s="4">
        <v>1101600</v>
      </c>
      <c r="I1383" s="2">
        <f t="shared" si="125"/>
        <v>0.8</v>
      </c>
      <c r="J1383" s="4">
        <v>1270000</v>
      </c>
      <c r="K1383" s="2">
        <f t="shared" si="126"/>
        <v>0.92229484386347127</v>
      </c>
      <c r="L1383" t="s">
        <v>1757</v>
      </c>
      <c r="M1383" t="s">
        <v>80</v>
      </c>
      <c r="N1383" t="b">
        <f t="shared" si="127"/>
        <v>0</v>
      </c>
    </row>
    <row r="1384" spans="1:14" x14ac:dyDescent="0.15">
      <c r="A1384" t="s">
        <v>12712</v>
      </c>
      <c r="B1384" t="s">
        <v>12715</v>
      </c>
      <c r="C1384" t="s">
        <v>12768</v>
      </c>
      <c r="D1384" t="s">
        <v>23</v>
      </c>
      <c r="E1384" t="s">
        <v>12769</v>
      </c>
      <c r="F1384" s="5">
        <v>1377000</v>
      </c>
      <c r="G1384" s="5">
        <v>1377000</v>
      </c>
      <c r="H1384" s="4">
        <v>1101600</v>
      </c>
      <c r="I1384" s="2">
        <f t="shared" si="125"/>
        <v>0.8</v>
      </c>
      <c r="J1384" s="4">
        <v>1250000</v>
      </c>
      <c r="K1384" s="2">
        <f t="shared" si="126"/>
        <v>0.90777051561365285</v>
      </c>
      <c r="L1384" t="s">
        <v>1679</v>
      </c>
      <c r="M1384" t="s">
        <v>80</v>
      </c>
      <c r="N1384" t="b">
        <f t="shared" si="127"/>
        <v>0</v>
      </c>
    </row>
    <row r="1385" spans="1:14" x14ac:dyDescent="0.15">
      <c r="A1385" t="s">
        <v>12712</v>
      </c>
      <c r="B1385" t="s">
        <v>12715</v>
      </c>
      <c r="C1385" t="s">
        <v>12770</v>
      </c>
      <c r="D1385" t="s">
        <v>23</v>
      </c>
      <c r="E1385" t="s">
        <v>12771</v>
      </c>
      <c r="F1385" s="5">
        <v>6731000</v>
      </c>
      <c r="G1385" s="5">
        <v>6731000</v>
      </c>
      <c r="H1385" s="4">
        <v>5363000</v>
      </c>
      <c r="I1385" s="2">
        <f t="shared" si="125"/>
        <v>0.7967612538998663</v>
      </c>
      <c r="J1385" s="4">
        <v>6320000</v>
      </c>
      <c r="K1385" s="2">
        <f t="shared" si="126"/>
        <v>0.93893923636903875</v>
      </c>
      <c r="L1385" t="s">
        <v>1679</v>
      </c>
      <c r="M1385" t="s">
        <v>1015</v>
      </c>
      <c r="N1385" t="b">
        <f t="shared" si="127"/>
        <v>0</v>
      </c>
    </row>
    <row r="1386" spans="1:14" x14ac:dyDescent="0.15">
      <c r="A1386" t="s">
        <v>12712</v>
      </c>
      <c r="B1386" t="s">
        <v>12715</v>
      </c>
      <c r="C1386" t="s">
        <v>12772</v>
      </c>
      <c r="D1386" t="s">
        <v>23</v>
      </c>
      <c r="E1386" t="s">
        <v>12773</v>
      </c>
      <c r="F1386" s="5">
        <v>24090000</v>
      </c>
      <c r="G1386" s="5">
        <v>24090000</v>
      </c>
      <c r="I1386" s="2">
        <f t="shared" si="125"/>
        <v>0</v>
      </c>
      <c r="J1386" s="4">
        <v>17800000</v>
      </c>
      <c r="K1386" s="2">
        <f t="shared" si="126"/>
        <v>0.7388958073889581</v>
      </c>
      <c r="L1386" t="s">
        <v>4797</v>
      </c>
      <c r="M1386" t="s">
        <v>41</v>
      </c>
      <c r="N1386" t="b">
        <f t="shared" si="127"/>
        <v>0</v>
      </c>
    </row>
    <row r="1387" spans="1:14" x14ac:dyDescent="0.15">
      <c r="A1387" t="s">
        <v>12712</v>
      </c>
      <c r="B1387" t="s">
        <v>12715</v>
      </c>
      <c r="C1387" t="s">
        <v>12774</v>
      </c>
      <c r="D1387" t="s">
        <v>23</v>
      </c>
      <c r="E1387" t="s">
        <v>12775</v>
      </c>
      <c r="F1387" s="5">
        <v>5870000</v>
      </c>
      <c r="G1387" s="5">
        <v>5870000</v>
      </c>
      <c r="H1387" s="4">
        <v>4679000</v>
      </c>
      <c r="I1387" s="2">
        <f t="shared" si="125"/>
        <v>0.79710391822827942</v>
      </c>
      <c r="J1387" s="4">
        <v>5450000</v>
      </c>
      <c r="K1387" s="2">
        <f t="shared" si="126"/>
        <v>0.92844974446337314</v>
      </c>
      <c r="L1387" t="s">
        <v>12490</v>
      </c>
      <c r="M1387" t="s">
        <v>80</v>
      </c>
      <c r="N1387" t="b">
        <f t="shared" si="127"/>
        <v>0</v>
      </c>
    </row>
    <row r="1388" spans="1:14" x14ac:dyDescent="0.15">
      <c r="A1388" t="s">
        <v>12712</v>
      </c>
      <c r="B1388" t="s">
        <v>12715</v>
      </c>
      <c r="C1388" t="s">
        <v>12776</v>
      </c>
      <c r="D1388" t="s">
        <v>23</v>
      </c>
      <c r="E1388" t="s">
        <v>12777</v>
      </c>
      <c r="F1388" s="5">
        <v>2191000</v>
      </c>
      <c r="G1388" s="5">
        <v>2191000</v>
      </c>
      <c r="H1388" s="4">
        <v>1708000</v>
      </c>
      <c r="I1388" s="2">
        <f t="shared" si="125"/>
        <v>0.7795527156549521</v>
      </c>
      <c r="J1388" s="4">
        <v>1760000</v>
      </c>
      <c r="K1388" s="2">
        <f t="shared" si="126"/>
        <v>0.80328617069831132</v>
      </c>
      <c r="L1388" t="s">
        <v>574</v>
      </c>
      <c r="M1388" t="s">
        <v>174</v>
      </c>
      <c r="N1388" t="b">
        <f t="shared" si="127"/>
        <v>0</v>
      </c>
    </row>
    <row r="1389" spans="1:14" x14ac:dyDescent="0.15">
      <c r="A1389" t="s">
        <v>12712</v>
      </c>
      <c r="B1389" t="s">
        <v>12715</v>
      </c>
      <c r="C1389" t="s">
        <v>12778</v>
      </c>
      <c r="D1389" t="s">
        <v>23</v>
      </c>
      <c r="E1389" t="s">
        <v>12779</v>
      </c>
      <c r="F1389" s="5">
        <v>5657000</v>
      </c>
      <c r="G1389" s="5">
        <v>5657000</v>
      </c>
      <c r="H1389" s="4">
        <v>4503000</v>
      </c>
      <c r="I1389" s="2">
        <f t="shared" si="125"/>
        <v>0.79600494961993995</v>
      </c>
      <c r="J1389" s="4">
        <v>5300000</v>
      </c>
      <c r="K1389" s="2">
        <f t="shared" si="126"/>
        <v>0.9368923457663072</v>
      </c>
      <c r="L1389" t="s">
        <v>1679</v>
      </c>
      <c r="M1389" t="s">
        <v>192</v>
      </c>
      <c r="N1389" t="b">
        <f t="shared" si="127"/>
        <v>0</v>
      </c>
    </row>
    <row r="1390" spans="1:14" x14ac:dyDescent="0.15">
      <c r="A1390" t="s">
        <v>12712</v>
      </c>
      <c r="B1390" t="s">
        <v>12715</v>
      </c>
      <c r="C1390" t="s">
        <v>12780</v>
      </c>
      <c r="D1390" t="s">
        <v>23</v>
      </c>
      <c r="E1390" t="s">
        <v>12781</v>
      </c>
      <c r="F1390" s="5">
        <v>36240000</v>
      </c>
      <c r="G1390" s="5">
        <v>36240000</v>
      </c>
      <c r="H1390" s="4">
        <v>28839000</v>
      </c>
      <c r="I1390" s="2">
        <f t="shared" si="125"/>
        <v>0.7957781456953642</v>
      </c>
      <c r="J1390" s="4">
        <v>32400000</v>
      </c>
      <c r="K1390" s="2">
        <f t="shared" si="126"/>
        <v>0.89403973509933776</v>
      </c>
      <c r="L1390" t="s">
        <v>12490</v>
      </c>
      <c r="M1390" t="s">
        <v>80</v>
      </c>
      <c r="N1390" t="b">
        <f t="shared" si="127"/>
        <v>0</v>
      </c>
    </row>
    <row r="1391" spans="1:14" x14ac:dyDescent="0.15">
      <c r="A1391" t="s">
        <v>12712</v>
      </c>
      <c r="B1391" t="s">
        <v>12715</v>
      </c>
      <c r="C1391" t="s">
        <v>12782</v>
      </c>
      <c r="D1391" t="s">
        <v>23</v>
      </c>
      <c r="E1391" t="s">
        <v>12783</v>
      </c>
      <c r="F1391" s="5">
        <v>27326000</v>
      </c>
      <c r="G1391" s="5">
        <v>27326000</v>
      </c>
      <c r="H1391" s="4">
        <v>21749000</v>
      </c>
      <c r="I1391" s="2">
        <f t="shared" si="125"/>
        <v>0.79590865842055181</v>
      </c>
      <c r="J1391" s="4">
        <v>22000000</v>
      </c>
      <c r="K1391" s="2">
        <f t="shared" si="126"/>
        <v>0.80509404962306963</v>
      </c>
      <c r="L1391" t="s">
        <v>1718</v>
      </c>
      <c r="M1391" t="s">
        <v>126</v>
      </c>
      <c r="N1391" t="b">
        <f t="shared" si="127"/>
        <v>0</v>
      </c>
    </row>
    <row r="1392" spans="1:14" x14ac:dyDescent="0.15">
      <c r="A1392" t="s">
        <v>12712</v>
      </c>
      <c r="B1392" t="s">
        <v>12715</v>
      </c>
      <c r="C1392" t="s">
        <v>12784</v>
      </c>
      <c r="D1392" t="s">
        <v>23</v>
      </c>
      <c r="E1392" t="s">
        <v>12785</v>
      </c>
      <c r="F1392" s="5">
        <v>4110000</v>
      </c>
      <c r="G1392" s="5">
        <v>4110000</v>
      </c>
      <c r="H1392" s="4">
        <v>3277000</v>
      </c>
      <c r="I1392" s="2">
        <f t="shared" si="125"/>
        <v>0.79732360097323596</v>
      </c>
      <c r="J1392" s="4">
        <v>3450000</v>
      </c>
      <c r="K1392" s="2">
        <f t="shared" si="126"/>
        <v>0.83941605839416056</v>
      </c>
      <c r="L1392" t="s">
        <v>12490</v>
      </c>
      <c r="M1392" t="s">
        <v>31</v>
      </c>
      <c r="N1392" t="b">
        <f t="shared" si="127"/>
        <v>0</v>
      </c>
    </row>
    <row r="1393" spans="1:14" x14ac:dyDescent="0.15">
      <c r="A1393" t="s">
        <v>12712</v>
      </c>
      <c r="B1393" t="s">
        <v>12715</v>
      </c>
      <c r="C1393" t="s">
        <v>12786</v>
      </c>
      <c r="D1393" t="s">
        <v>23</v>
      </c>
      <c r="E1393" t="s">
        <v>12787</v>
      </c>
      <c r="F1393" s="5">
        <v>1110000</v>
      </c>
      <c r="G1393" s="5">
        <v>1110000</v>
      </c>
      <c r="I1393" s="2">
        <f t="shared" si="125"/>
        <v>0</v>
      </c>
      <c r="J1393" s="4">
        <v>950000</v>
      </c>
      <c r="K1393" s="2">
        <f t="shared" si="126"/>
        <v>0.85585585585585588</v>
      </c>
      <c r="L1393" t="s">
        <v>12640</v>
      </c>
      <c r="M1393" t="s">
        <v>482</v>
      </c>
      <c r="N1393" t="b">
        <f t="shared" si="127"/>
        <v>0</v>
      </c>
    </row>
    <row r="1394" spans="1:14" x14ac:dyDescent="0.15">
      <c r="A1394" t="s">
        <v>12712</v>
      </c>
      <c r="B1394" t="s">
        <v>12715</v>
      </c>
      <c r="C1394" t="s">
        <v>12788</v>
      </c>
      <c r="D1394" t="s">
        <v>23</v>
      </c>
      <c r="E1394" t="s">
        <v>11828</v>
      </c>
      <c r="F1394" s="5">
        <v>14807000</v>
      </c>
      <c r="G1394" s="5">
        <v>14807000</v>
      </c>
      <c r="I1394" s="2">
        <f t="shared" si="125"/>
        <v>0</v>
      </c>
      <c r="J1394" s="4">
        <v>9800000</v>
      </c>
      <c r="K1394" s="2">
        <f t="shared" si="126"/>
        <v>0.6618491254136557</v>
      </c>
      <c r="L1394" t="s">
        <v>12789</v>
      </c>
      <c r="M1394" t="s">
        <v>80</v>
      </c>
      <c r="N1394" t="b">
        <f t="shared" si="127"/>
        <v>0</v>
      </c>
    </row>
    <row r="1395" spans="1:14" x14ac:dyDescent="0.15">
      <c r="A1395" t="s">
        <v>12712</v>
      </c>
      <c r="B1395" t="s">
        <v>12715</v>
      </c>
      <c r="C1395" t="s">
        <v>12790</v>
      </c>
      <c r="D1395" t="s">
        <v>23</v>
      </c>
      <c r="E1395" t="s">
        <v>12791</v>
      </c>
      <c r="F1395" s="5">
        <v>3290000</v>
      </c>
      <c r="G1395" s="5">
        <v>3290000</v>
      </c>
      <c r="H1395" s="4">
        <v>2625000</v>
      </c>
      <c r="I1395" s="2">
        <f t="shared" si="125"/>
        <v>0.7978723404255319</v>
      </c>
      <c r="J1395" s="4">
        <v>3200000</v>
      </c>
      <c r="K1395" s="2">
        <f t="shared" si="126"/>
        <v>0.97264437689969607</v>
      </c>
      <c r="L1395" t="s">
        <v>4797</v>
      </c>
      <c r="M1395" t="s">
        <v>126</v>
      </c>
      <c r="N1395" t="b">
        <f t="shared" si="127"/>
        <v>0</v>
      </c>
    </row>
    <row r="1396" spans="1:14" x14ac:dyDescent="0.15">
      <c r="A1396" t="s">
        <v>12712</v>
      </c>
      <c r="B1396" t="s">
        <v>12715</v>
      </c>
      <c r="C1396" t="s">
        <v>12792</v>
      </c>
      <c r="D1396" t="s">
        <v>23</v>
      </c>
      <c r="E1396" t="s">
        <v>12793</v>
      </c>
      <c r="F1396" s="5">
        <v>8310000</v>
      </c>
      <c r="G1396" s="5">
        <v>8310000</v>
      </c>
      <c r="H1396" s="4">
        <v>6619000</v>
      </c>
      <c r="I1396" s="2">
        <f t="shared" si="125"/>
        <v>0.7965102286401925</v>
      </c>
      <c r="J1396" s="4">
        <v>8200000</v>
      </c>
      <c r="K1396" s="2">
        <f t="shared" si="126"/>
        <v>0.98676293622141997</v>
      </c>
      <c r="L1396" t="s">
        <v>4797</v>
      </c>
      <c r="M1396" t="s">
        <v>104</v>
      </c>
      <c r="N1396" t="b">
        <f t="shared" si="127"/>
        <v>0</v>
      </c>
    </row>
    <row r="1397" spans="1:14" x14ac:dyDescent="0.15">
      <c r="A1397" t="s">
        <v>12712</v>
      </c>
      <c r="B1397" t="s">
        <v>12715</v>
      </c>
      <c r="C1397" t="s">
        <v>12794</v>
      </c>
      <c r="D1397" t="s">
        <v>23</v>
      </c>
      <c r="E1397" t="s">
        <v>12795</v>
      </c>
      <c r="F1397" s="5">
        <v>13360000</v>
      </c>
      <c r="G1397" s="5">
        <v>13360000</v>
      </c>
      <c r="H1397" s="4">
        <v>10639000</v>
      </c>
      <c r="I1397" s="2">
        <f t="shared" si="125"/>
        <v>0.79633233532934133</v>
      </c>
      <c r="J1397" s="4">
        <v>13300000</v>
      </c>
      <c r="K1397" s="2">
        <f t="shared" si="126"/>
        <v>0.99550898203592819</v>
      </c>
      <c r="L1397" t="s">
        <v>4797</v>
      </c>
      <c r="M1397" t="s">
        <v>216</v>
      </c>
      <c r="N1397" t="b">
        <f t="shared" si="127"/>
        <v>0</v>
      </c>
    </row>
    <row r="1398" spans="1:14" x14ac:dyDescent="0.15">
      <c r="A1398" t="s">
        <v>12712</v>
      </c>
      <c r="B1398" t="s">
        <v>12715</v>
      </c>
      <c r="C1398" t="s">
        <v>12796</v>
      </c>
      <c r="D1398" t="s">
        <v>23</v>
      </c>
      <c r="E1398" t="s">
        <v>12797</v>
      </c>
      <c r="F1398" s="5">
        <v>3257000</v>
      </c>
      <c r="G1398" s="5">
        <v>3257000</v>
      </c>
      <c r="H1398" s="4">
        <v>2597000</v>
      </c>
      <c r="I1398" s="2">
        <f t="shared" si="125"/>
        <v>0.79735953331286458</v>
      </c>
      <c r="J1398" s="4">
        <v>3050000</v>
      </c>
      <c r="K1398" s="2">
        <f t="shared" si="126"/>
        <v>0.93644458090267113</v>
      </c>
      <c r="L1398" t="s">
        <v>1679</v>
      </c>
      <c r="M1398" t="s">
        <v>192</v>
      </c>
      <c r="N1398" t="b">
        <f t="shared" si="127"/>
        <v>0</v>
      </c>
    </row>
    <row r="1399" spans="1:14" x14ac:dyDescent="0.15">
      <c r="A1399" t="s">
        <v>12712</v>
      </c>
      <c r="B1399" t="s">
        <v>12715</v>
      </c>
      <c r="C1399" t="s">
        <v>12798</v>
      </c>
      <c r="D1399" t="s">
        <v>23</v>
      </c>
      <c r="E1399" t="s">
        <v>12799</v>
      </c>
      <c r="F1399" s="5">
        <v>7250000</v>
      </c>
      <c r="G1399" s="5">
        <v>7250000</v>
      </c>
      <c r="H1399" s="4">
        <v>5787000</v>
      </c>
      <c r="I1399" s="2">
        <f t="shared" si="125"/>
        <v>0.79820689655172417</v>
      </c>
      <c r="J1399" s="4">
        <v>5817000</v>
      </c>
      <c r="K1399" s="2">
        <f t="shared" si="126"/>
        <v>0.80234482758620684</v>
      </c>
      <c r="L1399" t="s">
        <v>1718</v>
      </c>
      <c r="M1399" t="s">
        <v>165</v>
      </c>
      <c r="N1399" t="b">
        <f t="shared" si="127"/>
        <v>0</v>
      </c>
    </row>
    <row r="1400" spans="1:14" x14ac:dyDescent="0.15">
      <c r="A1400" t="s">
        <v>12712</v>
      </c>
      <c r="B1400" t="s">
        <v>12715</v>
      </c>
      <c r="C1400" t="s">
        <v>12786</v>
      </c>
      <c r="D1400" t="s">
        <v>23</v>
      </c>
      <c r="E1400" t="s">
        <v>12800</v>
      </c>
      <c r="F1400" s="5">
        <v>1110000</v>
      </c>
      <c r="G1400" s="5">
        <v>1110000</v>
      </c>
      <c r="I1400" s="2">
        <f t="shared" si="125"/>
        <v>0</v>
      </c>
      <c r="K1400" s="2">
        <f t="shared" si="126"/>
        <v>0</v>
      </c>
      <c r="M1400" t="s">
        <v>80</v>
      </c>
      <c r="N1400" t="b">
        <f t="shared" si="127"/>
        <v>0</v>
      </c>
    </row>
    <row r="1401" spans="1:14" x14ac:dyDescent="0.15">
      <c r="A1401" t="s">
        <v>12712</v>
      </c>
      <c r="B1401" t="s">
        <v>12715</v>
      </c>
      <c r="C1401" t="s">
        <v>12801</v>
      </c>
      <c r="D1401" t="s">
        <v>23</v>
      </c>
      <c r="E1401" t="s">
        <v>12802</v>
      </c>
      <c r="F1401" s="5">
        <v>3619000</v>
      </c>
      <c r="G1401" s="5">
        <v>3619000</v>
      </c>
      <c r="H1401" s="4">
        <v>2881000</v>
      </c>
      <c r="I1401" s="2">
        <f t="shared" si="125"/>
        <v>0.79607626416137056</v>
      </c>
      <c r="J1401" s="4">
        <v>3160000</v>
      </c>
      <c r="K1401" s="2">
        <f t="shared" si="126"/>
        <v>0.87316938380768172</v>
      </c>
      <c r="L1401" t="s">
        <v>819</v>
      </c>
      <c r="M1401" t="s">
        <v>31</v>
      </c>
      <c r="N1401" t="b">
        <f t="shared" si="127"/>
        <v>0</v>
      </c>
    </row>
    <row r="1402" spans="1:14" x14ac:dyDescent="0.15">
      <c r="A1402" t="s">
        <v>12712</v>
      </c>
      <c r="B1402" t="s">
        <v>12715</v>
      </c>
      <c r="C1402" t="s">
        <v>12803</v>
      </c>
      <c r="D1402" t="s">
        <v>23</v>
      </c>
      <c r="E1402" t="s">
        <v>12804</v>
      </c>
      <c r="F1402" s="5">
        <v>6336000</v>
      </c>
      <c r="G1402" s="5">
        <v>6336000</v>
      </c>
      <c r="H1402" s="4">
        <v>5042000</v>
      </c>
      <c r="I1402" s="2">
        <f t="shared" si="125"/>
        <v>0.79577020202020199</v>
      </c>
      <c r="J1402" s="4">
        <v>5042000</v>
      </c>
      <c r="K1402" s="2">
        <f t="shared" si="126"/>
        <v>0.79577020202020199</v>
      </c>
      <c r="L1402" t="s">
        <v>1718</v>
      </c>
      <c r="M1402" t="s">
        <v>313</v>
      </c>
      <c r="N1402" t="b">
        <f t="shared" si="127"/>
        <v>0</v>
      </c>
    </row>
    <row r="1403" spans="1:14" x14ac:dyDescent="0.15">
      <c r="A1403" t="s">
        <v>12712</v>
      </c>
      <c r="B1403" t="s">
        <v>12715</v>
      </c>
      <c r="C1403" t="s">
        <v>12805</v>
      </c>
      <c r="D1403" t="s">
        <v>23</v>
      </c>
      <c r="E1403" t="s">
        <v>12806</v>
      </c>
      <c r="F1403" s="5">
        <v>4740000</v>
      </c>
      <c r="G1403" s="5">
        <v>4740000</v>
      </c>
      <c r="H1403" s="4">
        <v>3776000</v>
      </c>
      <c r="I1403" s="2">
        <f t="shared" si="125"/>
        <v>0.79662447257383961</v>
      </c>
      <c r="J1403" s="4">
        <v>4310000</v>
      </c>
      <c r="K1403" s="2">
        <f t="shared" si="126"/>
        <v>0.90928270042194093</v>
      </c>
      <c r="L1403" t="s">
        <v>332</v>
      </c>
      <c r="M1403" t="s">
        <v>216</v>
      </c>
      <c r="N1403" t="b">
        <f t="shared" si="127"/>
        <v>0</v>
      </c>
    </row>
    <row r="1404" spans="1:14" x14ac:dyDescent="0.15">
      <c r="A1404" t="s">
        <v>12712</v>
      </c>
      <c r="B1404" t="s">
        <v>12715</v>
      </c>
      <c r="C1404" t="s">
        <v>12807</v>
      </c>
      <c r="D1404" t="s">
        <v>23</v>
      </c>
      <c r="E1404" t="s">
        <v>12808</v>
      </c>
      <c r="F1404" s="5">
        <v>1321000</v>
      </c>
      <c r="G1404" s="5">
        <v>1321000</v>
      </c>
      <c r="H1404" s="4">
        <v>1054000</v>
      </c>
      <c r="I1404" s="2">
        <f t="shared" si="125"/>
        <v>0.79788039364118091</v>
      </c>
      <c r="J1404" s="4">
        <v>1190000</v>
      </c>
      <c r="K1404" s="2">
        <f t="shared" si="126"/>
        <v>0.90083270249810754</v>
      </c>
      <c r="L1404" t="s">
        <v>1757</v>
      </c>
      <c r="M1404" t="s">
        <v>80</v>
      </c>
      <c r="N1404" t="b">
        <f t="shared" si="127"/>
        <v>0</v>
      </c>
    </row>
    <row r="1405" spans="1:14" x14ac:dyDescent="0.15">
      <c r="A1405" t="s">
        <v>12712</v>
      </c>
      <c r="B1405" t="s">
        <v>12715</v>
      </c>
      <c r="C1405" t="s">
        <v>12809</v>
      </c>
      <c r="D1405" t="s">
        <v>23</v>
      </c>
      <c r="E1405" t="s">
        <v>12810</v>
      </c>
      <c r="F1405" s="5">
        <v>5585000</v>
      </c>
      <c r="G1405" s="5">
        <v>5585000</v>
      </c>
      <c r="H1405" s="4">
        <v>4445000</v>
      </c>
      <c r="I1405" s="2">
        <f t="shared" si="125"/>
        <v>0.79588182632050131</v>
      </c>
      <c r="J1405" s="4">
        <v>4445000</v>
      </c>
      <c r="K1405" s="2">
        <f t="shared" si="126"/>
        <v>0.79588182632050131</v>
      </c>
      <c r="L1405" t="s">
        <v>271</v>
      </c>
      <c r="M1405" t="s">
        <v>31</v>
      </c>
      <c r="N1405" t="b">
        <f t="shared" si="127"/>
        <v>0</v>
      </c>
    </row>
    <row r="1406" spans="1:14" x14ac:dyDescent="0.15">
      <c r="A1406" t="s">
        <v>12712</v>
      </c>
      <c r="B1406" t="s">
        <v>12715</v>
      </c>
      <c r="C1406" t="s">
        <v>12811</v>
      </c>
      <c r="D1406" t="s">
        <v>23</v>
      </c>
      <c r="E1406" t="s">
        <v>12812</v>
      </c>
      <c r="F1406" s="5">
        <v>9426000</v>
      </c>
      <c r="G1406" s="5">
        <v>9426000</v>
      </c>
      <c r="H1406" s="4">
        <v>7506000</v>
      </c>
      <c r="I1406" s="2">
        <f t="shared" si="125"/>
        <v>0.79630808402291531</v>
      </c>
      <c r="J1406" s="4">
        <v>7506000</v>
      </c>
      <c r="K1406" s="2">
        <f t="shared" si="126"/>
        <v>0.79630808402291531</v>
      </c>
      <c r="L1406" t="s">
        <v>1384</v>
      </c>
      <c r="M1406" t="s">
        <v>248</v>
      </c>
      <c r="N1406" t="b">
        <f t="shared" si="127"/>
        <v>0</v>
      </c>
    </row>
    <row r="1407" spans="1:14" x14ac:dyDescent="0.15">
      <c r="A1407" t="s">
        <v>12712</v>
      </c>
      <c r="B1407" t="s">
        <v>12715</v>
      </c>
      <c r="C1407" t="s">
        <v>12813</v>
      </c>
      <c r="D1407" t="s">
        <v>23</v>
      </c>
      <c r="E1407" t="s">
        <v>12814</v>
      </c>
      <c r="F1407" s="5">
        <v>2873000</v>
      </c>
      <c r="G1407" s="5">
        <v>2873000</v>
      </c>
      <c r="H1407" s="4">
        <v>2290000</v>
      </c>
      <c r="I1407" s="2">
        <f t="shared" si="125"/>
        <v>0.7970762269404803</v>
      </c>
      <c r="J1407" s="4">
        <v>2750000</v>
      </c>
      <c r="K1407" s="2">
        <f t="shared" si="126"/>
        <v>0.95718760877131914</v>
      </c>
      <c r="L1407" t="s">
        <v>4797</v>
      </c>
      <c r="M1407" t="s">
        <v>1015</v>
      </c>
      <c r="N1407" t="b">
        <f t="shared" si="127"/>
        <v>0</v>
      </c>
    </row>
    <row r="1408" spans="1:14" x14ac:dyDescent="0.15">
      <c r="A1408" t="s">
        <v>12712</v>
      </c>
      <c r="B1408" t="s">
        <v>12715</v>
      </c>
      <c r="C1408" t="s">
        <v>12815</v>
      </c>
      <c r="D1408" t="s">
        <v>23</v>
      </c>
      <c r="E1408" t="s">
        <v>12816</v>
      </c>
      <c r="F1408" s="5">
        <v>6658000</v>
      </c>
      <c r="G1408" s="5">
        <v>6658000</v>
      </c>
      <c r="H1408" s="4">
        <v>5305000</v>
      </c>
      <c r="I1408" s="2">
        <f t="shared" si="125"/>
        <v>0.79678582156803845</v>
      </c>
      <c r="J1408" s="4">
        <v>6280000</v>
      </c>
      <c r="K1408" s="2">
        <f t="shared" si="126"/>
        <v>0.94322619405226793</v>
      </c>
      <c r="L1408" t="s">
        <v>661</v>
      </c>
      <c r="M1408" t="s">
        <v>192</v>
      </c>
      <c r="N1408" t="b">
        <f t="shared" si="127"/>
        <v>0</v>
      </c>
    </row>
    <row r="1409" spans="1:14" x14ac:dyDescent="0.15">
      <c r="A1409" t="s">
        <v>12712</v>
      </c>
      <c r="B1409" t="s">
        <v>12715</v>
      </c>
      <c r="C1409" t="s">
        <v>12817</v>
      </c>
      <c r="D1409" t="s">
        <v>23</v>
      </c>
      <c r="E1409" t="s">
        <v>12818</v>
      </c>
      <c r="F1409" s="5">
        <v>8686000</v>
      </c>
      <c r="G1409" s="5">
        <v>8686000</v>
      </c>
      <c r="H1409" s="4">
        <v>6948800</v>
      </c>
      <c r="I1409" s="2">
        <f t="shared" si="125"/>
        <v>0.8</v>
      </c>
      <c r="J1409" s="4">
        <v>7980000</v>
      </c>
      <c r="K1409" s="2">
        <f t="shared" si="126"/>
        <v>0.91871977895463963</v>
      </c>
      <c r="L1409" t="s">
        <v>10022</v>
      </c>
      <c r="M1409" t="s">
        <v>41</v>
      </c>
      <c r="N1409" t="b">
        <f t="shared" si="127"/>
        <v>0</v>
      </c>
    </row>
    <row r="1410" spans="1:14" x14ac:dyDescent="0.15">
      <c r="A1410" t="s">
        <v>12712</v>
      </c>
      <c r="B1410" t="s">
        <v>12715</v>
      </c>
      <c r="C1410" t="s">
        <v>12819</v>
      </c>
      <c r="D1410" t="s">
        <v>23</v>
      </c>
      <c r="E1410" t="s">
        <v>12820</v>
      </c>
      <c r="F1410" s="5">
        <v>1321000</v>
      </c>
      <c r="G1410" s="5">
        <v>1321000</v>
      </c>
      <c r="H1410" s="4">
        <v>1054000</v>
      </c>
      <c r="I1410" s="2">
        <f t="shared" si="125"/>
        <v>0.79788039364118091</v>
      </c>
      <c r="J1410" s="4">
        <v>1200000</v>
      </c>
      <c r="K1410" s="2">
        <f t="shared" si="126"/>
        <v>0.90840272520817567</v>
      </c>
      <c r="L1410" t="s">
        <v>1679</v>
      </c>
      <c r="M1410" t="s">
        <v>80</v>
      </c>
      <c r="N1410" t="b">
        <f t="shared" si="127"/>
        <v>0</v>
      </c>
    </row>
    <row r="1411" spans="1:14" x14ac:dyDescent="0.15">
      <c r="A1411" t="s">
        <v>12712</v>
      </c>
      <c r="B1411" t="s">
        <v>12715</v>
      </c>
      <c r="C1411" t="s">
        <v>12821</v>
      </c>
      <c r="D1411" t="s">
        <v>23</v>
      </c>
      <c r="E1411" t="s">
        <v>12822</v>
      </c>
      <c r="F1411" s="5">
        <v>20487000</v>
      </c>
      <c r="G1411" s="5">
        <v>20487000</v>
      </c>
      <c r="H1411" s="4">
        <v>16313000</v>
      </c>
      <c r="I1411" s="2">
        <f t="shared" si="125"/>
        <v>0.79626104358861716</v>
      </c>
      <c r="J1411" s="4">
        <v>17345000</v>
      </c>
      <c r="K1411" s="2">
        <f t="shared" si="126"/>
        <v>0.84663445111534141</v>
      </c>
      <c r="L1411" t="s">
        <v>339</v>
      </c>
      <c r="M1411" t="s">
        <v>174</v>
      </c>
      <c r="N1411" t="b">
        <f t="shared" si="127"/>
        <v>0</v>
      </c>
    </row>
    <row r="1412" spans="1:14" x14ac:dyDescent="0.15">
      <c r="A1412" t="s">
        <v>12712</v>
      </c>
      <c r="B1412" t="s">
        <v>12715</v>
      </c>
      <c r="C1412" t="s">
        <v>12823</v>
      </c>
      <c r="D1412" t="s">
        <v>23</v>
      </c>
      <c r="E1412" t="s">
        <v>12824</v>
      </c>
      <c r="F1412" s="5">
        <v>6200000</v>
      </c>
      <c r="G1412" s="5">
        <v>6200000</v>
      </c>
      <c r="H1412" s="4">
        <v>4947000</v>
      </c>
      <c r="I1412" s="2">
        <f t="shared" ref="I1412:I1475" si="128">H1412/G1412</f>
        <v>0.79790322580645157</v>
      </c>
      <c r="J1412" s="4">
        <v>5350000</v>
      </c>
      <c r="K1412" s="2">
        <f t="shared" ref="K1412:K1475" si="129">J1412/G1412</f>
        <v>0.86290322580645162</v>
      </c>
      <c r="L1412" t="s">
        <v>332</v>
      </c>
      <c r="M1412" t="s">
        <v>174</v>
      </c>
      <c r="N1412" t="b">
        <f t="shared" ref="N1412:N1475" si="130">F1412&lt;&gt;G1412</f>
        <v>0</v>
      </c>
    </row>
    <row r="1413" spans="1:14" x14ac:dyDescent="0.15">
      <c r="A1413" t="s">
        <v>12712</v>
      </c>
      <c r="B1413" t="s">
        <v>12715</v>
      </c>
      <c r="C1413" t="s">
        <v>12825</v>
      </c>
      <c r="D1413" t="s">
        <v>23</v>
      </c>
      <c r="E1413" t="s">
        <v>12826</v>
      </c>
      <c r="F1413" s="5">
        <v>8530000</v>
      </c>
      <c r="G1413" s="5">
        <v>8530000</v>
      </c>
      <c r="H1413" s="4">
        <v>6790000</v>
      </c>
      <c r="I1413" s="2">
        <f t="shared" si="128"/>
        <v>0.79601406799531071</v>
      </c>
      <c r="J1413" s="4">
        <v>6870000</v>
      </c>
      <c r="K1413" s="2">
        <f t="shared" si="129"/>
        <v>0.80539273153575619</v>
      </c>
      <c r="L1413" t="s">
        <v>1384</v>
      </c>
      <c r="M1413" t="s">
        <v>248</v>
      </c>
      <c r="N1413" t="b">
        <f t="shared" si="130"/>
        <v>0</v>
      </c>
    </row>
    <row r="1414" spans="1:14" x14ac:dyDescent="0.15">
      <c r="A1414" t="s">
        <v>12712</v>
      </c>
      <c r="B1414" t="s">
        <v>12715</v>
      </c>
      <c r="C1414" t="s">
        <v>12827</v>
      </c>
      <c r="D1414" t="s">
        <v>23</v>
      </c>
      <c r="E1414" t="s">
        <v>12828</v>
      </c>
      <c r="F1414" s="5">
        <v>51560000</v>
      </c>
      <c r="G1414" s="5">
        <v>51560000</v>
      </c>
      <c r="H1414" s="4">
        <v>41103000</v>
      </c>
      <c r="I1414" s="2">
        <f t="shared" si="128"/>
        <v>0.79718774243599688</v>
      </c>
      <c r="J1414" s="4">
        <v>49000000</v>
      </c>
      <c r="K1414" s="2">
        <f t="shared" si="129"/>
        <v>0.95034910783553139</v>
      </c>
      <c r="L1414" t="s">
        <v>4797</v>
      </c>
      <c r="M1414" t="s">
        <v>192</v>
      </c>
      <c r="N1414" t="b">
        <f t="shared" si="130"/>
        <v>0</v>
      </c>
    </row>
    <row r="1415" spans="1:14" x14ac:dyDescent="0.15">
      <c r="A1415" t="s">
        <v>12712</v>
      </c>
      <c r="B1415" t="s">
        <v>12715</v>
      </c>
      <c r="C1415" t="s">
        <v>12829</v>
      </c>
      <c r="D1415" t="s">
        <v>23</v>
      </c>
      <c r="E1415" t="s">
        <v>12830</v>
      </c>
      <c r="F1415" s="5">
        <v>12706000</v>
      </c>
      <c r="G1415" s="5">
        <v>12706000</v>
      </c>
      <c r="H1415" s="4">
        <v>10111000</v>
      </c>
      <c r="I1415" s="2">
        <f t="shared" si="128"/>
        <v>0.79576577994648201</v>
      </c>
      <c r="J1415" s="4">
        <v>10111000</v>
      </c>
      <c r="K1415" s="2">
        <f t="shared" si="129"/>
        <v>0.79576577994648201</v>
      </c>
      <c r="L1415" t="s">
        <v>256</v>
      </c>
      <c r="M1415" t="s">
        <v>192</v>
      </c>
      <c r="N1415" t="b">
        <f t="shared" si="130"/>
        <v>0</v>
      </c>
    </row>
    <row r="1416" spans="1:14" x14ac:dyDescent="0.15">
      <c r="A1416" t="s">
        <v>12831</v>
      </c>
      <c r="B1416" t="s">
        <v>12834</v>
      </c>
      <c r="C1416" t="s">
        <v>12832</v>
      </c>
      <c r="D1416" t="s">
        <v>118</v>
      </c>
      <c r="E1416" t="s">
        <v>12833</v>
      </c>
      <c r="F1416" s="5">
        <v>6840000</v>
      </c>
      <c r="G1416" s="5">
        <v>6840000</v>
      </c>
      <c r="H1416" s="4">
        <v>5244000</v>
      </c>
      <c r="I1416" s="2">
        <f t="shared" si="128"/>
        <v>0.76666666666666672</v>
      </c>
      <c r="J1416" s="4">
        <v>5500000</v>
      </c>
      <c r="K1416" s="2">
        <f t="shared" si="129"/>
        <v>0.80409356725146197</v>
      </c>
      <c r="L1416" t="s">
        <v>12835</v>
      </c>
      <c r="M1416" t="s">
        <v>183</v>
      </c>
      <c r="N1416" t="b">
        <f t="shared" si="130"/>
        <v>0</v>
      </c>
    </row>
    <row r="1417" spans="1:14" x14ac:dyDescent="0.15">
      <c r="A1417" t="s">
        <v>12831</v>
      </c>
      <c r="B1417" t="s">
        <v>12834</v>
      </c>
      <c r="C1417" t="s">
        <v>12836</v>
      </c>
      <c r="D1417" t="s">
        <v>118</v>
      </c>
      <c r="E1417" t="s">
        <v>12837</v>
      </c>
      <c r="F1417" s="5">
        <f>G1417</f>
        <v>18893000</v>
      </c>
      <c r="G1417" s="5">
        <v>18893000</v>
      </c>
      <c r="H1417" s="4">
        <v>15114000</v>
      </c>
      <c r="I1417" s="2">
        <f t="shared" si="128"/>
        <v>0.7999788281374054</v>
      </c>
      <c r="J1417" s="4">
        <v>11470000</v>
      </c>
      <c r="K1417" s="2">
        <f t="shared" si="129"/>
        <v>0.60710315990049224</v>
      </c>
      <c r="L1417" t="s">
        <v>1979</v>
      </c>
      <c r="M1417" t="s">
        <v>1725</v>
      </c>
      <c r="N1417" t="b">
        <f t="shared" si="130"/>
        <v>0</v>
      </c>
    </row>
    <row r="1418" spans="1:14" x14ac:dyDescent="0.15">
      <c r="A1418" t="s">
        <v>12831</v>
      </c>
      <c r="B1418" t="s">
        <v>12834</v>
      </c>
      <c r="C1418" t="s">
        <v>12838</v>
      </c>
      <c r="D1418" t="s">
        <v>23</v>
      </c>
      <c r="E1418" t="s">
        <v>12839</v>
      </c>
      <c r="F1418" s="5">
        <v>4188000</v>
      </c>
      <c r="G1418" s="5">
        <v>4188000</v>
      </c>
      <c r="I1418" s="2">
        <f t="shared" si="128"/>
        <v>0</v>
      </c>
      <c r="J1418" s="4">
        <v>2420000</v>
      </c>
      <c r="K1418" s="2">
        <f t="shared" si="129"/>
        <v>0.57784145176695323</v>
      </c>
      <c r="L1418" t="s">
        <v>12840</v>
      </c>
      <c r="M1418" t="s">
        <v>165</v>
      </c>
      <c r="N1418" t="b">
        <f t="shared" si="130"/>
        <v>0</v>
      </c>
    </row>
    <row r="1419" spans="1:14" x14ac:dyDescent="0.15">
      <c r="A1419" t="s">
        <v>12831</v>
      </c>
      <c r="B1419" t="s">
        <v>12834</v>
      </c>
      <c r="C1419" t="s">
        <v>12841</v>
      </c>
      <c r="D1419" t="s">
        <v>23</v>
      </c>
      <c r="E1419" t="s">
        <v>12842</v>
      </c>
      <c r="F1419" s="5">
        <v>8480000</v>
      </c>
      <c r="G1419" s="5">
        <v>8480000</v>
      </c>
      <c r="H1419" s="4">
        <v>6784000</v>
      </c>
      <c r="I1419" s="2">
        <f t="shared" si="128"/>
        <v>0.8</v>
      </c>
      <c r="J1419" s="4">
        <v>7060000</v>
      </c>
      <c r="K1419" s="2">
        <f t="shared" si="129"/>
        <v>0.83254716981132071</v>
      </c>
      <c r="L1419" t="s">
        <v>1262</v>
      </c>
      <c r="M1419" t="s">
        <v>174</v>
      </c>
      <c r="N1419" t="b">
        <f t="shared" si="130"/>
        <v>0</v>
      </c>
    </row>
    <row r="1420" spans="1:14" x14ac:dyDescent="0.15">
      <c r="A1420" t="s">
        <v>12831</v>
      </c>
      <c r="B1420" t="s">
        <v>12834</v>
      </c>
      <c r="C1420" t="s">
        <v>12843</v>
      </c>
      <c r="D1420" t="s">
        <v>23</v>
      </c>
      <c r="E1420" t="s">
        <v>12844</v>
      </c>
      <c r="F1420" s="5">
        <v>8544000</v>
      </c>
      <c r="G1420" s="5">
        <v>8544000</v>
      </c>
      <c r="H1420" s="4">
        <v>6835000</v>
      </c>
      <c r="I1420" s="2">
        <f t="shared" si="128"/>
        <v>0.79997659176029967</v>
      </c>
      <c r="J1420" s="4">
        <v>6852000</v>
      </c>
      <c r="K1420" s="2">
        <f t="shared" si="129"/>
        <v>0.8019662921348315</v>
      </c>
      <c r="L1420" t="s">
        <v>239</v>
      </c>
      <c r="M1420" t="s">
        <v>174</v>
      </c>
      <c r="N1420" t="b">
        <f t="shared" si="130"/>
        <v>0</v>
      </c>
    </row>
    <row r="1421" spans="1:14" x14ac:dyDescent="0.15">
      <c r="A1421" t="s">
        <v>12831</v>
      </c>
      <c r="B1421" t="s">
        <v>12834</v>
      </c>
      <c r="C1421" t="s">
        <v>12832</v>
      </c>
      <c r="D1421" t="s">
        <v>118</v>
      </c>
      <c r="E1421" t="s">
        <v>12845</v>
      </c>
      <c r="F1421" s="5" t="s">
        <v>145</v>
      </c>
      <c r="G1421" s="5" t="s">
        <v>145</v>
      </c>
      <c r="H1421" t="s">
        <v>145</v>
      </c>
      <c r="I1421" s="2" t="e">
        <f t="shared" si="128"/>
        <v>#VALUE!</v>
      </c>
      <c r="K1421" s="2" t="e">
        <f t="shared" si="129"/>
        <v>#VALUE!</v>
      </c>
      <c r="M1421" t="s">
        <v>183</v>
      </c>
      <c r="N1421" t="b">
        <f t="shared" si="130"/>
        <v>0</v>
      </c>
    </row>
    <row r="1422" spans="1:14" x14ac:dyDescent="0.15">
      <c r="A1422" t="s">
        <v>12831</v>
      </c>
      <c r="B1422" t="s">
        <v>12834</v>
      </c>
      <c r="C1422" t="s">
        <v>12846</v>
      </c>
      <c r="D1422" t="s">
        <v>118</v>
      </c>
      <c r="E1422" t="s">
        <v>12847</v>
      </c>
      <c r="F1422" s="5">
        <v>9157000</v>
      </c>
      <c r="G1422" s="5">
        <v>9157000</v>
      </c>
      <c r="H1422" s="4">
        <v>7255000</v>
      </c>
      <c r="I1422" s="2">
        <f t="shared" si="128"/>
        <v>0.79229005132685382</v>
      </c>
      <c r="J1422" s="4">
        <v>7020000</v>
      </c>
      <c r="K1422" s="2">
        <f t="shared" si="129"/>
        <v>0.76662662444031893</v>
      </c>
      <c r="L1422" t="s">
        <v>1377</v>
      </c>
      <c r="M1422" t="s">
        <v>313</v>
      </c>
      <c r="N1422" t="b">
        <f t="shared" si="130"/>
        <v>0</v>
      </c>
    </row>
    <row r="1423" spans="1:14" x14ac:dyDescent="0.15">
      <c r="A1423" t="s">
        <v>12831</v>
      </c>
      <c r="B1423" t="s">
        <v>12834</v>
      </c>
      <c r="C1423" t="s">
        <v>12848</v>
      </c>
      <c r="D1423" t="s">
        <v>118</v>
      </c>
      <c r="E1423" t="s">
        <v>12849</v>
      </c>
      <c r="F1423" s="5">
        <v>20170000</v>
      </c>
      <c r="G1423" s="5">
        <v>20170000</v>
      </c>
      <c r="H1423" s="4">
        <v>16136000</v>
      </c>
      <c r="I1423" s="2">
        <f t="shared" si="128"/>
        <v>0.8</v>
      </c>
      <c r="J1423" s="4">
        <v>14200000</v>
      </c>
      <c r="K1423" s="2">
        <f t="shared" si="129"/>
        <v>0.7040158651462568</v>
      </c>
      <c r="L1423" t="s">
        <v>601</v>
      </c>
      <c r="M1423" t="s">
        <v>174</v>
      </c>
      <c r="N1423" t="b">
        <f t="shared" si="130"/>
        <v>0</v>
      </c>
    </row>
    <row r="1424" spans="1:14" x14ac:dyDescent="0.15">
      <c r="A1424" t="s">
        <v>12831</v>
      </c>
      <c r="B1424" t="s">
        <v>12834</v>
      </c>
      <c r="C1424" t="s">
        <v>12850</v>
      </c>
      <c r="D1424" t="s">
        <v>118</v>
      </c>
      <c r="E1424" t="s">
        <v>12851</v>
      </c>
      <c r="F1424" s="5">
        <v>27107000</v>
      </c>
      <c r="G1424" s="5">
        <v>27107000</v>
      </c>
      <c r="H1424" s="4">
        <v>21685000</v>
      </c>
      <c r="I1424" s="2">
        <f t="shared" si="128"/>
        <v>0.79997786549599736</v>
      </c>
      <c r="J1424" s="4">
        <v>21773000</v>
      </c>
      <c r="K1424" s="2">
        <f t="shared" si="129"/>
        <v>0.80322425941638687</v>
      </c>
      <c r="L1424" t="s">
        <v>431</v>
      </c>
      <c r="M1424" t="s">
        <v>248</v>
      </c>
      <c r="N1424" t="b">
        <f t="shared" si="130"/>
        <v>0</v>
      </c>
    </row>
    <row r="1425" spans="1:14" x14ac:dyDescent="0.15">
      <c r="A1425" t="s">
        <v>12831</v>
      </c>
      <c r="B1425" t="s">
        <v>12834</v>
      </c>
      <c r="C1425" t="s">
        <v>12852</v>
      </c>
      <c r="D1425" t="s">
        <v>118</v>
      </c>
      <c r="E1425" t="s">
        <v>12853</v>
      </c>
      <c r="F1425" s="5">
        <v>12408000</v>
      </c>
      <c r="G1425" s="5">
        <v>12408000</v>
      </c>
      <c r="H1425" s="4">
        <v>9858000</v>
      </c>
      <c r="I1425" s="2">
        <f t="shared" si="128"/>
        <v>0.79448742746615086</v>
      </c>
      <c r="J1425" s="4">
        <v>8199000</v>
      </c>
      <c r="K1425" s="2">
        <f t="shared" si="129"/>
        <v>0.66078336557059958</v>
      </c>
      <c r="L1425" t="s">
        <v>1008</v>
      </c>
      <c r="M1425" t="s">
        <v>192</v>
      </c>
      <c r="N1425" t="b">
        <f t="shared" si="130"/>
        <v>0</v>
      </c>
    </row>
    <row r="1426" spans="1:14" x14ac:dyDescent="0.15">
      <c r="A1426" t="s">
        <v>12831</v>
      </c>
      <c r="B1426" t="s">
        <v>12834</v>
      </c>
      <c r="C1426" t="s">
        <v>12854</v>
      </c>
      <c r="D1426" t="s">
        <v>118</v>
      </c>
      <c r="E1426" t="s">
        <v>12855</v>
      </c>
      <c r="F1426" s="5">
        <v>15335000</v>
      </c>
      <c r="G1426" s="5">
        <v>15335000</v>
      </c>
      <c r="H1426" s="4">
        <v>12267000</v>
      </c>
      <c r="I1426" s="2">
        <f t="shared" si="128"/>
        <v>0.79993478969677212</v>
      </c>
      <c r="J1426" s="4">
        <v>9640000</v>
      </c>
      <c r="K1426" s="2">
        <f t="shared" si="129"/>
        <v>0.62862732311705249</v>
      </c>
      <c r="L1426" t="s">
        <v>2956</v>
      </c>
      <c r="M1426" t="s">
        <v>126</v>
      </c>
      <c r="N1426" t="b">
        <f t="shared" si="130"/>
        <v>0</v>
      </c>
    </row>
    <row r="1427" spans="1:14" x14ac:dyDescent="0.15">
      <c r="A1427" t="s">
        <v>12831</v>
      </c>
      <c r="B1427" t="s">
        <v>12834</v>
      </c>
      <c r="C1427" t="s">
        <v>12856</v>
      </c>
      <c r="D1427" t="s">
        <v>118</v>
      </c>
      <c r="E1427" t="s">
        <v>12857</v>
      </c>
      <c r="F1427" s="5">
        <v>16047000</v>
      </c>
      <c r="G1427" s="5">
        <v>16047000</v>
      </c>
      <c r="H1427" s="4">
        <v>12837000</v>
      </c>
      <c r="I1427" s="2">
        <f t="shared" si="128"/>
        <v>0.79996260983361378</v>
      </c>
      <c r="J1427" s="4">
        <v>9775000</v>
      </c>
      <c r="K1427" s="2">
        <f t="shared" si="129"/>
        <v>0.60914812737583346</v>
      </c>
      <c r="L1427" t="s">
        <v>2729</v>
      </c>
      <c r="M1427" t="s">
        <v>216</v>
      </c>
      <c r="N1427" t="b">
        <f t="shared" si="130"/>
        <v>0</v>
      </c>
    </row>
    <row r="1428" spans="1:14" x14ac:dyDescent="0.15">
      <c r="A1428" t="s">
        <v>12831</v>
      </c>
      <c r="B1428" t="s">
        <v>12834</v>
      </c>
      <c r="C1428" t="s">
        <v>12858</v>
      </c>
      <c r="D1428" t="s">
        <v>118</v>
      </c>
      <c r="E1428" t="s">
        <v>12859</v>
      </c>
      <c r="F1428" s="5">
        <v>17844000</v>
      </c>
      <c r="G1428" s="5">
        <v>17844000</v>
      </c>
      <c r="H1428" s="4">
        <v>14275000</v>
      </c>
      <c r="I1428" s="2">
        <f t="shared" si="128"/>
        <v>0.79998879175072857</v>
      </c>
      <c r="J1428" s="4">
        <v>12500000</v>
      </c>
      <c r="K1428" s="2">
        <f t="shared" si="129"/>
        <v>0.70051557946648735</v>
      </c>
      <c r="L1428" t="s">
        <v>11733</v>
      </c>
      <c r="M1428" t="s">
        <v>80</v>
      </c>
      <c r="N1428" t="b">
        <f t="shared" si="130"/>
        <v>0</v>
      </c>
    </row>
    <row r="1429" spans="1:14" x14ac:dyDescent="0.15">
      <c r="A1429" t="s">
        <v>12831</v>
      </c>
      <c r="B1429" t="s">
        <v>12834</v>
      </c>
      <c r="C1429" t="s">
        <v>12860</v>
      </c>
      <c r="D1429" t="s">
        <v>23</v>
      </c>
      <c r="E1429" t="s">
        <v>12861</v>
      </c>
      <c r="F1429" s="5">
        <v>1690000</v>
      </c>
      <c r="G1429" s="5">
        <v>1690000</v>
      </c>
      <c r="I1429" s="2">
        <f t="shared" si="128"/>
        <v>0</v>
      </c>
      <c r="J1429" s="4">
        <v>980000</v>
      </c>
      <c r="K1429" s="2">
        <f t="shared" si="129"/>
        <v>0.57988165680473369</v>
      </c>
      <c r="L1429" t="s">
        <v>474</v>
      </c>
      <c r="M1429" t="s">
        <v>432</v>
      </c>
      <c r="N1429" t="b">
        <f t="shared" si="130"/>
        <v>0</v>
      </c>
    </row>
    <row r="1430" spans="1:14" x14ac:dyDescent="0.15">
      <c r="A1430" t="s">
        <v>12831</v>
      </c>
      <c r="B1430" t="s">
        <v>12834</v>
      </c>
      <c r="C1430" t="s">
        <v>12862</v>
      </c>
      <c r="D1430" t="s">
        <v>23</v>
      </c>
      <c r="E1430" t="s">
        <v>12863</v>
      </c>
      <c r="F1430" s="5">
        <v>7590000</v>
      </c>
      <c r="G1430" s="5">
        <v>7590000</v>
      </c>
      <c r="H1430" s="4">
        <v>6072000</v>
      </c>
      <c r="I1430" s="2">
        <f t="shared" si="128"/>
        <v>0.8</v>
      </c>
      <c r="J1430" s="4">
        <v>6092000</v>
      </c>
      <c r="K1430" s="2">
        <f t="shared" si="129"/>
        <v>0.80263504611330694</v>
      </c>
      <c r="L1430" t="s">
        <v>12864</v>
      </c>
      <c r="M1430" t="s">
        <v>174</v>
      </c>
      <c r="N1430" t="b">
        <f t="shared" si="130"/>
        <v>0</v>
      </c>
    </row>
    <row r="1431" spans="1:14" x14ac:dyDescent="0.15">
      <c r="A1431" t="s">
        <v>12831</v>
      </c>
      <c r="B1431" t="s">
        <v>12834</v>
      </c>
      <c r="C1431" t="s">
        <v>12865</v>
      </c>
      <c r="D1431" t="s">
        <v>118</v>
      </c>
      <c r="E1431" t="s">
        <v>12866</v>
      </c>
      <c r="F1431" s="5">
        <v>18797000</v>
      </c>
      <c r="G1431" s="5">
        <v>18797000</v>
      </c>
      <c r="H1431" s="4">
        <v>15037000</v>
      </c>
      <c r="I1431" s="2">
        <f t="shared" si="128"/>
        <v>0.79996808001276798</v>
      </c>
      <c r="J1431" s="4">
        <v>11290000</v>
      </c>
      <c r="K1431" s="2">
        <f t="shared" si="129"/>
        <v>0.60062775974889615</v>
      </c>
      <c r="L1431" t="s">
        <v>4557</v>
      </c>
      <c r="M1431" t="s">
        <v>4035</v>
      </c>
      <c r="N1431" t="b">
        <f t="shared" si="130"/>
        <v>0</v>
      </c>
    </row>
    <row r="1432" spans="1:14" x14ac:dyDescent="0.15">
      <c r="A1432" t="s">
        <v>12831</v>
      </c>
      <c r="B1432" t="s">
        <v>12834</v>
      </c>
      <c r="C1432" t="s">
        <v>12867</v>
      </c>
      <c r="D1432" t="s">
        <v>23</v>
      </c>
      <c r="E1432" t="s">
        <v>12868</v>
      </c>
      <c r="F1432" s="5">
        <v>7760000</v>
      </c>
      <c r="G1432" s="5">
        <v>7760000</v>
      </c>
      <c r="H1432" s="4">
        <v>6208000</v>
      </c>
      <c r="I1432" s="2">
        <f t="shared" si="128"/>
        <v>0.8</v>
      </c>
      <c r="J1432" s="4">
        <v>7500000</v>
      </c>
      <c r="K1432" s="2">
        <f t="shared" si="129"/>
        <v>0.96649484536082475</v>
      </c>
      <c r="L1432" t="s">
        <v>48</v>
      </c>
      <c r="M1432" t="s">
        <v>174</v>
      </c>
      <c r="N1432" t="b">
        <f t="shared" si="130"/>
        <v>0</v>
      </c>
    </row>
    <row r="1433" spans="1:14" x14ac:dyDescent="0.15">
      <c r="A1433" t="s">
        <v>12831</v>
      </c>
      <c r="B1433" t="s">
        <v>12834</v>
      </c>
      <c r="C1433" t="s">
        <v>12869</v>
      </c>
      <c r="D1433" t="s">
        <v>23</v>
      </c>
      <c r="E1433" t="s">
        <v>12870</v>
      </c>
      <c r="F1433" s="5">
        <v>5788000</v>
      </c>
      <c r="G1433" s="5">
        <v>5788000</v>
      </c>
      <c r="H1433" s="4">
        <v>4630000</v>
      </c>
      <c r="I1433" s="2">
        <f t="shared" si="128"/>
        <v>0.79993089149965446</v>
      </c>
      <c r="J1433" s="4">
        <v>3600000</v>
      </c>
      <c r="K1433" s="2">
        <f t="shared" si="129"/>
        <v>0.62197650310988251</v>
      </c>
      <c r="L1433" t="s">
        <v>11733</v>
      </c>
      <c r="M1433" t="s">
        <v>174</v>
      </c>
      <c r="N1433" t="b">
        <f t="shared" si="130"/>
        <v>0</v>
      </c>
    </row>
    <row r="1434" spans="1:14" x14ac:dyDescent="0.15">
      <c r="A1434" t="s">
        <v>12831</v>
      </c>
      <c r="B1434" t="s">
        <v>12834</v>
      </c>
      <c r="C1434" t="s">
        <v>12871</v>
      </c>
      <c r="D1434" t="s">
        <v>23</v>
      </c>
      <c r="E1434" t="s">
        <v>12872</v>
      </c>
      <c r="F1434" s="5">
        <v>8604000</v>
      </c>
      <c r="G1434" s="5">
        <v>8604000</v>
      </c>
      <c r="H1434" s="4">
        <v>6813000</v>
      </c>
      <c r="I1434" s="2">
        <f t="shared" si="128"/>
        <v>0.79184100418410042</v>
      </c>
      <c r="J1434" s="4">
        <v>5180000</v>
      </c>
      <c r="K1434" s="2">
        <f t="shared" si="129"/>
        <v>0.60204556020455602</v>
      </c>
      <c r="L1434" t="s">
        <v>12840</v>
      </c>
      <c r="M1434" t="s">
        <v>174</v>
      </c>
      <c r="N1434" t="b">
        <f t="shared" si="130"/>
        <v>0</v>
      </c>
    </row>
    <row r="1435" spans="1:14" x14ac:dyDescent="0.15">
      <c r="A1435" t="s">
        <v>12831</v>
      </c>
      <c r="B1435" t="s">
        <v>12834</v>
      </c>
      <c r="C1435" t="s">
        <v>12873</v>
      </c>
      <c r="D1435" t="s">
        <v>118</v>
      </c>
      <c r="E1435" t="s">
        <v>12874</v>
      </c>
      <c r="F1435" s="5">
        <v>19010000</v>
      </c>
      <c r="G1435" s="5">
        <v>19010000</v>
      </c>
      <c r="H1435" s="4">
        <v>15119000</v>
      </c>
      <c r="I1435" s="2">
        <f t="shared" si="128"/>
        <v>0.7953182535507628</v>
      </c>
      <c r="J1435" s="4">
        <v>15119000</v>
      </c>
      <c r="K1435" s="2">
        <f t="shared" si="129"/>
        <v>0.7953182535507628</v>
      </c>
      <c r="L1435" t="s">
        <v>263</v>
      </c>
      <c r="M1435" t="s">
        <v>126</v>
      </c>
      <c r="N1435" t="b">
        <f t="shared" si="130"/>
        <v>0</v>
      </c>
    </row>
    <row r="1436" spans="1:14" x14ac:dyDescent="0.15">
      <c r="A1436" t="s">
        <v>12831</v>
      </c>
      <c r="B1436" t="s">
        <v>12834</v>
      </c>
      <c r="C1436" t="s">
        <v>12875</v>
      </c>
      <c r="D1436" t="s">
        <v>23</v>
      </c>
      <c r="E1436" t="s">
        <v>12876</v>
      </c>
      <c r="F1436" s="5">
        <v>6939000</v>
      </c>
      <c r="G1436" s="5">
        <v>6939000</v>
      </c>
      <c r="H1436" s="4">
        <v>5536000</v>
      </c>
      <c r="I1436" s="2">
        <f t="shared" si="128"/>
        <v>0.79780948263438534</v>
      </c>
      <c r="J1436" s="4">
        <v>4320000</v>
      </c>
      <c r="K1436" s="2">
        <f t="shared" si="129"/>
        <v>0.62256809338521402</v>
      </c>
      <c r="L1436" t="s">
        <v>12840</v>
      </c>
      <c r="M1436" t="s">
        <v>174</v>
      </c>
      <c r="N1436" t="b">
        <f t="shared" si="130"/>
        <v>0</v>
      </c>
    </row>
    <row r="1437" spans="1:14" x14ac:dyDescent="0.15">
      <c r="A1437" t="s">
        <v>12831</v>
      </c>
      <c r="B1437" t="s">
        <v>12834</v>
      </c>
      <c r="C1437" t="s">
        <v>12877</v>
      </c>
      <c r="D1437" t="s">
        <v>118</v>
      </c>
      <c r="E1437" t="s">
        <v>12878</v>
      </c>
      <c r="F1437" s="5">
        <v>34431000</v>
      </c>
      <c r="G1437" s="5">
        <v>34431000</v>
      </c>
      <c r="H1437" s="4">
        <v>27391000</v>
      </c>
      <c r="I1437" s="2">
        <f t="shared" si="128"/>
        <v>0.79553309517585902</v>
      </c>
      <c r="J1437" s="4">
        <v>31600000</v>
      </c>
      <c r="K1437" s="2">
        <f t="shared" si="129"/>
        <v>0.91777758415381483</v>
      </c>
      <c r="L1437" t="s">
        <v>5186</v>
      </c>
      <c r="M1437" t="s">
        <v>1015</v>
      </c>
      <c r="N1437" t="b">
        <f t="shared" si="130"/>
        <v>0</v>
      </c>
    </row>
    <row r="1438" spans="1:14" x14ac:dyDescent="0.15">
      <c r="A1438" t="s">
        <v>12831</v>
      </c>
      <c r="B1438" t="s">
        <v>12834</v>
      </c>
      <c r="C1438" t="s">
        <v>12879</v>
      </c>
      <c r="D1438" t="s">
        <v>23</v>
      </c>
      <c r="E1438" t="s">
        <v>12880</v>
      </c>
      <c r="F1438" s="5">
        <v>5430000</v>
      </c>
      <c r="G1438" s="5">
        <v>5430000</v>
      </c>
      <c r="H1438" s="4">
        <v>4320000</v>
      </c>
      <c r="I1438" s="2">
        <f t="shared" si="128"/>
        <v>0.79558011049723754</v>
      </c>
      <c r="J1438" s="4">
        <v>4340000</v>
      </c>
      <c r="K1438" s="2">
        <f t="shared" si="129"/>
        <v>0.79926335174953955</v>
      </c>
      <c r="L1438" t="s">
        <v>11726</v>
      </c>
      <c r="M1438" t="s">
        <v>174</v>
      </c>
      <c r="N1438" t="b">
        <f t="shared" si="130"/>
        <v>0</v>
      </c>
    </row>
    <row r="1439" spans="1:14" x14ac:dyDescent="0.15">
      <c r="A1439" t="s">
        <v>12881</v>
      </c>
      <c r="B1439" t="s">
        <v>12884</v>
      </c>
      <c r="C1439" t="s">
        <v>12882</v>
      </c>
      <c r="D1439" t="s">
        <v>15</v>
      </c>
      <c r="E1439" t="s">
        <v>12883</v>
      </c>
      <c r="F1439" s="5" t="s">
        <v>145</v>
      </c>
      <c r="G1439" s="5">
        <v>29810000</v>
      </c>
      <c r="I1439" s="2">
        <f t="shared" si="128"/>
        <v>0</v>
      </c>
      <c r="K1439" s="2">
        <f t="shared" si="129"/>
        <v>0</v>
      </c>
      <c r="M1439" t="s">
        <v>139</v>
      </c>
      <c r="N1439" t="b">
        <f t="shared" si="130"/>
        <v>1</v>
      </c>
    </row>
    <row r="1440" spans="1:14" x14ac:dyDescent="0.15">
      <c r="A1440" t="s">
        <v>12881</v>
      </c>
      <c r="B1440" t="s">
        <v>12884</v>
      </c>
      <c r="C1440" t="s">
        <v>12885</v>
      </c>
      <c r="D1440" t="s">
        <v>118</v>
      </c>
      <c r="E1440" t="s">
        <v>12886</v>
      </c>
      <c r="F1440" s="5" t="s">
        <v>145</v>
      </c>
      <c r="G1440" s="5">
        <v>30774000</v>
      </c>
      <c r="H1440" s="4">
        <v>21541800</v>
      </c>
      <c r="I1440" s="2">
        <f t="shared" si="128"/>
        <v>0.7</v>
      </c>
      <c r="J1440" s="4">
        <v>24920000</v>
      </c>
      <c r="K1440" s="2">
        <f t="shared" si="129"/>
        <v>0.80977448495483195</v>
      </c>
      <c r="L1440" t="s">
        <v>4827</v>
      </c>
      <c r="M1440" t="s">
        <v>21</v>
      </c>
      <c r="N1440" t="b">
        <f t="shared" si="130"/>
        <v>1</v>
      </c>
    </row>
    <row r="1441" spans="1:14" x14ac:dyDescent="0.15">
      <c r="A1441" t="s">
        <v>12881</v>
      </c>
      <c r="B1441" t="s">
        <v>12889</v>
      </c>
      <c r="C1441" t="s">
        <v>12887</v>
      </c>
      <c r="D1441" t="s">
        <v>118</v>
      </c>
      <c r="E1441" t="s">
        <v>12888</v>
      </c>
      <c r="F1441" s="5" t="s">
        <v>145</v>
      </c>
      <c r="G1441" s="5">
        <v>15970000</v>
      </c>
      <c r="H1441" s="4">
        <v>12398400</v>
      </c>
      <c r="I1441" s="2">
        <f t="shared" si="128"/>
        <v>0.77635566687539137</v>
      </c>
      <c r="J1441" s="4">
        <v>14970000</v>
      </c>
      <c r="K1441" s="2">
        <f t="shared" si="129"/>
        <v>0.93738259236067623</v>
      </c>
      <c r="L1441" t="s">
        <v>12890</v>
      </c>
      <c r="M1441" t="s">
        <v>432</v>
      </c>
      <c r="N1441" t="b">
        <f t="shared" si="130"/>
        <v>1</v>
      </c>
    </row>
    <row r="1442" spans="1:14" x14ac:dyDescent="0.15">
      <c r="A1442" t="s">
        <v>12881</v>
      </c>
      <c r="B1442" t="s">
        <v>12884</v>
      </c>
      <c r="C1442" t="s">
        <v>12891</v>
      </c>
      <c r="D1442" t="s">
        <v>118</v>
      </c>
      <c r="E1442" t="s">
        <v>12892</v>
      </c>
      <c r="F1442" s="5" t="s">
        <v>145</v>
      </c>
      <c r="G1442" s="5">
        <v>14488000</v>
      </c>
      <c r="H1442" s="4">
        <v>10141600</v>
      </c>
      <c r="I1442" s="2">
        <f t="shared" si="128"/>
        <v>0.7</v>
      </c>
      <c r="J1442" s="4">
        <v>10141600</v>
      </c>
      <c r="K1442" s="2">
        <f t="shared" si="129"/>
        <v>0.7</v>
      </c>
      <c r="L1442" t="s">
        <v>12893</v>
      </c>
      <c r="M1442" t="s">
        <v>165</v>
      </c>
      <c r="N1442" t="b">
        <f t="shared" si="130"/>
        <v>1</v>
      </c>
    </row>
    <row r="1443" spans="1:14" x14ac:dyDescent="0.15">
      <c r="A1443" t="s">
        <v>12881</v>
      </c>
      <c r="B1443" t="s">
        <v>12884</v>
      </c>
      <c r="C1443" t="s">
        <v>12894</v>
      </c>
      <c r="D1443" t="s">
        <v>118</v>
      </c>
      <c r="E1443" t="s">
        <v>12895</v>
      </c>
      <c r="F1443" s="5" t="s">
        <v>145</v>
      </c>
      <c r="G1443" s="5">
        <v>20850000</v>
      </c>
      <c r="H1443" s="4">
        <v>14595000</v>
      </c>
      <c r="I1443" s="2">
        <f t="shared" si="128"/>
        <v>0.7</v>
      </c>
      <c r="J1443" s="4">
        <v>14595000</v>
      </c>
      <c r="K1443" s="2">
        <f t="shared" si="129"/>
        <v>0.7</v>
      </c>
      <c r="L1443" t="s">
        <v>12896</v>
      </c>
      <c r="M1443" t="s">
        <v>1015</v>
      </c>
      <c r="N1443" t="b">
        <f t="shared" si="130"/>
        <v>1</v>
      </c>
    </row>
    <row r="1444" spans="1:14" x14ac:dyDescent="0.15">
      <c r="A1444" t="s">
        <v>12881</v>
      </c>
      <c r="B1444" t="s">
        <v>12884</v>
      </c>
      <c r="C1444" t="s">
        <v>12897</v>
      </c>
      <c r="D1444" t="s">
        <v>118</v>
      </c>
      <c r="E1444" t="s">
        <v>12898</v>
      </c>
      <c r="F1444" s="5" t="s">
        <v>145</v>
      </c>
      <c r="G1444" s="5">
        <v>16004000</v>
      </c>
      <c r="H1444" s="4">
        <v>11202800</v>
      </c>
      <c r="I1444" s="2">
        <f t="shared" si="128"/>
        <v>0.7</v>
      </c>
      <c r="J1444" s="4">
        <v>14900000</v>
      </c>
      <c r="K1444" s="2">
        <f t="shared" si="129"/>
        <v>0.93101724568857791</v>
      </c>
      <c r="L1444" t="s">
        <v>2332</v>
      </c>
      <c r="M1444" t="s">
        <v>1015</v>
      </c>
      <c r="N1444" t="b">
        <f t="shared" si="130"/>
        <v>1</v>
      </c>
    </row>
    <row r="1445" spans="1:14" x14ac:dyDescent="0.15">
      <c r="A1445" t="s">
        <v>12881</v>
      </c>
      <c r="B1445" t="s">
        <v>12884</v>
      </c>
      <c r="C1445" t="s">
        <v>12899</v>
      </c>
      <c r="D1445" t="s">
        <v>118</v>
      </c>
      <c r="E1445" t="s">
        <v>12900</v>
      </c>
      <c r="F1445" s="5" t="s">
        <v>145</v>
      </c>
      <c r="G1445" s="5">
        <v>11804000</v>
      </c>
      <c r="H1445" s="4">
        <v>9080889</v>
      </c>
      <c r="I1445" s="2">
        <f t="shared" si="128"/>
        <v>0.76930608268383593</v>
      </c>
      <c r="J1445" s="4">
        <v>10900000</v>
      </c>
      <c r="K1445" s="2">
        <f t="shared" si="129"/>
        <v>0.92341579125720097</v>
      </c>
      <c r="L1445" t="s">
        <v>12901</v>
      </c>
      <c r="M1445" t="s">
        <v>126</v>
      </c>
      <c r="N1445" t="b">
        <f t="shared" si="130"/>
        <v>1</v>
      </c>
    </row>
    <row r="1446" spans="1:14" x14ac:dyDescent="0.15">
      <c r="A1446" t="s">
        <v>12881</v>
      </c>
      <c r="B1446" t="s">
        <v>12884</v>
      </c>
      <c r="C1446" t="s">
        <v>12902</v>
      </c>
      <c r="D1446" t="s">
        <v>118</v>
      </c>
      <c r="E1446" t="s">
        <v>12903</v>
      </c>
      <c r="F1446" s="5" t="s">
        <v>145</v>
      </c>
      <c r="G1446" s="5">
        <v>2345000</v>
      </c>
      <c r="H1446" s="4">
        <v>1641500</v>
      </c>
      <c r="I1446" s="2">
        <f t="shared" si="128"/>
        <v>0.7</v>
      </c>
      <c r="J1446" s="4">
        <v>2300000</v>
      </c>
      <c r="K1446" s="2">
        <f t="shared" si="129"/>
        <v>0.98081023454157779</v>
      </c>
      <c r="L1446" t="s">
        <v>4310</v>
      </c>
      <c r="M1446" t="s">
        <v>139</v>
      </c>
      <c r="N1446" t="b">
        <f t="shared" si="130"/>
        <v>1</v>
      </c>
    </row>
    <row r="1447" spans="1:14" x14ac:dyDescent="0.15">
      <c r="A1447" t="s">
        <v>12881</v>
      </c>
      <c r="B1447" t="s">
        <v>12889</v>
      </c>
      <c r="C1447" t="s">
        <v>12904</v>
      </c>
      <c r="D1447" t="s">
        <v>118</v>
      </c>
      <c r="E1447" t="s">
        <v>12905</v>
      </c>
      <c r="F1447" s="5" t="s">
        <v>145</v>
      </c>
      <c r="G1447" s="5">
        <v>6470000</v>
      </c>
      <c r="H1447" s="4">
        <v>4529000</v>
      </c>
      <c r="I1447" s="2">
        <f t="shared" si="128"/>
        <v>0.7</v>
      </c>
      <c r="J1447" s="4">
        <v>4529000</v>
      </c>
      <c r="K1447" s="2">
        <f t="shared" si="129"/>
        <v>0.7</v>
      </c>
      <c r="L1447" t="s">
        <v>12890</v>
      </c>
      <c r="M1447" t="s">
        <v>1015</v>
      </c>
      <c r="N1447" t="b">
        <f t="shared" si="130"/>
        <v>1</v>
      </c>
    </row>
    <row r="1448" spans="1:14" x14ac:dyDescent="0.15">
      <c r="A1448" t="s">
        <v>12881</v>
      </c>
      <c r="B1448" t="s">
        <v>12889</v>
      </c>
      <c r="C1448" t="s">
        <v>12906</v>
      </c>
      <c r="D1448" t="s">
        <v>118</v>
      </c>
      <c r="E1448" t="s">
        <v>12907</v>
      </c>
      <c r="F1448" s="5" t="s">
        <v>145</v>
      </c>
      <c r="G1448" s="5">
        <v>5160000</v>
      </c>
      <c r="H1448" s="4">
        <v>3612000</v>
      </c>
      <c r="I1448" s="2">
        <f t="shared" si="128"/>
        <v>0.7</v>
      </c>
      <c r="J1448" s="4">
        <v>3612000</v>
      </c>
      <c r="K1448" s="2">
        <f t="shared" si="129"/>
        <v>0.7</v>
      </c>
      <c r="L1448" t="s">
        <v>12908</v>
      </c>
      <c r="M1448" t="s">
        <v>165</v>
      </c>
      <c r="N1448" t="b">
        <f t="shared" si="130"/>
        <v>1</v>
      </c>
    </row>
    <row r="1449" spans="1:14" x14ac:dyDescent="0.15">
      <c r="A1449" t="s">
        <v>12881</v>
      </c>
      <c r="B1449" t="s">
        <v>12884</v>
      </c>
      <c r="C1449" t="s">
        <v>12909</v>
      </c>
      <c r="D1449" t="s">
        <v>118</v>
      </c>
      <c r="E1449" t="s">
        <v>12910</v>
      </c>
      <c r="F1449" s="5" t="s">
        <v>145</v>
      </c>
      <c r="G1449" s="5">
        <v>19884000</v>
      </c>
      <c r="H1449" s="4">
        <v>15792914</v>
      </c>
      <c r="I1449" s="2">
        <f t="shared" si="128"/>
        <v>0.79425236370951524</v>
      </c>
      <c r="J1449" s="4">
        <v>19300000</v>
      </c>
      <c r="K1449" s="2">
        <f t="shared" si="129"/>
        <v>0.97062965198149265</v>
      </c>
      <c r="L1449" t="s">
        <v>12890</v>
      </c>
      <c r="M1449" t="s">
        <v>174</v>
      </c>
      <c r="N1449" t="b">
        <f t="shared" si="130"/>
        <v>1</v>
      </c>
    </row>
    <row r="1450" spans="1:14" x14ac:dyDescent="0.15">
      <c r="A1450" t="s">
        <v>12881</v>
      </c>
      <c r="B1450" t="s">
        <v>12884</v>
      </c>
      <c r="C1450" t="s">
        <v>12911</v>
      </c>
      <c r="D1450" t="s">
        <v>118</v>
      </c>
      <c r="E1450" t="s">
        <v>12912</v>
      </c>
      <c r="F1450" s="5" t="s">
        <v>145</v>
      </c>
      <c r="G1450" s="5">
        <v>30152000</v>
      </c>
      <c r="H1450" s="4">
        <v>21106400</v>
      </c>
      <c r="I1450" s="2">
        <f t="shared" si="128"/>
        <v>0.7</v>
      </c>
      <c r="J1450" s="4">
        <v>21106400</v>
      </c>
      <c r="K1450" s="2">
        <f t="shared" si="129"/>
        <v>0.7</v>
      </c>
      <c r="L1450" t="s">
        <v>506</v>
      </c>
      <c r="M1450" t="s">
        <v>1015</v>
      </c>
      <c r="N1450" t="b">
        <f t="shared" si="130"/>
        <v>1</v>
      </c>
    </row>
    <row r="1451" spans="1:14" x14ac:dyDescent="0.15">
      <c r="A1451" t="s">
        <v>12881</v>
      </c>
      <c r="B1451" t="s">
        <v>12889</v>
      </c>
      <c r="C1451" t="s">
        <v>12913</v>
      </c>
      <c r="D1451" t="s">
        <v>118</v>
      </c>
      <c r="E1451" t="s">
        <v>12914</v>
      </c>
      <c r="F1451" s="5" t="s">
        <v>145</v>
      </c>
      <c r="G1451" s="5">
        <v>9280000</v>
      </c>
      <c r="H1451" s="4">
        <v>7102667</v>
      </c>
      <c r="I1451" s="2">
        <f t="shared" si="128"/>
        <v>0.76537359913793102</v>
      </c>
      <c r="J1451" s="4">
        <v>7300000</v>
      </c>
      <c r="K1451" s="2">
        <f t="shared" si="129"/>
        <v>0.78663793103448276</v>
      </c>
      <c r="L1451" t="s">
        <v>12908</v>
      </c>
      <c r="M1451" t="s">
        <v>165</v>
      </c>
      <c r="N1451" t="b">
        <f t="shared" si="130"/>
        <v>1</v>
      </c>
    </row>
    <row r="1452" spans="1:14" x14ac:dyDescent="0.15">
      <c r="A1452" t="s">
        <v>12881</v>
      </c>
      <c r="B1452" t="s">
        <v>12889</v>
      </c>
      <c r="C1452" t="s">
        <v>12915</v>
      </c>
      <c r="D1452" t="s">
        <v>118</v>
      </c>
      <c r="E1452" t="s">
        <v>12916</v>
      </c>
      <c r="F1452" s="5" t="s">
        <v>145</v>
      </c>
      <c r="G1452" s="5">
        <v>6620000</v>
      </c>
      <c r="H1452" s="4">
        <v>4634000</v>
      </c>
      <c r="I1452" s="2">
        <f t="shared" si="128"/>
        <v>0.7</v>
      </c>
      <c r="J1452" s="4">
        <v>4634000</v>
      </c>
      <c r="K1452" s="2">
        <f t="shared" si="129"/>
        <v>0.7</v>
      </c>
      <c r="L1452" t="s">
        <v>12917</v>
      </c>
      <c r="M1452" t="s">
        <v>21</v>
      </c>
      <c r="N1452" t="b">
        <f t="shared" si="130"/>
        <v>1</v>
      </c>
    </row>
    <row r="1453" spans="1:14" x14ac:dyDescent="0.15">
      <c r="A1453" t="s">
        <v>12881</v>
      </c>
      <c r="B1453" t="s">
        <v>12889</v>
      </c>
      <c r="C1453" t="s">
        <v>12918</v>
      </c>
      <c r="D1453" t="s">
        <v>118</v>
      </c>
      <c r="E1453" t="s">
        <v>12919</v>
      </c>
      <c r="F1453" s="5" t="s">
        <v>145</v>
      </c>
      <c r="G1453" s="5">
        <v>26970000</v>
      </c>
      <c r="H1453" s="4">
        <v>18879000</v>
      </c>
      <c r="I1453" s="2">
        <f t="shared" si="128"/>
        <v>0.7</v>
      </c>
      <c r="J1453" s="4">
        <v>24200000</v>
      </c>
      <c r="K1453" s="2">
        <f t="shared" si="129"/>
        <v>0.89729328883945125</v>
      </c>
      <c r="L1453" t="s">
        <v>12920</v>
      </c>
      <c r="M1453" t="s">
        <v>183</v>
      </c>
      <c r="N1453" t="b">
        <f t="shared" si="130"/>
        <v>1</v>
      </c>
    </row>
    <row r="1454" spans="1:14" x14ac:dyDescent="0.15">
      <c r="A1454" t="s">
        <v>12881</v>
      </c>
      <c r="B1454" t="s">
        <v>12884</v>
      </c>
      <c r="C1454" t="s">
        <v>12921</v>
      </c>
      <c r="D1454" t="s">
        <v>118</v>
      </c>
      <c r="E1454" t="s">
        <v>12922</v>
      </c>
      <c r="F1454" s="5" t="s">
        <v>145</v>
      </c>
      <c r="G1454" s="5">
        <v>5669000</v>
      </c>
      <c r="H1454" s="4">
        <v>3968300</v>
      </c>
      <c r="I1454" s="2">
        <f t="shared" si="128"/>
        <v>0.7</v>
      </c>
      <c r="J1454" s="4">
        <v>3968300</v>
      </c>
      <c r="K1454" s="2">
        <f t="shared" si="129"/>
        <v>0.7</v>
      </c>
      <c r="L1454" t="s">
        <v>12908</v>
      </c>
      <c r="M1454" t="s">
        <v>104</v>
      </c>
      <c r="N1454" t="b">
        <f t="shared" si="130"/>
        <v>1</v>
      </c>
    </row>
    <row r="1455" spans="1:14" x14ac:dyDescent="0.15">
      <c r="A1455" t="s">
        <v>12881</v>
      </c>
      <c r="B1455" t="s">
        <v>12884</v>
      </c>
      <c r="C1455" t="s">
        <v>12923</v>
      </c>
      <c r="D1455" t="s">
        <v>118</v>
      </c>
      <c r="E1455" t="s">
        <v>12924</v>
      </c>
      <c r="F1455" s="5" t="s">
        <v>145</v>
      </c>
      <c r="G1455" s="5">
        <v>15241000</v>
      </c>
      <c r="H1455" s="4">
        <v>10668700</v>
      </c>
      <c r="I1455" s="2">
        <f t="shared" si="128"/>
        <v>0.7</v>
      </c>
      <c r="J1455" s="4">
        <v>10668700</v>
      </c>
      <c r="K1455" s="2">
        <f t="shared" si="129"/>
        <v>0.7</v>
      </c>
      <c r="L1455" t="s">
        <v>12925</v>
      </c>
      <c r="M1455" t="s">
        <v>104</v>
      </c>
      <c r="N1455" t="b">
        <f t="shared" si="130"/>
        <v>1</v>
      </c>
    </row>
    <row r="1456" spans="1:14" x14ac:dyDescent="0.15">
      <c r="A1456" t="s">
        <v>12881</v>
      </c>
      <c r="B1456" t="s">
        <v>12884</v>
      </c>
      <c r="C1456" t="s">
        <v>12926</v>
      </c>
      <c r="D1456" t="s">
        <v>118</v>
      </c>
      <c r="E1456" t="s">
        <v>12927</v>
      </c>
      <c r="F1456" s="5" t="s">
        <v>145</v>
      </c>
      <c r="G1456" s="5">
        <v>15289000</v>
      </c>
      <c r="H1456" s="4">
        <v>10702300</v>
      </c>
      <c r="I1456" s="2">
        <f t="shared" si="128"/>
        <v>0.7</v>
      </c>
      <c r="J1456" s="4">
        <v>10702300</v>
      </c>
      <c r="K1456" s="2">
        <f t="shared" si="129"/>
        <v>0.7</v>
      </c>
      <c r="L1456" t="s">
        <v>12928</v>
      </c>
      <c r="M1456" t="s">
        <v>104</v>
      </c>
      <c r="N1456" t="b">
        <f t="shared" si="130"/>
        <v>1</v>
      </c>
    </row>
    <row r="1457" spans="1:14" x14ac:dyDescent="0.15">
      <c r="A1457" t="s">
        <v>12881</v>
      </c>
      <c r="B1457" t="s">
        <v>12889</v>
      </c>
      <c r="C1457" t="s">
        <v>12929</v>
      </c>
      <c r="D1457" t="s">
        <v>15</v>
      </c>
      <c r="E1457" t="s">
        <v>12930</v>
      </c>
      <c r="F1457" s="5" t="s">
        <v>145</v>
      </c>
      <c r="G1457" s="5">
        <v>7080000</v>
      </c>
      <c r="I1457" s="2">
        <f t="shared" si="128"/>
        <v>0</v>
      </c>
      <c r="K1457" s="2">
        <f t="shared" si="129"/>
        <v>0</v>
      </c>
      <c r="M1457" t="s">
        <v>139</v>
      </c>
      <c r="N1457" t="b">
        <f t="shared" si="130"/>
        <v>1</v>
      </c>
    </row>
    <row r="1458" spans="1:14" x14ac:dyDescent="0.15">
      <c r="A1458" t="s">
        <v>12881</v>
      </c>
      <c r="B1458" t="s">
        <v>12884</v>
      </c>
      <c r="C1458" t="s">
        <v>12931</v>
      </c>
      <c r="D1458" t="s">
        <v>15</v>
      </c>
      <c r="E1458" t="s">
        <v>12932</v>
      </c>
      <c r="F1458" s="5" t="s">
        <v>145</v>
      </c>
      <c r="G1458" s="5">
        <v>1330000</v>
      </c>
      <c r="I1458" s="2">
        <f t="shared" si="128"/>
        <v>0</v>
      </c>
      <c r="K1458" s="2">
        <f t="shared" si="129"/>
        <v>0</v>
      </c>
      <c r="M1458" t="s">
        <v>139</v>
      </c>
      <c r="N1458" t="b">
        <f t="shared" si="130"/>
        <v>1</v>
      </c>
    </row>
    <row r="1459" spans="1:14" x14ac:dyDescent="0.15">
      <c r="A1459" t="s">
        <v>12881</v>
      </c>
      <c r="B1459" t="s">
        <v>12884</v>
      </c>
      <c r="C1459" t="s">
        <v>12933</v>
      </c>
      <c r="D1459" t="s">
        <v>15</v>
      </c>
      <c r="E1459" t="s">
        <v>12934</v>
      </c>
      <c r="F1459" s="5" t="s">
        <v>145</v>
      </c>
      <c r="G1459" s="5">
        <v>6023000</v>
      </c>
      <c r="I1459" s="2">
        <f t="shared" si="128"/>
        <v>0</v>
      </c>
      <c r="K1459" s="2">
        <f t="shared" si="129"/>
        <v>0</v>
      </c>
      <c r="M1459" t="s">
        <v>139</v>
      </c>
      <c r="N1459" t="b">
        <f t="shared" si="130"/>
        <v>1</v>
      </c>
    </row>
    <row r="1460" spans="1:14" x14ac:dyDescent="0.15">
      <c r="A1460" t="s">
        <v>12881</v>
      </c>
      <c r="B1460" t="s">
        <v>12884</v>
      </c>
      <c r="C1460" t="s">
        <v>12935</v>
      </c>
      <c r="D1460" t="s">
        <v>15</v>
      </c>
      <c r="E1460" t="s">
        <v>12936</v>
      </c>
      <c r="F1460" s="5" t="s">
        <v>145</v>
      </c>
      <c r="G1460" s="5">
        <v>31578000</v>
      </c>
      <c r="I1460" s="2">
        <f t="shared" si="128"/>
        <v>0</v>
      </c>
      <c r="K1460" s="2">
        <f t="shared" si="129"/>
        <v>0</v>
      </c>
      <c r="M1460" t="s">
        <v>139</v>
      </c>
      <c r="N1460" t="b">
        <f t="shared" si="130"/>
        <v>1</v>
      </c>
    </row>
    <row r="1461" spans="1:14" x14ac:dyDescent="0.15">
      <c r="A1461" t="s">
        <v>12881</v>
      </c>
      <c r="B1461" t="s">
        <v>12889</v>
      </c>
      <c r="C1461" t="s">
        <v>12937</v>
      </c>
      <c r="D1461" t="s">
        <v>15</v>
      </c>
      <c r="E1461" t="s">
        <v>12938</v>
      </c>
      <c r="F1461" s="5" t="s">
        <v>145</v>
      </c>
      <c r="G1461" s="5">
        <v>3880000</v>
      </c>
      <c r="I1461" s="2">
        <f t="shared" si="128"/>
        <v>0</v>
      </c>
      <c r="K1461" s="2">
        <f t="shared" si="129"/>
        <v>0</v>
      </c>
      <c r="M1461" t="s">
        <v>139</v>
      </c>
      <c r="N1461" t="b">
        <f t="shared" si="130"/>
        <v>1</v>
      </c>
    </row>
    <row r="1462" spans="1:14" x14ac:dyDescent="0.15">
      <c r="A1462" t="s">
        <v>12881</v>
      </c>
      <c r="B1462" t="s">
        <v>12884</v>
      </c>
      <c r="C1462" t="s">
        <v>12939</v>
      </c>
      <c r="D1462" t="s">
        <v>118</v>
      </c>
      <c r="E1462" t="s">
        <v>12940</v>
      </c>
      <c r="F1462" s="5" t="s">
        <v>145</v>
      </c>
      <c r="G1462" s="5">
        <v>2505000</v>
      </c>
      <c r="H1462" s="4">
        <v>1753500</v>
      </c>
      <c r="I1462" s="2">
        <f t="shared" si="128"/>
        <v>0.7</v>
      </c>
      <c r="J1462" s="4">
        <v>2400000</v>
      </c>
      <c r="K1462" s="2">
        <f t="shared" si="129"/>
        <v>0.95808383233532934</v>
      </c>
      <c r="L1462" t="s">
        <v>12941</v>
      </c>
      <c r="M1462" t="s">
        <v>183</v>
      </c>
      <c r="N1462" t="b">
        <f t="shared" si="130"/>
        <v>1</v>
      </c>
    </row>
    <row r="1463" spans="1:14" x14ac:dyDescent="0.15">
      <c r="A1463" t="s">
        <v>12881</v>
      </c>
      <c r="B1463" t="s">
        <v>12884</v>
      </c>
      <c r="C1463" t="s">
        <v>12942</v>
      </c>
      <c r="D1463" t="s">
        <v>118</v>
      </c>
      <c r="E1463" t="s">
        <v>12943</v>
      </c>
      <c r="F1463" s="5" t="s">
        <v>145</v>
      </c>
      <c r="G1463" s="5">
        <v>27502000</v>
      </c>
      <c r="H1463" s="4">
        <v>20185824</v>
      </c>
      <c r="I1463" s="2">
        <f t="shared" si="128"/>
        <v>0.73397658352119843</v>
      </c>
      <c r="J1463" s="4">
        <v>21974000</v>
      </c>
      <c r="K1463" s="2">
        <f t="shared" si="129"/>
        <v>0.79899643662279107</v>
      </c>
      <c r="L1463" t="s">
        <v>12944</v>
      </c>
      <c r="M1463" t="s">
        <v>216</v>
      </c>
      <c r="N1463" t="b">
        <f t="shared" si="130"/>
        <v>1</v>
      </c>
    </row>
    <row r="1464" spans="1:14" x14ac:dyDescent="0.15">
      <c r="A1464" t="s">
        <v>12881</v>
      </c>
      <c r="B1464" t="s">
        <v>12884</v>
      </c>
      <c r="C1464" t="s">
        <v>12945</v>
      </c>
      <c r="D1464" t="s">
        <v>118</v>
      </c>
      <c r="E1464" t="s">
        <v>12946</v>
      </c>
      <c r="F1464" s="5" t="s">
        <v>145</v>
      </c>
      <c r="G1464" s="5">
        <v>17911000</v>
      </c>
      <c r="H1464" s="4">
        <v>14118400</v>
      </c>
      <c r="I1464" s="2">
        <f t="shared" si="128"/>
        <v>0.78825302886494331</v>
      </c>
      <c r="J1464" s="4">
        <v>17190000</v>
      </c>
      <c r="K1464" s="2">
        <f t="shared" si="129"/>
        <v>0.95974540784992468</v>
      </c>
      <c r="L1464" t="s">
        <v>12890</v>
      </c>
      <c r="M1464" t="s">
        <v>432</v>
      </c>
      <c r="N1464" t="b">
        <f t="shared" si="130"/>
        <v>1</v>
      </c>
    </row>
    <row r="1465" spans="1:14" x14ac:dyDescent="0.15">
      <c r="A1465" t="s">
        <v>12881</v>
      </c>
      <c r="B1465" t="s">
        <v>12889</v>
      </c>
      <c r="C1465" t="s">
        <v>12947</v>
      </c>
      <c r="D1465" t="s">
        <v>118</v>
      </c>
      <c r="E1465" t="s">
        <v>12948</v>
      </c>
      <c r="F1465" s="5" t="s">
        <v>145</v>
      </c>
      <c r="G1465" s="5">
        <v>8110000</v>
      </c>
      <c r="H1465" s="4">
        <v>5677000</v>
      </c>
      <c r="I1465" s="2">
        <f t="shared" si="128"/>
        <v>0.7</v>
      </c>
      <c r="J1465" s="4">
        <v>5677000</v>
      </c>
      <c r="K1465" s="2">
        <f t="shared" si="129"/>
        <v>0.7</v>
      </c>
      <c r="L1465" t="s">
        <v>12917</v>
      </c>
      <c r="M1465" t="s">
        <v>21</v>
      </c>
      <c r="N1465" t="b">
        <f t="shared" si="130"/>
        <v>1</v>
      </c>
    </row>
    <row r="1466" spans="1:14" x14ac:dyDescent="0.15">
      <c r="A1466" t="s">
        <v>12881</v>
      </c>
      <c r="B1466" t="s">
        <v>12889</v>
      </c>
      <c r="C1466" t="s">
        <v>12949</v>
      </c>
      <c r="D1466" t="s">
        <v>118</v>
      </c>
      <c r="E1466" t="s">
        <v>12950</v>
      </c>
      <c r="F1466" s="5">
        <f t="shared" ref="F1466:F1467" si="131">G1466</f>
        <v>4060000</v>
      </c>
      <c r="G1466" s="5">
        <v>4060000</v>
      </c>
      <c r="H1466" s="4">
        <v>3128000</v>
      </c>
      <c r="I1466" s="2">
        <f t="shared" si="128"/>
        <v>0.77044334975369455</v>
      </c>
      <c r="J1466" s="4">
        <v>3650000</v>
      </c>
      <c r="K1466" s="2">
        <f t="shared" si="129"/>
        <v>0.89901477832512311</v>
      </c>
      <c r="L1466" t="s">
        <v>12920</v>
      </c>
      <c r="M1466" t="s">
        <v>432</v>
      </c>
      <c r="N1466" t="b">
        <f t="shared" si="130"/>
        <v>0</v>
      </c>
    </row>
    <row r="1467" spans="1:14" x14ac:dyDescent="0.15">
      <c r="A1467" t="s">
        <v>12881</v>
      </c>
      <c r="B1467" t="s">
        <v>12889</v>
      </c>
      <c r="C1467" t="s">
        <v>12951</v>
      </c>
      <c r="D1467" t="s">
        <v>118</v>
      </c>
      <c r="E1467" t="s">
        <v>12952</v>
      </c>
      <c r="F1467" s="5">
        <f t="shared" si="131"/>
        <v>5530000</v>
      </c>
      <c r="G1467" s="5">
        <v>5530000</v>
      </c>
      <c r="H1467" s="4">
        <v>3871000</v>
      </c>
      <c r="I1467" s="2">
        <f t="shared" si="128"/>
        <v>0.7</v>
      </c>
      <c r="J1467" s="4">
        <v>3871000</v>
      </c>
      <c r="K1467" s="2">
        <f t="shared" si="129"/>
        <v>0.7</v>
      </c>
      <c r="L1467" t="s">
        <v>12953</v>
      </c>
      <c r="M1467" t="s">
        <v>432</v>
      </c>
      <c r="N1467" t="b">
        <f t="shared" si="130"/>
        <v>0</v>
      </c>
    </row>
    <row r="1468" spans="1:14" x14ac:dyDescent="0.15">
      <c r="A1468" t="s">
        <v>12881</v>
      </c>
      <c r="B1468" t="s">
        <v>12884</v>
      </c>
      <c r="C1468" t="s">
        <v>12954</v>
      </c>
      <c r="D1468" t="s">
        <v>118</v>
      </c>
      <c r="E1468" t="s">
        <v>12955</v>
      </c>
      <c r="F1468" s="5" t="s">
        <v>145</v>
      </c>
      <c r="G1468" s="5">
        <v>22004000</v>
      </c>
      <c r="H1468" s="4">
        <v>15402800</v>
      </c>
      <c r="I1468" s="2">
        <f t="shared" si="128"/>
        <v>0.7</v>
      </c>
      <c r="J1468" s="4">
        <v>15402800</v>
      </c>
      <c r="K1468" s="2">
        <f t="shared" si="129"/>
        <v>0.7</v>
      </c>
      <c r="L1468" t="s">
        <v>360</v>
      </c>
      <c r="M1468" t="s">
        <v>21</v>
      </c>
      <c r="N1468" t="b">
        <f t="shared" si="130"/>
        <v>1</v>
      </c>
    </row>
    <row r="1469" spans="1:14" x14ac:dyDescent="0.15">
      <c r="A1469" t="s">
        <v>12881</v>
      </c>
      <c r="B1469" t="s">
        <v>12884</v>
      </c>
      <c r="C1469" t="s">
        <v>12956</v>
      </c>
      <c r="D1469" t="s">
        <v>118</v>
      </c>
      <c r="E1469" t="s">
        <v>12957</v>
      </c>
      <c r="F1469" s="5" t="s">
        <v>145</v>
      </c>
      <c r="G1469" s="5">
        <v>28349000</v>
      </c>
      <c r="H1469" s="4">
        <v>19956622</v>
      </c>
      <c r="I1469" s="2">
        <f t="shared" si="128"/>
        <v>0.70396211506578721</v>
      </c>
      <c r="J1469" s="4">
        <v>21825000</v>
      </c>
      <c r="K1469" s="2">
        <f t="shared" si="129"/>
        <v>0.76986842569402802</v>
      </c>
      <c r="L1469" t="s">
        <v>12928</v>
      </c>
      <c r="M1469" t="s">
        <v>880</v>
      </c>
      <c r="N1469" t="b">
        <f t="shared" si="130"/>
        <v>1</v>
      </c>
    </row>
    <row r="1470" spans="1:14" x14ac:dyDescent="0.15">
      <c r="A1470" t="s">
        <v>12881</v>
      </c>
      <c r="B1470" t="s">
        <v>12884</v>
      </c>
      <c r="C1470" t="s">
        <v>11560</v>
      </c>
      <c r="D1470" t="s">
        <v>118</v>
      </c>
      <c r="E1470" t="s">
        <v>12958</v>
      </c>
      <c r="F1470" s="5" t="s">
        <v>145</v>
      </c>
      <c r="G1470" s="5">
        <v>25167000</v>
      </c>
      <c r="H1470" s="4">
        <v>17616900</v>
      </c>
      <c r="I1470" s="2">
        <f t="shared" si="128"/>
        <v>0.7</v>
      </c>
      <c r="J1470" s="4">
        <v>17616900</v>
      </c>
      <c r="K1470" s="2">
        <f t="shared" si="129"/>
        <v>0.7</v>
      </c>
      <c r="L1470" t="s">
        <v>4310</v>
      </c>
      <c r="M1470" t="s">
        <v>432</v>
      </c>
      <c r="N1470" t="b">
        <f t="shared" si="130"/>
        <v>1</v>
      </c>
    </row>
    <row r="1471" spans="1:14" x14ac:dyDescent="0.15">
      <c r="A1471" t="s">
        <v>12881</v>
      </c>
      <c r="B1471" t="s">
        <v>12884</v>
      </c>
      <c r="C1471" t="s">
        <v>12959</v>
      </c>
      <c r="D1471" t="s">
        <v>118</v>
      </c>
      <c r="E1471" t="s">
        <v>12960</v>
      </c>
      <c r="F1471" s="5" t="s">
        <v>145</v>
      </c>
      <c r="G1471" s="5">
        <v>4148000</v>
      </c>
      <c r="H1471" s="4">
        <v>2903600</v>
      </c>
      <c r="I1471" s="2">
        <f t="shared" si="128"/>
        <v>0.7</v>
      </c>
      <c r="J1471" s="4">
        <v>2903600</v>
      </c>
      <c r="K1471" s="2">
        <f t="shared" si="129"/>
        <v>0.7</v>
      </c>
      <c r="L1471" t="s">
        <v>12961</v>
      </c>
      <c r="M1471" t="s">
        <v>174</v>
      </c>
      <c r="N1471" t="b">
        <f t="shared" si="130"/>
        <v>1</v>
      </c>
    </row>
    <row r="1472" spans="1:14" x14ac:dyDescent="0.15">
      <c r="A1472" t="s">
        <v>12881</v>
      </c>
      <c r="B1472" t="s">
        <v>12884</v>
      </c>
      <c r="C1472" t="s">
        <v>12962</v>
      </c>
      <c r="D1472" t="s">
        <v>118</v>
      </c>
      <c r="E1472" t="s">
        <v>12963</v>
      </c>
      <c r="F1472" s="5" t="s">
        <v>145</v>
      </c>
      <c r="G1472" s="5">
        <v>25695000</v>
      </c>
      <c r="H1472" s="4">
        <v>17986500</v>
      </c>
      <c r="I1472" s="2">
        <f t="shared" si="128"/>
        <v>0.7</v>
      </c>
      <c r="J1472" s="4">
        <v>17986500</v>
      </c>
      <c r="K1472" s="2">
        <f t="shared" si="129"/>
        <v>0.7</v>
      </c>
      <c r="L1472" t="s">
        <v>12964</v>
      </c>
      <c r="M1472" t="s">
        <v>192</v>
      </c>
      <c r="N1472" t="b">
        <f t="shared" si="130"/>
        <v>1</v>
      </c>
    </row>
    <row r="1473" spans="1:14" x14ac:dyDescent="0.15">
      <c r="A1473" t="s">
        <v>12881</v>
      </c>
      <c r="B1473" t="s">
        <v>12889</v>
      </c>
      <c r="C1473" t="s">
        <v>12965</v>
      </c>
      <c r="D1473" t="s">
        <v>118</v>
      </c>
      <c r="E1473" t="s">
        <v>12966</v>
      </c>
      <c r="F1473" s="5" t="s">
        <v>145</v>
      </c>
      <c r="G1473" s="5">
        <v>12790000</v>
      </c>
      <c r="H1473" s="4">
        <v>8953000</v>
      </c>
      <c r="I1473" s="2">
        <f t="shared" si="128"/>
        <v>0.7</v>
      </c>
      <c r="J1473" s="4">
        <v>12000000</v>
      </c>
      <c r="K1473" s="2">
        <f t="shared" si="129"/>
        <v>0.93823299452697417</v>
      </c>
      <c r="L1473" t="s">
        <v>12920</v>
      </c>
      <c r="M1473" t="s">
        <v>183</v>
      </c>
      <c r="N1473" t="b">
        <f t="shared" si="130"/>
        <v>1</v>
      </c>
    </row>
    <row r="1474" spans="1:14" x14ac:dyDescent="0.15">
      <c r="A1474" t="s">
        <v>12881</v>
      </c>
      <c r="B1474" t="s">
        <v>12884</v>
      </c>
      <c r="C1474" t="s">
        <v>12967</v>
      </c>
      <c r="D1474" t="s">
        <v>118</v>
      </c>
      <c r="E1474" t="s">
        <v>12968</v>
      </c>
      <c r="F1474" s="5" t="s">
        <v>145</v>
      </c>
      <c r="G1474" s="5">
        <v>3906000</v>
      </c>
      <c r="H1474" s="4">
        <v>2734200</v>
      </c>
      <c r="I1474" s="2">
        <f t="shared" si="128"/>
        <v>0.7</v>
      </c>
      <c r="J1474" s="4">
        <v>2734200</v>
      </c>
      <c r="K1474" s="2">
        <f t="shared" si="129"/>
        <v>0.7</v>
      </c>
      <c r="L1474" t="s">
        <v>12941</v>
      </c>
      <c r="M1474" t="s">
        <v>432</v>
      </c>
      <c r="N1474" t="b">
        <f t="shared" si="130"/>
        <v>1</v>
      </c>
    </row>
    <row r="1475" spans="1:14" x14ac:dyDescent="0.15">
      <c r="A1475" t="s">
        <v>12881</v>
      </c>
      <c r="B1475" t="s">
        <v>12884</v>
      </c>
      <c r="C1475" t="s">
        <v>12969</v>
      </c>
      <c r="D1475" t="s">
        <v>118</v>
      </c>
      <c r="E1475" t="s">
        <v>12970</v>
      </c>
      <c r="F1475" s="5" t="s">
        <v>145</v>
      </c>
      <c r="G1475" s="5">
        <v>35340000</v>
      </c>
      <c r="H1475" s="4">
        <v>24738000</v>
      </c>
      <c r="I1475" s="2">
        <f t="shared" si="128"/>
        <v>0.7</v>
      </c>
      <c r="J1475" s="4">
        <v>24738000</v>
      </c>
      <c r="K1475" s="2">
        <f t="shared" si="129"/>
        <v>0.7</v>
      </c>
      <c r="L1475" t="s">
        <v>12964</v>
      </c>
      <c r="M1475" t="s">
        <v>216</v>
      </c>
      <c r="N1475" t="b">
        <f t="shared" si="130"/>
        <v>1</v>
      </c>
    </row>
    <row r="1476" spans="1:14" x14ac:dyDescent="0.15">
      <c r="A1476" t="s">
        <v>12881</v>
      </c>
      <c r="B1476" t="s">
        <v>12884</v>
      </c>
      <c r="C1476" t="s">
        <v>12971</v>
      </c>
      <c r="D1476" t="s">
        <v>118</v>
      </c>
      <c r="E1476" t="s">
        <v>12972</v>
      </c>
      <c r="F1476" s="5" t="s">
        <v>145</v>
      </c>
      <c r="G1476" s="5">
        <v>15212000</v>
      </c>
      <c r="H1476" s="4">
        <v>10648400</v>
      </c>
      <c r="I1476" s="2">
        <f t="shared" ref="I1476:I1539" si="132">H1476/G1476</f>
        <v>0.7</v>
      </c>
      <c r="J1476" s="4">
        <v>10648400</v>
      </c>
      <c r="K1476" s="2">
        <f t="shared" ref="K1476:K1539" si="133">J1476/G1476</f>
        <v>0.7</v>
      </c>
      <c r="L1476" t="s">
        <v>12901</v>
      </c>
      <c r="M1476" t="s">
        <v>126</v>
      </c>
      <c r="N1476" t="b">
        <f t="shared" ref="N1476:N1539" si="134">F1476&lt;&gt;G1476</f>
        <v>1</v>
      </c>
    </row>
    <row r="1477" spans="1:14" x14ac:dyDescent="0.15">
      <c r="A1477" t="s">
        <v>12881</v>
      </c>
      <c r="B1477" t="s">
        <v>12884</v>
      </c>
      <c r="C1477" t="s">
        <v>12973</v>
      </c>
      <c r="D1477" t="s">
        <v>118</v>
      </c>
      <c r="E1477" t="s">
        <v>12974</v>
      </c>
      <c r="F1477" s="5" t="s">
        <v>145</v>
      </c>
      <c r="G1477" s="5">
        <v>15966000</v>
      </c>
      <c r="H1477" s="4">
        <v>11176200</v>
      </c>
      <c r="I1477" s="2">
        <f t="shared" si="132"/>
        <v>0.7</v>
      </c>
      <c r="J1477" s="4">
        <v>11176200</v>
      </c>
      <c r="K1477" s="2">
        <f t="shared" si="133"/>
        <v>0.7</v>
      </c>
      <c r="L1477" t="s">
        <v>12928</v>
      </c>
      <c r="M1477" t="s">
        <v>126</v>
      </c>
      <c r="N1477" t="b">
        <f t="shared" si="134"/>
        <v>1</v>
      </c>
    </row>
    <row r="1478" spans="1:14" x14ac:dyDescent="0.15">
      <c r="A1478" t="s">
        <v>12881</v>
      </c>
      <c r="B1478" t="s">
        <v>12889</v>
      </c>
      <c r="C1478" t="s">
        <v>12975</v>
      </c>
      <c r="D1478" t="s">
        <v>118</v>
      </c>
      <c r="E1478" t="s">
        <v>12976</v>
      </c>
      <c r="F1478" s="5" t="s">
        <v>145</v>
      </c>
      <c r="G1478" s="5">
        <v>6900000</v>
      </c>
      <c r="H1478" s="4">
        <v>5474286</v>
      </c>
      <c r="I1478" s="2">
        <f t="shared" si="132"/>
        <v>0.79337478260869565</v>
      </c>
      <c r="J1478" s="4">
        <v>6700000</v>
      </c>
      <c r="K1478" s="2">
        <f t="shared" si="133"/>
        <v>0.97101449275362317</v>
      </c>
      <c r="L1478" t="s">
        <v>12908</v>
      </c>
      <c r="M1478" t="s">
        <v>174</v>
      </c>
      <c r="N1478" t="b">
        <f t="shared" si="134"/>
        <v>1</v>
      </c>
    </row>
    <row r="1479" spans="1:14" x14ac:dyDescent="0.15">
      <c r="A1479" t="s">
        <v>12881</v>
      </c>
      <c r="B1479" t="s">
        <v>12884</v>
      </c>
      <c r="C1479" t="s">
        <v>12977</v>
      </c>
      <c r="D1479" t="s">
        <v>118</v>
      </c>
      <c r="E1479" t="s">
        <v>12978</v>
      </c>
      <c r="F1479" s="5" t="s">
        <v>145</v>
      </c>
      <c r="G1479" s="5">
        <v>19982000</v>
      </c>
      <c r="H1479" s="4">
        <v>13987400</v>
      </c>
      <c r="I1479" s="2">
        <f t="shared" si="132"/>
        <v>0.7</v>
      </c>
      <c r="J1479" s="4">
        <v>17900000</v>
      </c>
      <c r="K1479" s="2">
        <f t="shared" si="133"/>
        <v>0.89580622560304279</v>
      </c>
      <c r="L1479" t="s">
        <v>2332</v>
      </c>
      <c r="M1479" t="s">
        <v>432</v>
      </c>
      <c r="N1479" t="b">
        <f t="shared" si="134"/>
        <v>1</v>
      </c>
    </row>
    <row r="1480" spans="1:14" x14ac:dyDescent="0.15">
      <c r="A1480" t="s">
        <v>12979</v>
      </c>
      <c r="B1480" t="s">
        <v>12982</v>
      </c>
      <c r="C1480" t="s">
        <v>12980</v>
      </c>
      <c r="D1480" t="s">
        <v>23</v>
      </c>
      <c r="E1480" t="s">
        <v>12981</v>
      </c>
      <c r="F1480" s="5">
        <v>2085000</v>
      </c>
      <c r="G1480" s="5">
        <v>2085000</v>
      </c>
      <c r="I1480" s="2">
        <f t="shared" si="132"/>
        <v>0</v>
      </c>
      <c r="J1480" s="4">
        <v>2000000</v>
      </c>
      <c r="K1480" s="2">
        <f t="shared" si="133"/>
        <v>0.95923261390887293</v>
      </c>
      <c r="L1480" t="s">
        <v>12983</v>
      </c>
      <c r="M1480" t="s">
        <v>432</v>
      </c>
      <c r="N1480" t="b">
        <f t="shared" si="134"/>
        <v>0</v>
      </c>
    </row>
    <row r="1481" spans="1:14" x14ac:dyDescent="0.15">
      <c r="A1481" t="s">
        <v>12979</v>
      </c>
      <c r="B1481" t="s">
        <v>12982</v>
      </c>
      <c r="C1481" t="s">
        <v>12984</v>
      </c>
      <c r="D1481" t="s">
        <v>23</v>
      </c>
      <c r="E1481" t="s">
        <v>12985</v>
      </c>
      <c r="F1481" s="5">
        <v>1500000</v>
      </c>
      <c r="G1481" s="5">
        <v>1500000</v>
      </c>
      <c r="I1481" s="2">
        <f t="shared" si="132"/>
        <v>0</v>
      </c>
      <c r="J1481" s="4">
        <v>1350000</v>
      </c>
      <c r="K1481" s="2">
        <f t="shared" si="133"/>
        <v>0.9</v>
      </c>
      <c r="L1481" t="s">
        <v>819</v>
      </c>
      <c r="M1481" t="s">
        <v>1015</v>
      </c>
      <c r="N1481" t="b">
        <f t="shared" si="134"/>
        <v>0</v>
      </c>
    </row>
    <row r="1482" spans="1:14" x14ac:dyDescent="0.15">
      <c r="A1482" t="s">
        <v>12979</v>
      </c>
      <c r="B1482" t="s">
        <v>12982</v>
      </c>
      <c r="C1482" t="s">
        <v>12986</v>
      </c>
      <c r="D1482" t="s">
        <v>23</v>
      </c>
      <c r="E1482" t="s">
        <v>12987</v>
      </c>
      <c r="F1482" s="5">
        <v>2300000</v>
      </c>
      <c r="G1482" s="5">
        <v>2300000</v>
      </c>
      <c r="I1482" s="2">
        <f t="shared" si="132"/>
        <v>0</v>
      </c>
      <c r="J1482" s="4">
        <v>2284000</v>
      </c>
      <c r="K1482" s="2">
        <f t="shared" si="133"/>
        <v>0.99304347826086958</v>
      </c>
      <c r="L1482" t="s">
        <v>12988</v>
      </c>
      <c r="M1482" t="s">
        <v>1015</v>
      </c>
      <c r="N1482" t="b">
        <f t="shared" si="134"/>
        <v>0</v>
      </c>
    </row>
    <row r="1483" spans="1:14" x14ac:dyDescent="0.15">
      <c r="A1483" t="s">
        <v>12979</v>
      </c>
      <c r="B1483" t="s">
        <v>12982</v>
      </c>
      <c r="C1483" t="s">
        <v>12989</v>
      </c>
      <c r="D1483" t="s">
        <v>23</v>
      </c>
      <c r="E1483" t="s">
        <v>12990</v>
      </c>
      <c r="F1483" s="5">
        <v>2350000</v>
      </c>
      <c r="G1483" s="5">
        <v>2350000</v>
      </c>
      <c r="I1483" s="2">
        <f t="shared" si="132"/>
        <v>0</v>
      </c>
      <c r="J1483" s="4">
        <v>2200000</v>
      </c>
      <c r="K1483" s="2">
        <f t="shared" si="133"/>
        <v>0.93617021276595747</v>
      </c>
      <c r="L1483" t="s">
        <v>3486</v>
      </c>
      <c r="M1483" t="s">
        <v>1015</v>
      </c>
      <c r="N1483" t="b">
        <f t="shared" si="134"/>
        <v>0</v>
      </c>
    </row>
    <row r="1484" spans="1:14" x14ac:dyDescent="0.15">
      <c r="A1484" t="s">
        <v>12979</v>
      </c>
      <c r="B1484" t="s">
        <v>12982</v>
      </c>
      <c r="C1484" t="s">
        <v>12991</v>
      </c>
      <c r="D1484" t="s">
        <v>23</v>
      </c>
      <c r="E1484" t="s">
        <v>12992</v>
      </c>
      <c r="F1484" s="5">
        <v>7920000</v>
      </c>
      <c r="G1484" s="5">
        <v>7920000</v>
      </c>
      <c r="I1484" s="2">
        <f t="shared" si="132"/>
        <v>0</v>
      </c>
      <c r="J1484" s="4">
        <v>7250000</v>
      </c>
      <c r="K1484" s="2">
        <f t="shared" si="133"/>
        <v>0.91540404040404044</v>
      </c>
      <c r="L1484" t="s">
        <v>12561</v>
      </c>
      <c r="M1484" t="s">
        <v>432</v>
      </c>
      <c r="N1484" t="b">
        <f t="shared" si="134"/>
        <v>0</v>
      </c>
    </row>
    <row r="1485" spans="1:14" x14ac:dyDescent="0.15">
      <c r="A1485" t="s">
        <v>12979</v>
      </c>
      <c r="B1485" t="s">
        <v>12995</v>
      </c>
      <c r="C1485" t="s">
        <v>12993</v>
      </c>
      <c r="D1485" t="s">
        <v>23</v>
      </c>
      <c r="E1485" t="s">
        <v>12994</v>
      </c>
      <c r="F1485" s="5">
        <v>4374000</v>
      </c>
      <c r="G1485" s="5">
        <v>4374000</v>
      </c>
      <c r="I1485" s="2">
        <f t="shared" si="132"/>
        <v>0</v>
      </c>
      <c r="J1485" s="4">
        <v>2400000</v>
      </c>
      <c r="K1485" s="2">
        <f t="shared" si="133"/>
        <v>0.54869684499314131</v>
      </c>
      <c r="L1485" t="s">
        <v>1946</v>
      </c>
      <c r="M1485" t="s">
        <v>1015</v>
      </c>
      <c r="N1485" t="b">
        <f t="shared" si="134"/>
        <v>0</v>
      </c>
    </row>
    <row r="1486" spans="1:14" x14ac:dyDescent="0.15">
      <c r="A1486" t="s">
        <v>12979</v>
      </c>
      <c r="B1486" t="s">
        <v>12982</v>
      </c>
      <c r="C1486" t="s">
        <v>12996</v>
      </c>
      <c r="D1486" t="s">
        <v>23</v>
      </c>
      <c r="E1486" t="s">
        <v>12997</v>
      </c>
      <c r="F1486" s="5">
        <v>2219000</v>
      </c>
      <c r="G1486" s="5">
        <v>2219000</v>
      </c>
      <c r="I1486" s="2">
        <f t="shared" si="132"/>
        <v>0</v>
      </c>
      <c r="J1486" s="4">
        <v>1450000</v>
      </c>
      <c r="K1486" s="2">
        <f t="shared" si="133"/>
        <v>0.65344749887336639</v>
      </c>
      <c r="L1486" t="s">
        <v>12998</v>
      </c>
      <c r="M1486" t="s">
        <v>1015</v>
      </c>
      <c r="N1486" t="b">
        <f t="shared" si="134"/>
        <v>0</v>
      </c>
    </row>
    <row r="1487" spans="1:14" x14ac:dyDescent="0.15">
      <c r="A1487" t="s">
        <v>12979</v>
      </c>
      <c r="B1487" t="s">
        <v>12982</v>
      </c>
      <c r="C1487" t="s">
        <v>12999</v>
      </c>
      <c r="D1487" t="s">
        <v>23</v>
      </c>
      <c r="E1487" t="s">
        <v>13000</v>
      </c>
      <c r="F1487" s="5">
        <v>2967000</v>
      </c>
      <c r="G1487" s="5">
        <v>2967000</v>
      </c>
      <c r="I1487" s="2">
        <f t="shared" si="132"/>
        <v>0</v>
      </c>
      <c r="J1487" s="4">
        <v>2900000</v>
      </c>
      <c r="K1487" s="2">
        <f t="shared" si="133"/>
        <v>0.97741826761038086</v>
      </c>
      <c r="L1487" t="s">
        <v>13001</v>
      </c>
      <c r="M1487" t="s">
        <v>432</v>
      </c>
      <c r="N1487" t="b">
        <f t="shared" si="134"/>
        <v>0</v>
      </c>
    </row>
    <row r="1488" spans="1:14" x14ac:dyDescent="0.15">
      <c r="A1488" t="s">
        <v>12979</v>
      </c>
      <c r="B1488" t="s">
        <v>12982</v>
      </c>
      <c r="C1488" t="s">
        <v>13002</v>
      </c>
      <c r="D1488" t="s">
        <v>23</v>
      </c>
      <c r="E1488" t="s">
        <v>13003</v>
      </c>
      <c r="F1488" s="5">
        <v>1033000</v>
      </c>
      <c r="G1488" s="5">
        <v>1033000</v>
      </c>
      <c r="I1488" s="2">
        <f t="shared" si="132"/>
        <v>0</v>
      </c>
      <c r="J1488" s="4">
        <v>1000000</v>
      </c>
      <c r="K1488" s="2">
        <f t="shared" si="133"/>
        <v>0.96805421103581801</v>
      </c>
      <c r="L1488" t="s">
        <v>12988</v>
      </c>
      <c r="M1488" t="s">
        <v>1015</v>
      </c>
      <c r="N1488" t="b">
        <f t="shared" si="134"/>
        <v>0</v>
      </c>
    </row>
    <row r="1489" spans="1:14" x14ac:dyDescent="0.15">
      <c r="A1489" t="s">
        <v>12979</v>
      </c>
      <c r="B1489" t="s">
        <v>12995</v>
      </c>
      <c r="C1489" t="s">
        <v>13004</v>
      </c>
      <c r="D1489" t="s">
        <v>23</v>
      </c>
      <c r="E1489" t="s">
        <v>13005</v>
      </c>
      <c r="F1489" s="5">
        <v>4525000</v>
      </c>
      <c r="G1489" s="5">
        <v>4525000</v>
      </c>
      <c r="I1489" s="2">
        <f t="shared" si="132"/>
        <v>0</v>
      </c>
      <c r="J1489" s="4">
        <v>4300000</v>
      </c>
      <c r="K1489" s="2">
        <f t="shared" si="133"/>
        <v>0.95027624309392267</v>
      </c>
      <c r="L1489" t="s">
        <v>13001</v>
      </c>
      <c r="M1489" t="s">
        <v>432</v>
      </c>
      <c r="N1489" t="b">
        <f t="shared" si="134"/>
        <v>0</v>
      </c>
    </row>
    <row r="1490" spans="1:14" x14ac:dyDescent="0.15">
      <c r="A1490" t="s">
        <v>12979</v>
      </c>
      <c r="B1490" t="s">
        <v>12995</v>
      </c>
      <c r="C1490" t="s">
        <v>13006</v>
      </c>
      <c r="D1490" t="s">
        <v>23</v>
      </c>
      <c r="E1490" t="s">
        <v>13007</v>
      </c>
      <c r="F1490" s="5">
        <v>4061000</v>
      </c>
      <c r="G1490" s="5">
        <v>4061000</v>
      </c>
      <c r="I1490" s="2">
        <f t="shared" si="132"/>
        <v>0</v>
      </c>
      <c r="J1490" s="4">
        <v>3680000</v>
      </c>
      <c r="K1490" s="2">
        <f t="shared" si="133"/>
        <v>0.90618074365919721</v>
      </c>
      <c r="L1490" t="s">
        <v>125</v>
      </c>
      <c r="M1490" t="s">
        <v>432</v>
      </c>
      <c r="N1490" t="b">
        <f t="shared" si="134"/>
        <v>0</v>
      </c>
    </row>
    <row r="1491" spans="1:14" x14ac:dyDescent="0.15">
      <c r="A1491" t="s">
        <v>12979</v>
      </c>
      <c r="B1491" t="s">
        <v>12995</v>
      </c>
      <c r="C1491" t="s">
        <v>13008</v>
      </c>
      <c r="D1491" t="s">
        <v>118</v>
      </c>
      <c r="E1491" t="s">
        <v>13009</v>
      </c>
      <c r="F1491" s="5">
        <v>17990000</v>
      </c>
      <c r="G1491" s="5">
        <v>17990000</v>
      </c>
      <c r="H1491" s="4">
        <v>14448000</v>
      </c>
      <c r="I1491" s="2">
        <f t="shared" si="132"/>
        <v>0.8031128404669261</v>
      </c>
      <c r="J1491" s="4">
        <v>14800000</v>
      </c>
      <c r="K1491" s="2">
        <f t="shared" si="133"/>
        <v>0.82267926625903276</v>
      </c>
      <c r="L1491" t="s">
        <v>540</v>
      </c>
      <c r="M1491" t="s">
        <v>21</v>
      </c>
      <c r="N1491" t="b">
        <f t="shared" si="134"/>
        <v>0</v>
      </c>
    </row>
    <row r="1492" spans="1:14" x14ac:dyDescent="0.15">
      <c r="A1492" t="s">
        <v>12979</v>
      </c>
      <c r="B1492" t="s">
        <v>12995</v>
      </c>
      <c r="C1492" t="s">
        <v>13010</v>
      </c>
      <c r="D1492" t="s">
        <v>118</v>
      </c>
      <c r="E1492" t="s">
        <v>13011</v>
      </c>
      <c r="F1492" s="5">
        <v>12627000</v>
      </c>
      <c r="G1492" s="5">
        <v>12627000</v>
      </c>
      <c r="H1492" s="4">
        <v>10133000</v>
      </c>
      <c r="I1492" s="2">
        <f t="shared" si="132"/>
        <v>0.80248673477468913</v>
      </c>
      <c r="J1492" s="4">
        <v>10133000</v>
      </c>
      <c r="K1492" s="2">
        <f t="shared" si="133"/>
        <v>0.80248673477468913</v>
      </c>
      <c r="L1492" t="s">
        <v>1541</v>
      </c>
      <c r="M1492" t="s">
        <v>216</v>
      </c>
      <c r="N1492" t="b">
        <f t="shared" si="134"/>
        <v>0</v>
      </c>
    </row>
    <row r="1493" spans="1:14" x14ac:dyDescent="0.15">
      <c r="A1493" t="s">
        <v>12979</v>
      </c>
      <c r="B1493" t="s">
        <v>12995</v>
      </c>
      <c r="C1493" t="s">
        <v>13012</v>
      </c>
      <c r="D1493" t="s">
        <v>118</v>
      </c>
      <c r="E1493" t="s">
        <v>13013</v>
      </c>
      <c r="F1493" s="5">
        <v>77941000</v>
      </c>
      <c r="G1493" s="5">
        <v>77941000</v>
      </c>
      <c r="H1493" s="4">
        <v>62561000</v>
      </c>
      <c r="I1493" s="2">
        <f t="shared" si="132"/>
        <v>0.80267125133113504</v>
      </c>
      <c r="J1493" s="4">
        <v>69500000</v>
      </c>
      <c r="K1493" s="2">
        <f t="shared" si="133"/>
        <v>0.89170013215124255</v>
      </c>
      <c r="L1493" t="s">
        <v>1458</v>
      </c>
      <c r="M1493" t="s">
        <v>139</v>
      </c>
      <c r="N1493" t="b">
        <f t="shared" si="134"/>
        <v>0</v>
      </c>
    </row>
    <row r="1494" spans="1:14" x14ac:dyDescent="0.15">
      <c r="A1494" t="s">
        <v>12979</v>
      </c>
      <c r="B1494" t="s">
        <v>12995</v>
      </c>
      <c r="C1494" t="s">
        <v>13014</v>
      </c>
      <c r="D1494" t="s">
        <v>118</v>
      </c>
      <c r="E1494" t="s">
        <v>13015</v>
      </c>
      <c r="F1494" s="5">
        <v>8302000</v>
      </c>
      <c r="G1494" s="5">
        <v>8302000</v>
      </c>
      <c r="H1494" s="4">
        <v>6666000</v>
      </c>
      <c r="I1494" s="2">
        <f t="shared" si="132"/>
        <v>0.80293905083112505</v>
      </c>
      <c r="J1494" s="4">
        <v>6666000</v>
      </c>
      <c r="K1494" s="2">
        <f t="shared" si="133"/>
        <v>0.80293905083112505</v>
      </c>
      <c r="L1494" t="s">
        <v>1195</v>
      </c>
      <c r="M1494" t="s">
        <v>183</v>
      </c>
      <c r="N1494" t="b">
        <f t="shared" si="134"/>
        <v>0</v>
      </c>
    </row>
    <row r="1495" spans="1:14" x14ac:dyDescent="0.15">
      <c r="A1495" t="s">
        <v>12979</v>
      </c>
      <c r="B1495" t="s">
        <v>12995</v>
      </c>
      <c r="C1495" t="s">
        <v>13016</v>
      </c>
      <c r="D1495" t="s">
        <v>118</v>
      </c>
      <c r="E1495" t="s">
        <v>13017</v>
      </c>
      <c r="F1495" s="5">
        <v>18741000</v>
      </c>
      <c r="G1495" s="5">
        <v>18741000</v>
      </c>
      <c r="H1495" s="4">
        <v>15034000</v>
      </c>
      <c r="I1495" s="2">
        <f t="shared" si="132"/>
        <v>0.80219838855984205</v>
      </c>
      <c r="J1495" s="4">
        <v>18500000</v>
      </c>
      <c r="K1495" s="2">
        <f t="shared" si="133"/>
        <v>0.98714049410383653</v>
      </c>
      <c r="L1495" t="s">
        <v>1384</v>
      </c>
      <c r="M1495" t="s">
        <v>183</v>
      </c>
      <c r="N1495" t="b">
        <f t="shared" si="134"/>
        <v>0</v>
      </c>
    </row>
    <row r="1496" spans="1:14" x14ac:dyDescent="0.15">
      <c r="A1496" t="s">
        <v>12979</v>
      </c>
      <c r="B1496" t="s">
        <v>12995</v>
      </c>
      <c r="C1496" t="s">
        <v>13018</v>
      </c>
      <c r="D1496" t="s">
        <v>118</v>
      </c>
      <c r="E1496" t="s">
        <v>13019</v>
      </c>
      <c r="F1496" s="5">
        <v>34679000</v>
      </c>
      <c r="G1496" s="5">
        <v>34679000</v>
      </c>
      <c r="H1496" s="4">
        <v>28158000</v>
      </c>
      <c r="I1496" s="2">
        <f t="shared" si="132"/>
        <v>0.81196112921364516</v>
      </c>
      <c r="J1496" s="4">
        <v>28168000</v>
      </c>
      <c r="K1496" s="2">
        <f t="shared" si="133"/>
        <v>0.81224948816286513</v>
      </c>
      <c r="L1496" t="s">
        <v>1384</v>
      </c>
      <c r="M1496" t="s">
        <v>216</v>
      </c>
      <c r="N1496" t="b">
        <f t="shared" si="134"/>
        <v>0</v>
      </c>
    </row>
    <row r="1497" spans="1:14" x14ac:dyDescent="0.15">
      <c r="A1497" t="s">
        <v>12979</v>
      </c>
      <c r="B1497" t="s">
        <v>12995</v>
      </c>
      <c r="C1497" t="s">
        <v>13020</v>
      </c>
      <c r="D1497" t="s">
        <v>118</v>
      </c>
      <c r="E1497" t="s">
        <v>13021</v>
      </c>
      <c r="F1497" s="5">
        <v>4920000</v>
      </c>
      <c r="G1497" s="5">
        <v>4920000</v>
      </c>
      <c r="H1497" s="4">
        <v>3957000</v>
      </c>
      <c r="I1497" s="2">
        <f t="shared" si="132"/>
        <v>0.80426829268292688</v>
      </c>
      <c r="K1497" s="2">
        <f t="shared" si="133"/>
        <v>0</v>
      </c>
      <c r="M1497" t="s">
        <v>183</v>
      </c>
      <c r="N1497" t="b">
        <f t="shared" si="134"/>
        <v>0</v>
      </c>
    </row>
    <row r="1498" spans="1:14" x14ac:dyDescent="0.15">
      <c r="A1498" t="s">
        <v>12979</v>
      </c>
      <c r="B1498" t="s">
        <v>12995</v>
      </c>
      <c r="C1498" t="s">
        <v>13022</v>
      </c>
      <c r="D1498" t="s">
        <v>118</v>
      </c>
      <c r="E1498" t="s">
        <v>13023</v>
      </c>
      <c r="F1498" s="5">
        <v>19288000</v>
      </c>
      <c r="G1498" s="5">
        <v>19288000</v>
      </c>
      <c r="H1498" s="4">
        <v>15473000</v>
      </c>
      <c r="I1498" s="2">
        <f t="shared" si="132"/>
        <v>0.80220862712567398</v>
      </c>
      <c r="J1498" s="4">
        <v>19215000</v>
      </c>
      <c r="K1498" s="2">
        <f t="shared" si="133"/>
        <v>0.99621526337619248</v>
      </c>
      <c r="L1498" t="s">
        <v>1384</v>
      </c>
      <c r="M1498" t="s">
        <v>21</v>
      </c>
      <c r="N1498" t="b">
        <f t="shared" si="134"/>
        <v>0</v>
      </c>
    </row>
    <row r="1499" spans="1:14" x14ac:dyDescent="0.15">
      <c r="A1499" t="s">
        <v>12979</v>
      </c>
      <c r="B1499" t="s">
        <v>12982</v>
      </c>
      <c r="C1499" t="s">
        <v>13024</v>
      </c>
      <c r="D1499" t="s">
        <v>23</v>
      </c>
      <c r="E1499" t="s">
        <v>13025</v>
      </c>
      <c r="F1499" s="5">
        <v>3048000</v>
      </c>
      <c r="G1499" s="5">
        <v>3048000</v>
      </c>
      <c r="I1499" s="2">
        <f t="shared" si="132"/>
        <v>0</v>
      </c>
      <c r="J1499" s="4">
        <v>2950000</v>
      </c>
      <c r="K1499" s="2">
        <f t="shared" si="133"/>
        <v>0.96784776902887137</v>
      </c>
      <c r="L1499" t="s">
        <v>13001</v>
      </c>
      <c r="M1499" t="s">
        <v>432</v>
      </c>
      <c r="N1499" t="b">
        <f t="shared" si="134"/>
        <v>0</v>
      </c>
    </row>
    <row r="1500" spans="1:14" x14ac:dyDescent="0.15">
      <c r="A1500" t="s">
        <v>12979</v>
      </c>
      <c r="B1500" t="s">
        <v>12995</v>
      </c>
      <c r="C1500" t="s">
        <v>13026</v>
      </c>
      <c r="D1500" t="s">
        <v>118</v>
      </c>
      <c r="E1500" t="s">
        <v>13027</v>
      </c>
      <c r="F1500" s="5">
        <v>27080000</v>
      </c>
      <c r="G1500" s="5">
        <v>27080000</v>
      </c>
      <c r="H1500" s="4">
        <v>21743000</v>
      </c>
      <c r="I1500" s="2">
        <f t="shared" si="132"/>
        <v>0.80291728212703106</v>
      </c>
      <c r="J1500" s="4">
        <v>25140000</v>
      </c>
      <c r="K1500" s="2">
        <f t="shared" si="133"/>
        <v>0.92836041358936483</v>
      </c>
      <c r="L1500" t="s">
        <v>1262</v>
      </c>
      <c r="M1500" t="s">
        <v>1015</v>
      </c>
      <c r="N1500" t="b">
        <f t="shared" si="134"/>
        <v>0</v>
      </c>
    </row>
    <row r="1501" spans="1:14" x14ac:dyDescent="0.15">
      <c r="A1501" t="s">
        <v>12979</v>
      </c>
      <c r="B1501" t="s">
        <v>12982</v>
      </c>
      <c r="C1501" t="s">
        <v>13028</v>
      </c>
      <c r="D1501" t="s">
        <v>118</v>
      </c>
      <c r="E1501" t="s">
        <v>13029</v>
      </c>
      <c r="F1501" s="5">
        <v>12274000</v>
      </c>
      <c r="G1501" s="5">
        <v>12274000</v>
      </c>
      <c r="H1501" s="4">
        <v>9851000</v>
      </c>
      <c r="I1501" s="2">
        <f t="shared" si="132"/>
        <v>0.8025908424311553</v>
      </c>
      <c r="J1501" s="4">
        <v>11370000</v>
      </c>
      <c r="K1501" s="2">
        <f t="shared" si="133"/>
        <v>0.92634837868665476</v>
      </c>
      <c r="L1501" t="s">
        <v>2375</v>
      </c>
      <c r="M1501" t="s">
        <v>183</v>
      </c>
      <c r="N1501" t="b">
        <f t="shared" si="134"/>
        <v>0</v>
      </c>
    </row>
    <row r="1502" spans="1:14" x14ac:dyDescent="0.15">
      <c r="A1502" t="s">
        <v>12979</v>
      </c>
      <c r="B1502" t="s">
        <v>12982</v>
      </c>
      <c r="C1502" t="s">
        <v>13030</v>
      </c>
      <c r="D1502" t="s">
        <v>118</v>
      </c>
      <c r="E1502" t="s">
        <v>13031</v>
      </c>
      <c r="F1502" s="5">
        <v>21205000</v>
      </c>
      <c r="G1502" s="5">
        <v>21205000</v>
      </c>
      <c r="H1502" s="4">
        <v>16829000</v>
      </c>
      <c r="I1502" s="2">
        <f t="shared" si="132"/>
        <v>0.79363357698655979</v>
      </c>
      <c r="J1502" s="4">
        <v>20070000</v>
      </c>
      <c r="K1502" s="2">
        <f t="shared" si="133"/>
        <v>0.94647488799811363</v>
      </c>
      <c r="L1502" t="s">
        <v>5186</v>
      </c>
      <c r="M1502" t="s">
        <v>1015</v>
      </c>
      <c r="N1502" t="b">
        <f t="shared" si="134"/>
        <v>0</v>
      </c>
    </row>
    <row r="1503" spans="1:14" x14ac:dyDescent="0.15">
      <c r="A1503" t="s">
        <v>12979</v>
      </c>
      <c r="B1503" t="s">
        <v>12982</v>
      </c>
      <c r="C1503" t="s">
        <v>13032</v>
      </c>
      <c r="D1503" t="s">
        <v>118</v>
      </c>
      <c r="E1503" t="s">
        <v>13033</v>
      </c>
      <c r="F1503" s="5">
        <v>13033000</v>
      </c>
      <c r="G1503" s="5">
        <v>13033000</v>
      </c>
      <c r="H1503" s="4">
        <v>10469000</v>
      </c>
      <c r="I1503" s="2">
        <f t="shared" si="132"/>
        <v>0.80326862579605618</v>
      </c>
      <c r="J1503" s="4">
        <v>12000000</v>
      </c>
      <c r="K1503" s="2">
        <f t="shared" si="133"/>
        <v>0.92073966086089154</v>
      </c>
      <c r="L1503" t="s">
        <v>12983</v>
      </c>
      <c r="M1503" t="s">
        <v>174</v>
      </c>
      <c r="N1503" t="b">
        <f t="shared" si="134"/>
        <v>0</v>
      </c>
    </row>
    <row r="1504" spans="1:14" x14ac:dyDescent="0.15">
      <c r="A1504" t="s">
        <v>12979</v>
      </c>
      <c r="B1504" t="s">
        <v>12982</v>
      </c>
      <c r="C1504" t="s">
        <v>13034</v>
      </c>
      <c r="D1504" t="s">
        <v>118</v>
      </c>
      <c r="E1504" t="s">
        <v>13035</v>
      </c>
      <c r="F1504" s="5">
        <v>19504000</v>
      </c>
      <c r="G1504" s="5">
        <v>19504000</v>
      </c>
      <c r="H1504" s="4">
        <v>15464000</v>
      </c>
      <c r="I1504" s="2">
        <f t="shared" si="132"/>
        <v>0.79286300246103358</v>
      </c>
      <c r="J1504" s="4">
        <v>15520000</v>
      </c>
      <c r="K1504" s="2">
        <f t="shared" si="133"/>
        <v>0.79573420836751441</v>
      </c>
      <c r="L1504" t="s">
        <v>2632</v>
      </c>
      <c r="M1504" t="s">
        <v>41</v>
      </c>
      <c r="N1504" t="b">
        <f t="shared" si="134"/>
        <v>0</v>
      </c>
    </row>
    <row r="1505" spans="1:14" x14ac:dyDescent="0.15">
      <c r="A1505" t="s">
        <v>12979</v>
      </c>
      <c r="B1505" t="s">
        <v>12995</v>
      </c>
      <c r="C1505" t="s">
        <v>13036</v>
      </c>
      <c r="D1505" t="s">
        <v>23</v>
      </c>
      <c r="E1505" t="s">
        <v>13037</v>
      </c>
      <c r="F1505" s="5">
        <v>10615000</v>
      </c>
      <c r="G1505" s="5">
        <v>10615000</v>
      </c>
      <c r="I1505" s="2">
        <f t="shared" si="132"/>
        <v>0</v>
      </c>
      <c r="J1505" s="4">
        <v>8800000</v>
      </c>
      <c r="K1505" s="2">
        <f t="shared" si="133"/>
        <v>0.82901554404145072</v>
      </c>
      <c r="L1505" t="s">
        <v>1624</v>
      </c>
      <c r="M1505" t="s">
        <v>165</v>
      </c>
      <c r="N1505" t="b">
        <f t="shared" si="134"/>
        <v>0</v>
      </c>
    </row>
    <row r="1506" spans="1:14" x14ac:dyDescent="0.15">
      <c r="A1506" t="s">
        <v>12979</v>
      </c>
      <c r="B1506" t="s">
        <v>12982</v>
      </c>
      <c r="C1506" t="s">
        <v>13038</v>
      </c>
      <c r="D1506" t="s">
        <v>23</v>
      </c>
      <c r="E1506" t="s">
        <v>13039</v>
      </c>
      <c r="F1506" s="5">
        <v>1815000</v>
      </c>
      <c r="G1506" s="5">
        <v>1815000</v>
      </c>
      <c r="I1506" s="2">
        <f t="shared" si="132"/>
        <v>0</v>
      </c>
      <c r="J1506" s="4">
        <v>1000000</v>
      </c>
      <c r="K1506" s="2">
        <f t="shared" si="133"/>
        <v>0.55096418732782371</v>
      </c>
      <c r="L1506" t="s">
        <v>474</v>
      </c>
      <c r="M1506" t="s">
        <v>1015</v>
      </c>
      <c r="N1506" t="b">
        <f t="shared" si="134"/>
        <v>0</v>
      </c>
    </row>
    <row r="1507" spans="1:14" x14ac:dyDescent="0.15">
      <c r="A1507" t="s">
        <v>12979</v>
      </c>
      <c r="B1507" t="s">
        <v>12995</v>
      </c>
      <c r="C1507" t="s">
        <v>13040</v>
      </c>
      <c r="D1507" t="s">
        <v>23</v>
      </c>
      <c r="E1507" t="s">
        <v>13041</v>
      </c>
      <c r="F1507" s="5">
        <v>1366000</v>
      </c>
      <c r="G1507" s="5">
        <v>1366000</v>
      </c>
      <c r="I1507" s="2">
        <f t="shared" si="132"/>
        <v>0</v>
      </c>
      <c r="J1507" s="4">
        <v>1300000</v>
      </c>
      <c r="K1507" s="2">
        <f t="shared" si="133"/>
        <v>0.95168374816983892</v>
      </c>
      <c r="L1507" t="s">
        <v>13001</v>
      </c>
      <c r="M1507" t="s">
        <v>432</v>
      </c>
      <c r="N1507" t="b">
        <f t="shared" si="134"/>
        <v>0</v>
      </c>
    </row>
    <row r="1508" spans="1:14" x14ac:dyDescent="0.15">
      <c r="A1508" t="s">
        <v>12979</v>
      </c>
      <c r="B1508" t="s">
        <v>12995</v>
      </c>
      <c r="C1508" t="s">
        <v>13042</v>
      </c>
      <c r="D1508" t="s">
        <v>118</v>
      </c>
      <c r="E1508" t="s">
        <v>13043</v>
      </c>
      <c r="F1508" s="5">
        <v>78515000</v>
      </c>
      <c r="G1508" s="5">
        <v>78515000</v>
      </c>
      <c r="H1508" s="4">
        <v>65872000</v>
      </c>
      <c r="I1508" s="2">
        <f t="shared" si="132"/>
        <v>0.83897344456473288</v>
      </c>
      <c r="J1508" s="4">
        <v>68656000</v>
      </c>
      <c r="K1508" s="2">
        <f t="shared" si="133"/>
        <v>0.87443163726676432</v>
      </c>
      <c r="L1508" t="s">
        <v>1384</v>
      </c>
      <c r="M1508" t="s">
        <v>104</v>
      </c>
      <c r="N1508" t="b">
        <f t="shared" si="134"/>
        <v>0</v>
      </c>
    </row>
    <row r="1509" spans="1:14" x14ac:dyDescent="0.15">
      <c r="A1509" t="s">
        <v>12979</v>
      </c>
      <c r="B1509" t="s">
        <v>12982</v>
      </c>
      <c r="C1509" t="s">
        <v>13044</v>
      </c>
      <c r="D1509" t="s">
        <v>23</v>
      </c>
      <c r="E1509" t="s">
        <v>13045</v>
      </c>
      <c r="F1509" s="5">
        <v>3126000</v>
      </c>
      <c r="G1509" s="5">
        <v>3126000</v>
      </c>
      <c r="I1509" s="2">
        <f t="shared" si="132"/>
        <v>0</v>
      </c>
      <c r="J1509" s="4">
        <v>2980000</v>
      </c>
      <c r="K1509" s="2">
        <f t="shared" si="133"/>
        <v>0.95329494561740247</v>
      </c>
      <c r="L1509" t="s">
        <v>5186</v>
      </c>
      <c r="M1509" t="s">
        <v>432</v>
      </c>
      <c r="N1509" t="b">
        <f t="shared" si="134"/>
        <v>0</v>
      </c>
    </row>
    <row r="1510" spans="1:14" x14ac:dyDescent="0.15">
      <c r="A1510" t="s">
        <v>12979</v>
      </c>
      <c r="B1510" t="s">
        <v>12982</v>
      </c>
      <c r="C1510" t="s">
        <v>12989</v>
      </c>
      <c r="D1510" t="s">
        <v>23</v>
      </c>
      <c r="E1510" t="s">
        <v>13046</v>
      </c>
      <c r="F1510" s="5">
        <v>2200000</v>
      </c>
      <c r="G1510" s="5">
        <v>2200000</v>
      </c>
      <c r="I1510" s="2">
        <f t="shared" si="132"/>
        <v>0</v>
      </c>
      <c r="J1510" s="4">
        <v>2200000</v>
      </c>
      <c r="K1510" s="2">
        <f t="shared" si="133"/>
        <v>1</v>
      </c>
      <c r="L1510" t="s">
        <v>3486</v>
      </c>
      <c r="M1510" t="s">
        <v>1015</v>
      </c>
      <c r="N1510" t="b">
        <f t="shared" si="134"/>
        <v>0</v>
      </c>
    </row>
    <row r="1511" spans="1:14" x14ac:dyDescent="0.15">
      <c r="A1511" t="s">
        <v>12979</v>
      </c>
      <c r="B1511" t="s">
        <v>12982</v>
      </c>
      <c r="C1511" t="s">
        <v>12986</v>
      </c>
      <c r="D1511" t="s">
        <v>23</v>
      </c>
      <c r="E1511" t="s">
        <v>13047</v>
      </c>
      <c r="F1511" s="5">
        <v>2300000</v>
      </c>
      <c r="G1511" s="5">
        <v>2300000</v>
      </c>
      <c r="I1511" s="2">
        <f t="shared" si="132"/>
        <v>0</v>
      </c>
      <c r="J1511" s="4">
        <v>2284000</v>
      </c>
      <c r="K1511" s="2">
        <f t="shared" si="133"/>
        <v>0.99304347826086958</v>
      </c>
      <c r="L1511" t="s">
        <v>12988</v>
      </c>
      <c r="M1511" t="s">
        <v>1015</v>
      </c>
      <c r="N1511" t="b">
        <f t="shared" si="134"/>
        <v>0</v>
      </c>
    </row>
    <row r="1512" spans="1:14" x14ac:dyDescent="0.15">
      <c r="A1512" t="s">
        <v>12979</v>
      </c>
      <c r="B1512" t="s">
        <v>12982</v>
      </c>
      <c r="C1512" t="s">
        <v>12984</v>
      </c>
      <c r="D1512" t="s">
        <v>23</v>
      </c>
      <c r="E1512" t="s">
        <v>13048</v>
      </c>
      <c r="F1512" s="5">
        <v>1490000</v>
      </c>
      <c r="G1512" s="5">
        <v>1490000</v>
      </c>
      <c r="I1512" s="2">
        <f t="shared" si="132"/>
        <v>0</v>
      </c>
      <c r="J1512" s="4">
        <v>1250000</v>
      </c>
      <c r="K1512" s="2">
        <f t="shared" si="133"/>
        <v>0.83892617449664431</v>
      </c>
      <c r="L1512" t="s">
        <v>819</v>
      </c>
      <c r="M1512" t="s">
        <v>1015</v>
      </c>
      <c r="N1512" t="b">
        <f t="shared" si="134"/>
        <v>0</v>
      </c>
    </row>
    <row r="1513" spans="1:14" x14ac:dyDescent="0.15">
      <c r="A1513" t="s">
        <v>12979</v>
      </c>
      <c r="B1513" t="s">
        <v>12982</v>
      </c>
      <c r="C1513" t="s">
        <v>12991</v>
      </c>
      <c r="D1513" t="s">
        <v>23</v>
      </c>
      <c r="E1513" t="s">
        <v>13049</v>
      </c>
      <c r="F1513" s="5">
        <v>7530000</v>
      </c>
      <c r="G1513" s="5">
        <v>7530000</v>
      </c>
      <c r="I1513" s="2">
        <f t="shared" si="132"/>
        <v>0</v>
      </c>
      <c r="J1513" s="4">
        <v>6800000</v>
      </c>
      <c r="K1513" s="2">
        <f t="shared" si="133"/>
        <v>0.90305444887118191</v>
      </c>
      <c r="L1513" t="s">
        <v>12561</v>
      </c>
      <c r="M1513" t="s">
        <v>432</v>
      </c>
      <c r="N1513" t="b">
        <f t="shared" si="134"/>
        <v>0</v>
      </c>
    </row>
    <row r="1514" spans="1:14" x14ac:dyDescent="0.15">
      <c r="A1514" t="s">
        <v>12979</v>
      </c>
      <c r="B1514" t="s">
        <v>12995</v>
      </c>
      <c r="C1514" t="s">
        <v>13050</v>
      </c>
      <c r="D1514" t="s">
        <v>23</v>
      </c>
      <c r="E1514" t="s">
        <v>13051</v>
      </c>
      <c r="F1514" s="5">
        <v>20580000</v>
      </c>
      <c r="G1514" s="5">
        <v>20580000</v>
      </c>
      <c r="I1514" s="2">
        <f t="shared" si="132"/>
        <v>0</v>
      </c>
      <c r="J1514" s="4">
        <v>12766000</v>
      </c>
      <c r="K1514" s="2">
        <f t="shared" si="133"/>
        <v>0.62031098153547137</v>
      </c>
      <c r="L1514" t="s">
        <v>12646</v>
      </c>
      <c r="M1514" t="s">
        <v>165</v>
      </c>
      <c r="N1514" t="b">
        <f t="shared" si="134"/>
        <v>0</v>
      </c>
    </row>
    <row r="1515" spans="1:14" x14ac:dyDescent="0.15">
      <c r="A1515" t="s">
        <v>12979</v>
      </c>
      <c r="B1515" t="s">
        <v>12982</v>
      </c>
      <c r="C1515" t="s">
        <v>13052</v>
      </c>
      <c r="D1515" t="s">
        <v>23</v>
      </c>
      <c r="E1515" t="s">
        <v>13053</v>
      </c>
      <c r="F1515" s="5">
        <v>568592</v>
      </c>
      <c r="G1515" s="5">
        <v>568592</v>
      </c>
      <c r="I1515" s="2">
        <f t="shared" si="132"/>
        <v>0</v>
      </c>
      <c r="J1515" s="4">
        <v>564200</v>
      </c>
      <c r="K1515" s="2">
        <f t="shared" si="133"/>
        <v>0.99227565635816195</v>
      </c>
      <c r="L1515" t="s">
        <v>13054</v>
      </c>
      <c r="M1515" t="s">
        <v>1015</v>
      </c>
      <c r="N1515" t="b">
        <f t="shared" si="134"/>
        <v>0</v>
      </c>
    </row>
    <row r="1516" spans="1:14" x14ac:dyDescent="0.15">
      <c r="A1516" t="s">
        <v>12979</v>
      </c>
      <c r="B1516" t="s">
        <v>12982</v>
      </c>
      <c r="C1516" t="s">
        <v>13055</v>
      </c>
      <c r="D1516" t="s">
        <v>23</v>
      </c>
      <c r="E1516" t="s">
        <v>13056</v>
      </c>
      <c r="F1516" s="5">
        <v>468156</v>
      </c>
      <c r="G1516" s="5">
        <v>468156</v>
      </c>
      <c r="I1516" s="2">
        <f t="shared" si="132"/>
        <v>0</v>
      </c>
      <c r="J1516" s="4">
        <v>460000</v>
      </c>
      <c r="K1516" s="2">
        <f t="shared" si="133"/>
        <v>0.98257845675373168</v>
      </c>
      <c r="L1516" t="s">
        <v>12287</v>
      </c>
      <c r="M1516" t="s">
        <v>21</v>
      </c>
      <c r="N1516" t="b">
        <f t="shared" si="134"/>
        <v>0</v>
      </c>
    </row>
    <row r="1517" spans="1:14" x14ac:dyDescent="0.15">
      <c r="A1517" t="s">
        <v>12979</v>
      </c>
      <c r="B1517" t="s">
        <v>12982</v>
      </c>
      <c r="C1517" t="s">
        <v>13057</v>
      </c>
      <c r="D1517" t="s">
        <v>23</v>
      </c>
      <c r="E1517" t="s">
        <v>13058</v>
      </c>
      <c r="F1517" s="5">
        <v>4426000</v>
      </c>
      <c r="G1517" s="5">
        <v>4426000</v>
      </c>
      <c r="I1517" s="2">
        <f t="shared" si="132"/>
        <v>0</v>
      </c>
      <c r="J1517" s="4">
        <v>4300000</v>
      </c>
      <c r="K1517" s="2">
        <f t="shared" si="133"/>
        <v>0.97153185720741075</v>
      </c>
      <c r="L1517" t="s">
        <v>13059</v>
      </c>
      <c r="M1517" t="s">
        <v>432</v>
      </c>
      <c r="N1517" t="b">
        <f t="shared" si="134"/>
        <v>0</v>
      </c>
    </row>
    <row r="1518" spans="1:14" x14ac:dyDescent="0.15">
      <c r="A1518" t="s">
        <v>12979</v>
      </c>
      <c r="B1518" t="s">
        <v>12995</v>
      </c>
      <c r="C1518" t="s">
        <v>13060</v>
      </c>
      <c r="D1518" t="s">
        <v>118</v>
      </c>
      <c r="E1518" t="s">
        <v>13061</v>
      </c>
      <c r="F1518" s="5">
        <v>7555000</v>
      </c>
      <c r="G1518" s="5">
        <v>7555000</v>
      </c>
      <c r="H1518" s="4">
        <v>6111000</v>
      </c>
      <c r="I1518" s="2">
        <f t="shared" si="132"/>
        <v>0.80886829913964264</v>
      </c>
      <c r="J1518" s="4">
        <v>6830000</v>
      </c>
      <c r="K1518" s="2">
        <f t="shared" si="133"/>
        <v>0.90403706154864327</v>
      </c>
      <c r="L1518" t="s">
        <v>4415</v>
      </c>
      <c r="M1518" t="s">
        <v>174</v>
      </c>
      <c r="N1518" t="b">
        <f t="shared" si="134"/>
        <v>0</v>
      </c>
    </row>
    <row r="1519" spans="1:14" x14ac:dyDescent="0.15">
      <c r="A1519" t="s">
        <v>12979</v>
      </c>
      <c r="B1519" t="s">
        <v>12982</v>
      </c>
      <c r="C1519" t="s">
        <v>13002</v>
      </c>
      <c r="D1519" t="s">
        <v>23</v>
      </c>
      <c r="E1519" t="s">
        <v>13062</v>
      </c>
      <c r="F1519" s="5">
        <v>870900</v>
      </c>
      <c r="G1519" s="5">
        <v>870900</v>
      </c>
      <c r="I1519" s="2">
        <f t="shared" si="132"/>
        <v>0</v>
      </c>
      <c r="J1519" s="4">
        <v>597000</v>
      </c>
      <c r="K1519" s="2">
        <f t="shared" si="133"/>
        <v>0.6854977609369618</v>
      </c>
      <c r="L1519" t="s">
        <v>12988</v>
      </c>
      <c r="M1519" t="s">
        <v>21</v>
      </c>
      <c r="N1519" t="b">
        <f t="shared" si="134"/>
        <v>0</v>
      </c>
    </row>
    <row r="1520" spans="1:14" x14ac:dyDescent="0.15">
      <c r="A1520" t="s">
        <v>12979</v>
      </c>
      <c r="B1520" t="s">
        <v>12995</v>
      </c>
      <c r="C1520" t="s">
        <v>13063</v>
      </c>
      <c r="D1520" t="s">
        <v>118</v>
      </c>
      <c r="E1520" t="s">
        <v>13064</v>
      </c>
      <c r="F1520" s="5">
        <v>33781000</v>
      </c>
      <c r="G1520" s="5">
        <v>33781000</v>
      </c>
      <c r="H1520" s="4">
        <v>26898000</v>
      </c>
      <c r="I1520" s="2">
        <f t="shared" si="132"/>
        <v>0.79624641070424207</v>
      </c>
      <c r="J1520" s="4">
        <v>26900000</v>
      </c>
      <c r="K1520" s="2">
        <f t="shared" si="133"/>
        <v>0.79630561558272406</v>
      </c>
      <c r="L1520" t="s">
        <v>1458</v>
      </c>
      <c r="M1520" t="s">
        <v>21</v>
      </c>
      <c r="N1520" t="b">
        <f t="shared" si="134"/>
        <v>0</v>
      </c>
    </row>
    <row r="1521" spans="1:14" x14ac:dyDescent="0.15">
      <c r="A1521" t="s">
        <v>12979</v>
      </c>
      <c r="B1521" t="s">
        <v>12982</v>
      </c>
      <c r="C1521" t="s">
        <v>13065</v>
      </c>
      <c r="D1521" t="s">
        <v>23</v>
      </c>
      <c r="E1521" t="s">
        <v>13066</v>
      </c>
      <c r="F1521" s="5">
        <v>3555000</v>
      </c>
      <c r="G1521" s="5">
        <v>3555000</v>
      </c>
      <c r="I1521" s="2">
        <f t="shared" si="132"/>
        <v>0</v>
      </c>
      <c r="J1521" s="4">
        <v>3350000</v>
      </c>
      <c r="K1521" s="2">
        <f t="shared" si="133"/>
        <v>0.94233473980309423</v>
      </c>
      <c r="L1521" t="s">
        <v>2632</v>
      </c>
      <c r="M1521" t="s">
        <v>432</v>
      </c>
      <c r="N1521" t="b">
        <f t="shared" si="134"/>
        <v>0</v>
      </c>
    </row>
    <row r="1522" spans="1:14" x14ac:dyDescent="0.15">
      <c r="A1522" t="s">
        <v>12979</v>
      </c>
      <c r="B1522" t="s">
        <v>12995</v>
      </c>
      <c r="C1522" t="s">
        <v>13067</v>
      </c>
      <c r="D1522" t="s">
        <v>118</v>
      </c>
      <c r="E1522" t="s">
        <v>13068</v>
      </c>
      <c r="F1522" s="5">
        <v>31524000</v>
      </c>
      <c r="G1522" s="5">
        <v>31524000</v>
      </c>
      <c r="H1522" s="4">
        <v>25085000</v>
      </c>
      <c r="I1522" s="2">
        <f t="shared" si="132"/>
        <v>0.79574292602461616</v>
      </c>
      <c r="J1522" s="4">
        <v>27800000</v>
      </c>
      <c r="K1522" s="2">
        <f t="shared" si="133"/>
        <v>0.88186778327623394</v>
      </c>
      <c r="L1522" t="s">
        <v>1458</v>
      </c>
      <c r="M1522" t="s">
        <v>139</v>
      </c>
      <c r="N1522" t="b">
        <f t="shared" si="134"/>
        <v>0</v>
      </c>
    </row>
    <row r="1523" spans="1:14" x14ac:dyDescent="0.15">
      <c r="A1523" t="s">
        <v>12979</v>
      </c>
      <c r="B1523" t="s">
        <v>12982</v>
      </c>
      <c r="C1523" t="s">
        <v>13069</v>
      </c>
      <c r="D1523" t="s">
        <v>23</v>
      </c>
      <c r="E1523" t="s">
        <v>13070</v>
      </c>
      <c r="F1523" s="5">
        <v>4481000</v>
      </c>
      <c r="G1523" s="5">
        <v>4481000</v>
      </c>
      <c r="I1523" s="2">
        <f t="shared" si="132"/>
        <v>0</v>
      </c>
      <c r="J1523" s="4">
        <v>3500000</v>
      </c>
      <c r="K1523" s="2">
        <f t="shared" si="133"/>
        <v>0.78107565275608126</v>
      </c>
      <c r="L1523" t="s">
        <v>39</v>
      </c>
      <c r="M1523" t="s">
        <v>432</v>
      </c>
      <c r="N1523" t="b">
        <f t="shared" si="134"/>
        <v>0</v>
      </c>
    </row>
    <row r="1524" spans="1:14" x14ac:dyDescent="0.15">
      <c r="A1524" t="s">
        <v>12979</v>
      </c>
      <c r="B1524" t="s">
        <v>12982</v>
      </c>
      <c r="C1524" t="s">
        <v>13071</v>
      </c>
      <c r="D1524" t="s">
        <v>23</v>
      </c>
      <c r="E1524" t="s">
        <v>13072</v>
      </c>
      <c r="F1524" s="5">
        <v>1792000</v>
      </c>
      <c r="G1524" s="5">
        <v>1792000</v>
      </c>
      <c r="I1524" s="2">
        <f t="shared" si="132"/>
        <v>0</v>
      </c>
      <c r="J1524" s="4">
        <v>950000</v>
      </c>
      <c r="K1524" s="2">
        <f t="shared" si="133"/>
        <v>0.5301339285714286</v>
      </c>
      <c r="L1524" t="s">
        <v>12998</v>
      </c>
      <c r="M1524" t="s">
        <v>1015</v>
      </c>
      <c r="N1524" t="b">
        <f t="shared" si="134"/>
        <v>0</v>
      </c>
    </row>
    <row r="1525" spans="1:14" x14ac:dyDescent="0.15">
      <c r="A1525" t="s">
        <v>12979</v>
      </c>
      <c r="B1525" t="s">
        <v>12995</v>
      </c>
      <c r="C1525" t="s">
        <v>13073</v>
      </c>
      <c r="D1525" t="s">
        <v>118</v>
      </c>
      <c r="E1525" t="s">
        <v>13074</v>
      </c>
      <c r="F1525" s="5">
        <v>33397000</v>
      </c>
      <c r="G1525" s="5">
        <v>33397000</v>
      </c>
      <c r="H1525" s="4">
        <v>26902000</v>
      </c>
      <c r="I1525" s="2">
        <f t="shared" si="132"/>
        <v>0.80552145402281639</v>
      </c>
      <c r="J1525" s="4">
        <v>26912000</v>
      </c>
      <c r="K1525" s="2">
        <f t="shared" si="133"/>
        <v>0.80582088211516001</v>
      </c>
      <c r="L1525" t="s">
        <v>819</v>
      </c>
      <c r="M1525" t="s">
        <v>313</v>
      </c>
      <c r="N1525" t="b">
        <f t="shared" si="134"/>
        <v>0</v>
      </c>
    </row>
    <row r="1526" spans="1:14" x14ac:dyDescent="0.15">
      <c r="A1526" t="s">
        <v>12979</v>
      </c>
      <c r="B1526" t="s">
        <v>12995</v>
      </c>
      <c r="C1526" t="s">
        <v>13036</v>
      </c>
      <c r="D1526" t="s">
        <v>23</v>
      </c>
      <c r="E1526" t="s">
        <v>12143</v>
      </c>
      <c r="F1526" s="5">
        <v>10650000</v>
      </c>
      <c r="G1526" s="5">
        <v>10650000</v>
      </c>
      <c r="I1526" s="2">
        <f t="shared" si="132"/>
        <v>0</v>
      </c>
      <c r="J1526" s="4">
        <v>8694900</v>
      </c>
      <c r="K1526" s="2">
        <f t="shared" si="133"/>
        <v>0.81642253521126762</v>
      </c>
      <c r="L1526" t="s">
        <v>12415</v>
      </c>
      <c r="M1526" t="s">
        <v>165</v>
      </c>
      <c r="N1526" t="b">
        <f t="shared" si="134"/>
        <v>0</v>
      </c>
    </row>
    <row r="1527" spans="1:14" x14ac:dyDescent="0.15">
      <c r="A1527" t="s">
        <v>12979</v>
      </c>
      <c r="B1527" t="s">
        <v>12982</v>
      </c>
      <c r="C1527" t="s">
        <v>13075</v>
      </c>
      <c r="D1527" t="s">
        <v>118</v>
      </c>
      <c r="E1527" t="s">
        <v>13076</v>
      </c>
      <c r="F1527" s="5">
        <v>6290000</v>
      </c>
      <c r="G1527" s="5">
        <v>6290000</v>
      </c>
      <c r="H1527" s="4">
        <v>5002000</v>
      </c>
      <c r="I1527" s="2">
        <f t="shared" si="132"/>
        <v>0.79523052464228938</v>
      </c>
      <c r="J1527" s="4">
        <v>5300000</v>
      </c>
      <c r="K1527" s="2">
        <f t="shared" si="133"/>
        <v>0.84260731319554849</v>
      </c>
      <c r="L1527" t="s">
        <v>1718</v>
      </c>
      <c r="M1527" t="s">
        <v>165</v>
      </c>
      <c r="N1527" t="b">
        <f t="shared" si="134"/>
        <v>0</v>
      </c>
    </row>
    <row r="1528" spans="1:14" x14ac:dyDescent="0.15">
      <c r="A1528" t="s">
        <v>12979</v>
      </c>
      <c r="B1528" t="s">
        <v>12982</v>
      </c>
      <c r="C1528" t="s">
        <v>13077</v>
      </c>
      <c r="D1528" t="s">
        <v>118</v>
      </c>
      <c r="E1528" t="s">
        <v>13078</v>
      </c>
      <c r="F1528" s="5">
        <v>17700000</v>
      </c>
      <c r="G1528" s="5">
        <v>17700000</v>
      </c>
      <c r="H1528" s="4">
        <v>14079000</v>
      </c>
      <c r="I1528" s="2">
        <f t="shared" si="132"/>
        <v>0.79542372881355927</v>
      </c>
      <c r="J1528" s="4">
        <v>14100000</v>
      </c>
      <c r="K1528" s="2">
        <f t="shared" si="133"/>
        <v>0.79661016949152541</v>
      </c>
      <c r="L1528" t="s">
        <v>231</v>
      </c>
      <c r="M1528" t="s">
        <v>126</v>
      </c>
      <c r="N1528" t="b">
        <f t="shared" si="134"/>
        <v>0</v>
      </c>
    </row>
    <row r="1529" spans="1:14" x14ac:dyDescent="0.15">
      <c r="A1529" t="s">
        <v>12979</v>
      </c>
      <c r="B1529" t="s">
        <v>12995</v>
      </c>
      <c r="C1529" t="s">
        <v>13079</v>
      </c>
      <c r="D1529" t="s">
        <v>118</v>
      </c>
      <c r="E1529" t="s">
        <v>13080</v>
      </c>
      <c r="F1529" s="5">
        <v>31465000</v>
      </c>
      <c r="G1529" s="5">
        <v>31465000</v>
      </c>
      <c r="H1529" s="4">
        <v>25056000</v>
      </c>
      <c r="I1529" s="2">
        <f t="shared" si="132"/>
        <v>0.79631336405529951</v>
      </c>
      <c r="J1529" s="4">
        <v>25084000</v>
      </c>
      <c r="K1529" s="2">
        <f t="shared" si="133"/>
        <v>0.79720324169712375</v>
      </c>
      <c r="L1529" t="s">
        <v>2332</v>
      </c>
      <c r="M1529" t="s">
        <v>174</v>
      </c>
      <c r="N1529" t="b">
        <f t="shared" si="134"/>
        <v>0</v>
      </c>
    </row>
    <row r="1530" spans="1:14" x14ac:dyDescent="0.15">
      <c r="A1530" t="s">
        <v>12979</v>
      </c>
      <c r="B1530" t="s">
        <v>12995</v>
      </c>
      <c r="C1530" t="s">
        <v>13050</v>
      </c>
      <c r="D1530" t="s">
        <v>23</v>
      </c>
      <c r="E1530" t="s">
        <v>13081</v>
      </c>
      <c r="F1530" s="5">
        <v>17030000</v>
      </c>
      <c r="G1530" s="5">
        <v>17030000</v>
      </c>
      <c r="I1530" s="2">
        <f t="shared" si="132"/>
        <v>0</v>
      </c>
      <c r="J1530" s="4">
        <v>7079000</v>
      </c>
      <c r="K1530" s="2">
        <f t="shared" si="133"/>
        <v>0.41567821491485613</v>
      </c>
      <c r="L1530" t="s">
        <v>12646</v>
      </c>
      <c r="M1530" t="s">
        <v>165</v>
      </c>
      <c r="N1530" t="b">
        <f t="shared" si="134"/>
        <v>0</v>
      </c>
    </row>
    <row r="1531" spans="1:14" x14ac:dyDescent="0.15">
      <c r="A1531" t="s">
        <v>12979</v>
      </c>
      <c r="B1531" t="s">
        <v>12982</v>
      </c>
      <c r="C1531" t="s">
        <v>12984</v>
      </c>
      <c r="D1531" t="s">
        <v>23</v>
      </c>
      <c r="E1531" t="s">
        <v>13082</v>
      </c>
      <c r="F1531" s="5">
        <v>1500000</v>
      </c>
      <c r="G1531" s="5">
        <v>1500000</v>
      </c>
      <c r="I1531" s="2">
        <f t="shared" si="132"/>
        <v>0</v>
      </c>
      <c r="J1531" s="4">
        <v>1350000</v>
      </c>
      <c r="K1531" s="2">
        <f t="shared" si="133"/>
        <v>0.9</v>
      </c>
      <c r="L1531" t="s">
        <v>819</v>
      </c>
      <c r="M1531" t="s">
        <v>1015</v>
      </c>
      <c r="N1531" t="b">
        <f t="shared" si="134"/>
        <v>0</v>
      </c>
    </row>
    <row r="1532" spans="1:14" x14ac:dyDescent="0.15">
      <c r="A1532" t="s">
        <v>12979</v>
      </c>
      <c r="B1532" t="s">
        <v>12982</v>
      </c>
      <c r="C1532" t="s">
        <v>12986</v>
      </c>
      <c r="D1532" t="s">
        <v>23</v>
      </c>
      <c r="E1532" t="s">
        <v>13083</v>
      </c>
      <c r="F1532" s="5">
        <v>2140000</v>
      </c>
      <c r="G1532" s="5">
        <v>2140000</v>
      </c>
      <c r="I1532" s="2">
        <f t="shared" si="132"/>
        <v>0</v>
      </c>
      <c r="J1532" s="4">
        <v>1978000</v>
      </c>
      <c r="K1532" s="2">
        <f t="shared" si="133"/>
        <v>0.92429906542056073</v>
      </c>
      <c r="L1532" t="s">
        <v>12988</v>
      </c>
      <c r="M1532" t="s">
        <v>1015</v>
      </c>
      <c r="N1532" t="b">
        <f t="shared" si="134"/>
        <v>0</v>
      </c>
    </row>
    <row r="1533" spans="1:14" x14ac:dyDescent="0.15">
      <c r="A1533" t="s">
        <v>12979</v>
      </c>
      <c r="B1533" t="s">
        <v>12982</v>
      </c>
      <c r="C1533" t="s">
        <v>12989</v>
      </c>
      <c r="D1533" t="s">
        <v>23</v>
      </c>
      <c r="E1533" t="s">
        <v>13084</v>
      </c>
      <c r="F1533" s="5">
        <v>2270000</v>
      </c>
      <c r="G1533" s="5">
        <v>2270000</v>
      </c>
      <c r="I1533" s="2">
        <f t="shared" si="132"/>
        <v>0</v>
      </c>
      <c r="J1533" s="4">
        <v>2000000</v>
      </c>
      <c r="K1533" s="2">
        <f t="shared" si="133"/>
        <v>0.88105726872246692</v>
      </c>
      <c r="L1533" t="s">
        <v>3486</v>
      </c>
      <c r="M1533" t="s">
        <v>1015</v>
      </c>
      <c r="N1533" t="b">
        <f t="shared" si="134"/>
        <v>0</v>
      </c>
    </row>
    <row r="1534" spans="1:14" x14ac:dyDescent="0.15">
      <c r="A1534" t="s">
        <v>12979</v>
      </c>
      <c r="B1534" t="s">
        <v>12982</v>
      </c>
      <c r="C1534" t="s">
        <v>12991</v>
      </c>
      <c r="D1534" t="s">
        <v>23</v>
      </c>
      <c r="E1534" t="s">
        <v>13085</v>
      </c>
      <c r="F1534" s="5">
        <v>6570000</v>
      </c>
      <c r="G1534" s="5">
        <v>6570000</v>
      </c>
      <c r="I1534" s="2">
        <f t="shared" si="132"/>
        <v>0</v>
      </c>
      <c r="J1534" s="4">
        <v>6480000</v>
      </c>
      <c r="K1534" s="2">
        <f t="shared" si="133"/>
        <v>0.98630136986301364</v>
      </c>
      <c r="L1534" t="s">
        <v>12561</v>
      </c>
      <c r="M1534" t="s">
        <v>432</v>
      </c>
      <c r="N1534" t="b">
        <f t="shared" si="134"/>
        <v>0</v>
      </c>
    </row>
    <row r="1535" spans="1:14" x14ac:dyDescent="0.15">
      <c r="A1535" t="s">
        <v>13086</v>
      </c>
      <c r="B1535" t="s">
        <v>13089</v>
      </c>
      <c r="C1535" t="s">
        <v>13087</v>
      </c>
      <c r="D1535" t="s">
        <v>23</v>
      </c>
      <c r="E1535" t="s">
        <v>13088</v>
      </c>
      <c r="F1535" s="5">
        <f t="shared" ref="F1535:F1598" si="135">G1535</f>
        <v>18538000</v>
      </c>
      <c r="G1535" s="5">
        <v>18538000</v>
      </c>
      <c r="I1535" s="2">
        <f t="shared" si="132"/>
        <v>0</v>
      </c>
      <c r="J1535" s="4">
        <v>14700000</v>
      </c>
      <c r="K1535" s="2">
        <f t="shared" si="133"/>
        <v>0.79296579997842265</v>
      </c>
      <c r="L1535" t="s">
        <v>1458</v>
      </c>
      <c r="M1535" t="s">
        <v>174</v>
      </c>
      <c r="N1535" t="b">
        <f t="shared" si="134"/>
        <v>0</v>
      </c>
    </row>
    <row r="1536" spans="1:14" x14ac:dyDescent="0.15">
      <c r="A1536" t="s">
        <v>13086</v>
      </c>
      <c r="B1536" t="s">
        <v>13089</v>
      </c>
      <c r="C1536" t="s">
        <v>13090</v>
      </c>
      <c r="D1536" t="s">
        <v>23</v>
      </c>
      <c r="E1536" t="s">
        <v>13091</v>
      </c>
      <c r="F1536" s="5">
        <f t="shared" si="135"/>
        <v>5930000</v>
      </c>
      <c r="G1536" s="5">
        <v>5930000</v>
      </c>
      <c r="H1536" s="4">
        <v>4757000</v>
      </c>
      <c r="I1536" s="2">
        <f t="shared" si="132"/>
        <v>0.80219224283305224</v>
      </c>
      <c r="J1536" s="4">
        <v>5500000</v>
      </c>
      <c r="K1536" s="2">
        <f t="shared" si="133"/>
        <v>0.92748735244519398</v>
      </c>
      <c r="L1536" t="s">
        <v>4816</v>
      </c>
      <c r="M1536" t="s">
        <v>174</v>
      </c>
      <c r="N1536" t="b">
        <f t="shared" si="134"/>
        <v>0</v>
      </c>
    </row>
    <row r="1537" spans="1:14" x14ac:dyDescent="0.15">
      <c r="A1537" t="s">
        <v>13086</v>
      </c>
      <c r="B1537" t="s">
        <v>13089</v>
      </c>
      <c r="C1537" t="s">
        <v>13092</v>
      </c>
      <c r="D1537" t="s">
        <v>23</v>
      </c>
      <c r="E1537" t="s">
        <v>13093</v>
      </c>
      <c r="F1537" s="5">
        <f t="shared" si="135"/>
        <v>23702000</v>
      </c>
      <c r="G1537" s="5">
        <v>23702000</v>
      </c>
      <c r="I1537" s="2">
        <f t="shared" si="132"/>
        <v>0</v>
      </c>
      <c r="J1537" s="4">
        <v>11500000</v>
      </c>
      <c r="K1537" s="2">
        <f t="shared" si="133"/>
        <v>0.48519112311197365</v>
      </c>
      <c r="L1537" t="s">
        <v>360</v>
      </c>
      <c r="M1537" t="s">
        <v>165</v>
      </c>
      <c r="N1537" t="b">
        <f t="shared" si="134"/>
        <v>0</v>
      </c>
    </row>
    <row r="1538" spans="1:14" x14ac:dyDescent="0.15">
      <c r="A1538" t="s">
        <v>13086</v>
      </c>
      <c r="B1538" t="s">
        <v>13089</v>
      </c>
      <c r="C1538" t="s">
        <v>13094</v>
      </c>
      <c r="D1538" t="s">
        <v>23</v>
      </c>
      <c r="E1538" t="s">
        <v>13095</v>
      </c>
      <c r="F1538" s="5">
        <f t="shared" si="135"/>
        <v>6826000</v>
      </c>
      <c r="G1538" s="5">
        <v>6826000</v>
      </c>
      <c r="H1538" s="4">
        <v>5419000</v>
      </c>
      <c r="I1538" s="2">
        <f t="shared" si="132"/>
        <v>0.79387635511280397</v>
      </c>
      <c r="J1538" s="4">
        <v>6650000</v>
      </c>
      <c r="K1538" s="2">
        <f t="shared" si="133"/>
        <v>0.9742162320539115</v>
      </c>
      <c r="L1538" t="s">
        <v>13096</v>
      </c>
      <c r="M1538" t="s">
        <v>165</v>
      </c>
      <c r="N1538" t="b">
        <f t="shared" si="134"/>
        <v>0</v>
      </c>
    </row>
    <row r="1539" spans="1:14" x14ac:dyDescent="0.15">
      <c r="A1539" t="s">
        <v>13086</v>
      </c>
      <c r="B1539" t="s">
        <v>13089</v>
      </c>
      <c r="C1539" t="s">
        <v>13097</v>
      </c>
      <c r="D1539" t="s">
        <v>23</v>
      </c>
      <c r="E1539" t="s">
        <v>13098</v>
      </c>
      <c r="F1539" s="5">
        <f t="shared" si="135"/>
        <v>1200000</v>
      </c>
      <c r="G1539" s="5">
        <v>1200000</v>
      </c>
      <c r="H1539" s="4">
        <v>967000</v>
      </c>
      <c r="I1539" s="2">
        <f t="shared" si="132"/>
        <v>0.80583333333333329</v>
      </c>
      <c r="J1539" s="4">
        <v>1140000</v>
      </c>
      <c r="K1539" s="2">
        <f t="shared" si="133"/>
        <v>0.95</v>
      </c>
      <c r="L1539" t="s">
        <v>6112</v>
      </c>
      <c r="M1539" t="s">
        <v>165</v>
      </c>
      <c r="N1539" t="b">
        <f t="shared" si="134"/>
        <v>0</v>
      </c>
    </row>
    <row r="1540" spans="1:14" x14ac:dyDescent="0.15">
      <c r="A1540" t="s">
        <v>13086</v>
      </c>
      <c r="B1540" t="s">
        <v>13089</v>
      </c>
      <c r="C1540" t="s">
        <v>13099</v>
      </c>
      <c r="D1540" t="s">
        <v>23</v>
      </c>
      <c r="E1540" t="s">
        <v>13100</v>
      </c>
      <c r="F1540" s="5">
        <f t="shared" si="135"/>
        <v>2510000</v>
      </c>
      <c r="G1540" s="5">
        <v>2510000</v>
      </c>
      <c r="H1540" s="4">
        <v>2020000</v>
      </c>
      <c r="I1540" s="2">
        <f t="shared" ref="I1540:I1603" si="136">H1540/G1540</f>
        <v>0.80478087649402386</v>
      </c>
      <c r="J1540" s="4">
        <v>2390000</v>
      </c>
      <c r="K1540" s="2">
        <f t="shared" ref="K1540:K1603" si="137">J1540/G1540</f>
        <v>0.952191235059761</v>
      </c>
      <c r="L1540" t="s">
        <v>13096</v>
      </c>
      <c r="M1540" t="s">
        <v>165</v>
      </c>
      <c r="N1540" t="b">
        <f t="shared" ref="N1540:N1603" si="138">F1540&lt;&gt;G1540</f>
        <v>0</v>
      </c>
    </row>
    <row r="1541" spans="1:14" x14ac:dyDescent="0.15">
      <c r="A1541" t="s">
        <v>13086</v>
      </c>
      <c r="B1541" t="s">
        <v>13089</v>
      </c>
      <c r="C1541" t="s">
        <v>13101</v>
      </c>
      <c r="D1541" t="s">
        <v>23</v>
      </c>
      <c r="E1541" t="s">
        <v>13102</v>
      </c>
      <c r="F1541" s="5">
        <f t="shared" si="135"/>
        <v>1170000</v>
      </c>
      <c r="G1541" s="5">
        <v>1170000</v>
      </c>
      <c r="H1541" s="4">
        <v>944000</v>
      </c>
      <c r="I1541" s="2">
        <f t="shared" si="136"/>
        <v>0.80683760683760686</v>
      </c>
      <c r="J1541" s="4">
        <v>1100000</v>
      </c>
      <c r="K1541" s="2">
        <f t="shared" si="137"/>
        <v>0.94017094017094016</v>
      </c>
      <c r="L1541" t="s">
        <v>4816</v>
      </c>
      <c r="M1541" t="s">
        <v>165</v>
      </c>
      <c r="N1541" t="b">
        <f t="shared" si="138"/>
        <v>0</v>
      </c>
    </row>
    <row r="1542" spans="1:14" x14ac:dyDescent="0.15">
      <c r="A1542" t="s">
        <v>13086</v>
      </c>
      <c r="B1542" t="s">
        <v>13089</v>
      </c>
      <c r="C1542" t="s">
        <v>13103</v>
      </c>
      <c r="D1542" t="s">
        <v>23</v>
      </c>
      <c r="E1542" t="s">
        <v>13104</v>
      </c>
      <c r="F1542" s="5">
        <f t="shared" si="135"/>
        <v>1170000</v>
      </c>
      <c r="G1542" s="5">
        <v>1170000</v>
      </c>
      <c r="H1542" s="4">
        <v>943000</v>
      </c>
      <c r="I1542" s="2">
        <f t="shared" si="136"/>
        <v>0.80598290598290601</v>
      </c>
      <c r="J1542" s="4">
        <v>1100000</v>
      </c>
      <c r="K1542" s="2">
        <f t="shared" si="137"/>
        <v>0.94017094017094016</v>
      </c>
      <c r="L1542" t="s">
        <v>13105</v>
      </c>
      <c r="M1542" t="s">
        <v>165</v>
      </c>
      <c r="N1542" t="b">
        <f t="shared" si="138"/>
        <v>0</v>
      </c>
    </row>
    <row r="1543" spans="1:14" x14ac:dyDescent="0.15">
      <c r="A1543" t="s">
        <v>13086</v>
      </c>
      <c r="B1543" t="s">
        <v>13089</v>
      </c>
      <c r="C1543" t="s">
        <v>13106</v>
      </c>
      <c r="D1543" t="s">
        <v>23</v>
      </c>
      <c r="E1543" t="s">
        <v>13107</v>
      </c>
      <c r="F1543" s="5">
        <f t="shared" si="135"/>
        <v>5000000</v>
      </c>
      <c r="G1543" s="5">
        <v>5000000</v>
      </c>
      <c r="H1543" s="4">
        <v>4019000</v>
      </c>
      <c r="I1543" s="2">
        <f t="shared" si="136"/>
        <v>0.80379999999999996</v>
      </c>
      <c r="J1543" s="4">
        <v>4800000</v>
      </c>
      <c r="K1543" s="2">
        <f t="shared" si="137"/>
        <v>0.96</v>
      </c>
      <c r="L1543" t="s">
        <v>4816</v>
      </c>
      <c r="M1543" t="s">
        <v>165</v>
      </c>
      <c r="N1543" t="b">
        <f t="shared" si="138"/>
        <v>0</v>
      </c>
    </row>
    <row r="1544" spans="1:14" x14ac:dyDescent="0.15">
      <c r="A1544" t="s">
        <v>13086</v>
      </c>
      <c r="B1544" t="s">
        <v>13089</v>
      </c>
      <c r="C1544" t="s">
        <v>13108</v>
      </c>
      <c r="D1544" t="s">
        <v>23</v>
      </c>
      <c r="E1544" t="s">
        <v>13109</v>
      </c>
      <c r="F1544" s="5">
        <f t="shared" si="135"/>
        <v>17380000</v>
      </c>
      <c r="G1544" s="5">
        <v>17380000</v>
      </c>
      <c r="H1544" s="4">
        <v>14775000</v>
      </c>
      <c r="I1544" s="2">
        <f t="shared" si="136"/>
        <v>0.85011507479861914</v>
      </c>
      <c r="J1544" s="4">
        <v>15000000</v>
      </c>
      <c r="K1544" s="2">
        <f t="shared" si="137"/>
        <v>0.86306098964326816</v>
      </c>
      <c r="L1544" t="s">
        <v>39</v>
      </c>
      <c r="M1544" t="s">
        <v>432</v>
      </c>
      <c r="N1544" t="b">
        <f t="shared" si="138"/>
        <v>0</v>
      </c>
    </row>
    <row r="1545" spans="1:14" x14ac:dyDescent="0.15">
      <c r="A1545" t="s">
        <v>13086</v>
      </c>
      <c r="B1545" t="s">
        <v>13089</v>
      </c>
      <c r="C1545" t="s">
        <v>13110</v>
      </c>
      <c r="D1545" t="s">
        <v>23</v>
      </c>
      <c r="E1545" t="s">
        <v>4364</v>
      </c>
      <c r="F1545" s="5">
        <f t="shared" si="135"/>
        <v>1180000</v>
      </c>
      <c r="G1545" s="5">
        <v>1180000</v>
      </c>
      <c r="H1545" s="4">
        <v>951000</v>
      </c>
      <c r="I1545" s="2">
        <f t="shared" si="136"/>
        <v>0.80593220338983051</v>
      </c>
      <c r="J1545" s="4">
        <v>1120000</v>
      </c>
      <c r="K1545" s="2">
        <f t="shared" si="137"/>
        <v>0.94915254237288138</v>
      </c>
      <c r="L1545" t="s">
        <v>6112</v>
      </c>
      <c r="M1545" t="s">
        <v>165</v>
      </c>
      <c r="N1545" t="b">
        <f t="shared" si="138"/>
        <v>0</v>
      </c>
    </row>
    <row r="1546" spans="1:14" x14ac:dyDescent="0.15">
      <c r="A1546" t="s">
        <v>13086</v>
      </c>
      <c r="B1546" t="s">
        <v>13089</v>
      </c>
      <c r="C1546" t="s">
        <v>13111</v>
      </c>
      <c r="D1546" t="s">
        <v>23</v>
      </c>
      <c r="E1546" t="s">
        <v>13112</v>
      </c>
      <c r="F1546" s="5">
        <f t="shared" si="135"/>
        <v>1640000</v>
      </c>
      <c r="G1546" s="5">
        <v>1640000</v>
      </c>
      <c r="H1546" s="4">
        <v>1321000</v>
      </c>
      <c r="I1546" s="2">
        <f t="shared" si="136"/>
        <v>0.80548780487804883</v>
      </c>
      <c r="J1546" s="4">
        <v>1570000</v>
      </c>
      <c r="K1546" s="2">
        <f t="shared" si="137"/>
        <v>0.95731707317073167</v>
      </c>
      <c r="L1546" t="s">
        <v>13096</v>
      </c>
      <c r="M1546" t="s">
        <v>165</v>
      </c>
      <c r="N1546" t="b">
        <f t="shared" si="138"/>
        <v>0</v>
      </c>
    </row>
    <row r="1547" spans="1:14" x14ac:dyDescent="0.15">
      <c r="A1547" t="s">
        <v>13086</v>
      </c>
      <c r="B1547" t="s">
        <v>13089</v>
      </c>
      <c r="C1547" t="s">
        <v>13090</v>
      </c>
      <c r="D1547" t="s">
        <v>23</v>
      </c>
      <c r="E1547" t="s">
        <v>13113</v>
      </c>
      <c r="F1547" s="5">
        <f t="shared" si="135"/>
        <v>5070000</v>
      </c>
      <c r="G1547" s="5">
        <v>5070000</v>
      </c>
      <c r="H1547" s="4">
        <v>4068000</v>
      </c>
      <c r="I1547" s="2">
        <f t="shared" si="136"/>
        <v>0.80236686390532541</v>
      </c>
      <c r="J1547" s="4">
        <v>4700000</v>
      </c>
      <c r="K1547" s="2">
        <f t="shared" si="137"/>
        <v>0.92702169625246544</v>
      </c>
      <c r="L1547" t="s">
        <v>4816</v>
      </c>
      <c r="M1547" t="s">
        <v>174</v>
      </c>
      <c r="N1547" t="b">
        <f t="shared" si="138"/>
        <v>0</v>
      </c>
    </row>
    <row r="1548" spans="1:14" x14ac:dyDescent="0.15">
      <c r="A1548" t="s">
        <v>13086</v>
      </c>
      <c r="B1548" t="s">
        <v>13089</v>
      </c>
      <c r="C1548" t="s">
        <v>13114</v>
      </c>
      <c r="D1548" t="s">
        <v>23</v>
      </c>
      <c r="E1548" t="s">
        <v>13115</v>
      </c>
      <c r="F1548" s="5">
        <f t="shared" si="135"/>
        <v>2029000</v>
      </c>
      <c r="G1548" s="5">
        <v>2029000</v>
      </c>
      <c r="H1548" s="4">
        <v>1593000</v>
      </c>
      <c r="I1548" s="2">
        <f t="shared" si="136"/>
        <v>0.78511582060128138</v>
      </c>
      <c r="J1548" s="4">
        <v>1940000</v>
      </c>
      <c r="K1548" s="2">
        <f t="shared" si="137"/>
        <v>0.95613602759980287</v>
      </c>
      <c r="L1548" t="s">
        <v>13096</v>
      </c>
      <c r="M1548" t="s">
        <v>165</v>
      </c>
      <c r="N1548" t="b">
        <f t="shared" si="138"/>
        <v>0</v>
      </c>
    </row>
    <row r="1549" spans="1:14" x14ac:dyDescent="0.15">
      <c r="A1549" t="s">
        <v>13086</v>
      </c>
      <c r="B1549" t="s">
        <v>13089</v>
      </c>
      <c r="C1549" t="s">
        <v>13116</v>
      </c>
      <c r="D1549" t="s">
        <v>23</v>
      </c>
      <c r="E1549" t="s">
        <v>13117</v>
      </c>
      <c r="F1549" s="5">
        <f t="shared" si="135"/>
        <v>1300000</v>
      </c>
      <c r="G1549" s="5">
        <v>1300000</v>
      </c>
      <c r="H1549" s="4">
        <v>1044000</v>
      </c>
      <c r="I1549" s="2">
        <f t="shared" si="136"/>
        <v>0.80307692307692302</v>
      </c>
      <c r="J1549" s="4">
        <v>1240000</v>
      </c>
      <c r="K1549" s="2">
        <f t="shared" si="137"/>
        <v>0.9538461538461539</v>
      </c>
      <c r="L1549" t="s">
        <v>13096</v>
      </c>
      <c r="M1549" t="s">
        <v>165</v>
      </c>
      <c r="N1549" t="b">
        <f t="shared" si="138"/>
        <v>0</v>
      </c>
    </row>
    <row r="1550" spans="1:14" x14ac:dyDescent="0.15">
      <c r="A1550" t="s">
        <v>13086</v>
      </c>
      <c r="B1550" t="s">
        <v>13089</v>
      </c>
      <c r="C1550" t="s">
        <v>13118</v>
      </c>
      <c r="D1550" t="s">
        <v>23</v>
      </c>
      <c r="E1550" t="s">
        <v>13119</v>
      </c>
      <c r="F1550" s="5">
        <f t="shared" si="135"/>
        <v>3421000</v>
      </c>
      <c r="G1550" s="5">
        <v>3421000</v>
      </c>
      <c r="H1550" s="4">
        <v>2688000</v>
      </c>
      <c r="I1550" s="2">
        <f t="shared" si="136"/>
        <v>0.78573516515638697</v>
      </c>
      <c r="J1550" s="4">
        <v>3250000</v>
      </c>
      <c r="K1550" s="2">
        <f t="shared" si="137"/>
        <v>0.95001461560947087</v>
      </c>
      <c r="L1550" t="s">
        <v>13096</v>
      </c>
      <c r="M1550" t="s">
        <v>165</v>
      </c>
      <c r="N1550" t="b">
        <f t="shared" si="138"/>
        <v>0</v>
      </c>
    </row>
    <row r="1551" spans="1:14" x14ac:dyDescent="0.15">
      <c r="A1551" t="s">
        <v>13086</v>
      </c>
      <c r="B1551" t="s">
        <v>13089</v>
      </c>
      <c r="C1551" t="s">
        <v>13120</v>
      </c>
      <c r="D1551" t="s">
        <v>23</v>
      </c>
      <c r="E1551" t="s">
        <v>13121</v>
      </c>
      <c r="F1551" s="5">
        <f t="shared" si="135"/>
        <v>3725000</v>
      </c>
      <c r="G1551" s="5">
        <v>3725000</v>
      </c>
      <c r="H1551" s="4">
        <v>2927000</v>
      </c>
      <c r="I1551" s="2">
        <f t="shared" si="136"/>
        <v>0.78577181208053692</v>
      </c>
      <c r="J1551" s="4">
        <v>3540000</v>
      </c>
      <c r="K1551" s="2">
        <f t="shared" si="137"/>
        <v>0.95033557046979866</v>
      </c>
      <c r="L1551" t="s">
        <v>13105</v>
      </c>
      <c r="M1551" t="s">
        <v>165</v>
      </c>
      <c r="N1551" t="b">
        <f t="shared" si="138"/>
        <v>0</v>
      </c>
    </row>
    <row r="1552" spans="1:14" x14ac:dyDescent="0.15">
      <c r="A1552" t="s">
        <v>13086</v>
      </c>
      <c r="B1552" t="s">
        <v>13089</v>
      </c>
      <c r="C1552" t="s">
        <v>13122</v>
      </c>
      <c r="D1552" t="s">
        <v>23</v>
      </c>
      <c r="E1552" t="s">
        <v>13123</v>
      </c>
      <c r="F1552" s="5">
        <f t="shared" si="135"/>
        <v>3310000</v>
      </c>
      <c r="G1552" s="5">
        <v>3310000</v>
      </c>
      <c r="H1552" s="4">
        <v>2640000</v>
      </c>
      <c r="I1552" s="2">
        <f t="shared" si="136"/>
        <v>0.797583081570997</v>
      </c>
      <c r="J1552" s="4">
        <v>3200000</v>
      </c>
      <c r="K1552" s="2">
        <f t="shared" si="137"/>
        <v>0.96676737160120851</v>
      </c>
      <c r="L1552" t="s">
        <v>39</v>
      </c>
      <c r="M1552" t="s">
        <v>165</v>
      </c>
      <c r="N1552" t="b">
        <f t="shared" si="138"/>
        <v>0</v>
      </c>
    </row>
    <row r="1553" spans="1:14" x14ac:dyDescent="0.15">
      <c r="A1553" t="s">
        <v>13086</v>
      </c>
      <c r="B1553" t="s">
        <v>13089</v>
      </c>
      <c r="C1553" t="s">
        <v>13124</v>
      </c>
      <c r="D1553" t="s">
        <v>23</v>
      </c>
      <c r="E1553" t="s">
        <v>13125</v>
      </c>
      <c r="F1553" s="5">
        <f t="shared" si="135"/>
        <v>23020000</v>
      </c>
      <c r="G1553" s="5">
        <v>23020000</v>
      </c>
      <c r="H1553" s="4">
        <v>18112000</v>
      </c>
      <c r="I1553" s="2">
        <f t="shared" si="136"/>
        <v>0.78679409209383144</v>
      </c>
      <c r="J1553" s="4">
        <v>18112000</v>
      </c>
      <c r="K1553" s="2">
        <f t="shared" si="137"/>
        <v>0.78679409209383144</v>
      </c>
      <c r="L1553" t="s">
        <v>360</v>
      </c>
      <c r="M1553" t="s">
        <v>192</v>
      </c>
      <c r="N1553" t="b">
        <f t="shared" si="138"/>
        <v>0</v>
      </c>
    </row>
    <row r="1554" spans="1:14" x14ac:dyDescent="0.15">
      <c r="A1554" t="s">
        <v>13086</v>
      </c>
      <c r="B1554" t="s">
        <v>13089</v>
      </c>
      <c r="C1554" t="s">
        <v>13126</v>
      </c>
      <c r="D1554" t="s">
        <v>23</v>
      </c>
      <c r="E1554" t="s">
        <v>13127</v>
      </c>
      <c r="F1554" s="5">
        <f t="shared" si="135"/>
        <v>1718000</v>
      </c>
      <c r="G1554" s="5">
        <v>1718000</v>
      </c>
      <c r="I1554" s="2">
        <f t="shared" si="136"/>
        <v>0</v>
      </c>
      <c r="J1554" s="4">
        <v>1600000</v>
      </c>
      <c r="K1554" s="2">
        <f t="shared" si="137"/>
        <v>0.93131548311990686</v>
      </c>
      <c r="L1554" t="s">
        <v>360</v>
      </c>
      <c r="M1554" t="s">
        <v>432</v>
      </c>
      <c r="N1554" t="b">
        <f t="shared" si="138"/>
        <v>0</v>
      </c>
    </row>
    <row r="1555" spans="1:14" x14ac:dyDescent="0.15">
      <c r="A1555" t="s">
        <v>13086</v>
      </c>
      <c r="B1555" t="s">
        <v>13089</v>
      </c>
      <c r="C1555" t="s">
        <v>13128</v>
      </c>
      <c r="D1555" t="s">
        <v>23</v>
      </c>
      <c r="E1555" t="s">
        <v>13129</v>
      </c>
      <c r="F1555" s="5">
        <f t="shared" si="135"/>
        <v>1700000</v>
      </c>
      <c r="G1555" s="5">
        <v>1700000</v>
      </c>
      <c r="H1555" s="4">
        <v>1355000</v>
      </c>
      <c r="I1555" s="2">
        <f t="shared" si="136"/>
        <v>0.79705882352941182</v>
      </c>
      <c r="J1555" s="4">
        <v>1450000</v>
      </c>
      <c r="K1555" s="2">
        <f t="shared" si="137"/>
        <v>0.8529411764705882</v>
      </c>
      <c r="L1555" t="s">
        <v>4816</v>
      </c>
      <c r="M1555" t="s">
        <v>165</v>
      </c>
      <c r="N1555" t="b">
        <f t="shared" si="138"/>
        <v>0</v>
      </c>
    </row>
    <row r="1556" spans="1:14" x14ac:dyDescent="0.15">
      <c r="A1556" t="s">
        <v>13086</v>
      </c>
      <c r="B1556" t="s">
        <v>13089</v>
      </c>
      <c r="C1556" t="s">
        <v>13130</v>
      </c>
      <c r="D1556" t="s">
        <v>23</v>
      </c>
      <c r="E1556" t="s">
        <v>13131</v>
      </c>
      <c r="F1556" s="5">
        <f t="shared" si="135"/>
        <v>960000</v>
      </c>
      <c r="G1556" s="5">
        <v>960000</v>
      </c>
      <c r="H1556" s="4">
        <v>765000</v>
      </c>
      <c r="I1556" s="2">
        <f t="shared" si="136"/>
        <v>0.796875</v>
      </c>
      <c r="J1556" s="4">
        <v>910000</v>
      </c>
      <c r="K1556" s="2">
        <f t="shared" si="137"/>
        <v>0.94791666666666663</v>
      </c>
      <c r="L1556" t="s">
        <v>13105</v>
      </c>
      <c r="M1556" t="s">
        <v>165</v>
      </c>
      <c r="N1556" t="b">
        <f t="shared" si="138"/>
        <v>0</v>
      </c>
    </row>
    <row r="1557" spans="1:14" x14ac:dyDescent="0.15">
      <c r="A1557" t="s">
        <v>13086</v>
      </c>
      <c r="B1557" t="s">
        <v>13089</v>
      </c>
      <c r="C1557" t="s">
        <v>13132</v>
      </c>
      <c r="D1557" t="s">
        <v>23</v>
      </c>
      <c r="E1557" t="s">
        <v>13133</v>
      </c>
      <c r="F1557" s="5">
        <f t="shared" si="135"/>
        <v>2105000</v>
      </c>
      <c r="G1557" s="5">
        <v>2105000</v>
      </c>
      <c r="H1557" s="4">
        <v>1746000</v>
      </c>
      <c r="I1557" s="2">
        <f t="shared" si="136"/>
        <v>0.82945368171021383</v>
      </c>
      <c r="J1557" s="4">
        <v>2000000</v>
      </c>
      <c r="K1557" s="2">
        <f t="shared" si="137"/>
        <v>0.95011876484560565</v>
      </c>
      <c r="L1557" t="s">
        <v>13105</v>
      </c>
      <c r="M1557" t="s">
        <v>165</v>
      </c>
      <c r="N1557" t="b">
        <f t="shared" si="138"/>
        <v>0</v>
      </c>
    </row>
    <row r="1558" spans="1:14" x14ac:dyDescent="0.15">
      <c r="A1558" t="s">
        <v>13086</v>
      </c>
      <c r="B1558" t="s">
        <v>13089</v>
      </c>
      <c r="C1558" t="s">
        <v>13134</v>
      </c>
      <c r="D1558" t="s">
        <v>23</v>
      </c>
      <c r="E1558" t="s">
        <v>13135</v>
      </c>
      <c r="F1558" s="5">
        <f t="shared" si="135"/>
        <v>990000</v>
      </c>
      <c r="G1558" s="5">
        <v>990000</v>
      </c>
      <c r="H1558" s="4">
        <v>789000</v>
      </c>
      <c r="I1558" s="2">
        <f t="shared" si="136"/>
        <v>0.79696969696969699</v>
      </c>
      <c r="J1558" s="4">
        <v>890000</v>
      </c>
      <c r="K1558" s="2">
        <f t="shared" si="137"/>
        <v>0.89898989898989901</v>
      </c>
      <c r="L1558" t="s">
        <v>6112</v>
      </c>
      <c r="M1558" t="s">
        <v>165</v>
      </c>
      <c r="N1558" t="b">
        <f t="shared" si="138"/>
        <v>0</v>
      </c>
    </row>
    <row r="1559" spans="1:14" x14ac:dyDescent="0.15">
      <c r="A1559" t="s">
        <v>13086</v>
      </c>
      <c r="B1559" t="s">
        <v>13089</v>
      </c>
      <c r="C1559" t="s">
        <v>13136</v>
      </c>
      <c r="D1559" t="s">
        <v>23</v>
      </c>
      <c r="E1559" t="s">
        <v>13137</v>
      </c>
      <c r="F1559" s="5">
        <f t="shared" si="135"/>
        <v>5320000</v>
      </c>
      <c r="G1559" s="5">
        <v>5320000</v>
      </c>
      <c r="H1559" s="4">
        <v>4239000</v>
      </c>
      <c r="I1559" s="2">
        <f t="shared" si="136"/>
        <v>0.79680451127819552</v>
      </c>
      <c r="J1559" s="4">
        <v>5000000</v>
      </c>
      <c r="K1559" s="2">
        <f t="shared" si="137"/>
        <v>0.93984962406015038</v>
      </c>
      <c r="L1559" t="s">
        <v>10326</v>
      </c>
      <c r="M1559" t="s">
        <v>165</v>
      </c>
      <c r="N1559" t="b">
        <f t="shared" si="138"/>
        <v>0</v>
      </c>
    </row>
    <row r="1560" spans="1:14" x14ac:dyDescent="0.15">
      <c r="A1560" t="s">
        <v>13086</v>
      </c>
      <c r="B1560" t="s">
        <v>13089</v>
      </c>
      <c r="C1560" t="s">
        <v>13138</v>
      </c>
      <c r="D1560" t="s">
        <v>23</v>
      </c>
      <c r="E1560" t="s">
        <v>13139</v>
      </c>
      <c r="F1560" s="5">
        <f t="shared" si="135"/>
        <v>681000</v>
      </c>
      <c r="G1560" s="5">
        <v>681000</v>
      </c>
      <c r="H1560" s="4">
        <v>541000</v>
      </c>
      <c r="I1560" s="2">
        <f t="shared" si="136"/>
        <v>0.79441997063142433</v>
      </c>
      <c r="J1560" s="4">
        <v>650000</v>
      </c>
      <c r="K1560" s="2">
        <f t="shared" si="137"/>
        <v>0.95447870778267252</v>
      </c>
      <c r="L1560" t="s">
        <v>6112</v>
      </c>
      <c r="M1560" t="s">
        <v>432</v>
      </c>
      <c r="N1560" t="b">
        <f t="shared" si="138"/>
        <v>0</v>
      </c>
    </row>
    <row r="1561" spans="1:14" x14ac:dyDescent="0.15">
      <c r="A1561" t="s">
        <v>13086</v>
      </c>
      <c r="B1561" t="s">
        <v>13089</v>
      </c>
      <c r="C1561" t="s">
        <v>13140</v>
      </c>
      <c r="D1561" t="s">
        <v>23</v>
      </c>
      <c r="E1561" t="s">
        <v>13141</v>
      </c>
      <c r="F1561" s="5">
        <f t="shared" si="135"/>
        <v>33270000</v>
      </c>
      <c r="G1561" s="5">
        <v>33270000</v>
      </c>
      <c r="H1561" s="4">
        <v>26481000</v>
      </c>
      <c r="I1561" s="2">
        <f t="shared" si="136"/>
        <v>0.79594229035166819</v>
      </c>
      <c r="J1561" s="4">
        <v>27590000</v>
      </c>
      <c r="K1561" s="2">
        <f t="shared" si="137"/>
        <v>0.82927562368500152</v>
      </c>
      <c r="L1561" t="s">
        <v>39</v>
      </c>
      <c r="M1561" t="s">
        <v>165</v>
      </c>
      <c r="N1561" t="b">
        <f t="shared" si="138"/>
        <v>0</v>
      </c>
    </row>
    <row r="1562" spans="1:14" x14ac:dyDescent="0.15">
      <c r="A1562" t="s">
        <v>13086</v>
      </c>
      <c r="B1562" t="s">
        <v>13089</v>
      </c>
      <c r="C1562" t="s">
        <v>13142</v>
      </c>
      <c r="D1562" t="s">
        <v>23</v>
      </c>
      <c r="E1562" t="s">
        <v>13143</v>
      </c>
      <c r="F1562" s="5">
        <f t="shared" si="135"/>
        <v>8701000</v>
      </c>
      <c r="G1562" s="5">
        <v>8701000</v>
      </c>
      <c r="H1562" s="4">
        <v>6924000</v>
      </c>
      <c r="I1562" s="2">
        <f t="shared" si="136"/>
        <v>0.79577060108033559</v>
      </c>
      <c r="J1562" s="4">
        <v>6924000</v>
      </c>
      <c r="K1562" s="2">
        <f t="shared" si="137"/>
        <v>0.79577060108033559</v>
      </c>
      <c r="L1562" t="s">
        <v>360</v>
      </c>
      <c r="M1562" t="s">
        <v>165</v>
      </c>
      <c r="N1562" t="b">
        <f t="shared" si="138"/>
        <v>0</v>
      </c>
    </row>
    <row r="1563" spans="1:14" x14ac:dyDescent="0.15">
      <c r="A1563" t="s">
        <v>13086</v>
      </c>
      <c r="B1563" t="s">
        <v>13089</v>
      </c>
      <c r="C1563" t="s">
        <v>13090</v>
      </c>
      <c r="D1563" t="s">
        <v>23</v>
      </c>
      <c r="E1563" t="s">
        <v>13144</v>
      </c>
      <c r="F1563" s="5">
        <f t="shared" si="135"/>
        <v>3140000</v>
      </c>
      <c r="G1563" s="5">
        <v>3140000</v>
      </c>
      <c r="H1563" s="4">
        <v>2499000</v>
      </c>
      <c r="I1563" s="2">
        <f t="shared" si="136"/>
        <v>0.79585987261146496</v>
      </c>
      <c r="J1563" s="4">
        <v>2900000</v>
      </c>
      <c r="K1563" s="2">
        <f t="shared" si="137"/>
        <v>0.92356687898089174</v>
      </c>
      <c r="L1563" t="s">
        <v>4816</v>
      </c>
      <c r="M1563" t="s">
        <v>174</v>
      </c>
      <c r="N1563" t="b">
        <f t="shared" si="138"/>
        <v>0</v>
      </c>
    </row>
    <row r="1564" spans="1:14" x14ac:dyDescent="0.15">
      <c r="A1564" t="s">
        <v>13086</v>
      </c>
      <c r="B1564" t="s">
        <v>13089</v>
      </c>
      <c r="C1564" t="s">
        <v>13145</v>
      </c>
      <c r="D1564" t="s">
        <v>23</v>
      </c>
      <c r="E1564" t="s">
        <v>13146</v>
      </c>
      <c r="F1564" s="5">
        <f t="shared" si="135"/>
        <v>1420000</v>
      </c>
      <c r="G1564" s="5">
        <v>1420000</v>
      </c>
      <c r="H1564" s="4">
        <v>1129000</v>
      </c>
      <c r="I1564" s="2">
        <f t="shared" si="136"/>
        <v>0.79507042253521132</v>
      </c>
      <c r="J1564" s="4">
        <v>1380000</v>
      </c>
      <c r="K1564" s="2">
        <f t="shared" si="137"/>
        <v>0.971830985915493</v>
      </c>
      <c r="L1564" t="s">
        <v>2674</v>
      </c>
      <c r="M1564" t="s">
        <v>165</v>
      </c>
      <c r="N1564" t="b">
        <f t="shared" si="138"/>
        <v>0</v>
      </c>
    </row>
    <row r="1565" spans="1:14" x14ac:dyDescent="0.15">
      <c r="A1565" t="s">
        <v>13086</v>
      </c>
      <c r="B1565" t="s">
        <v>13089</v>
      </c>
      <c r="C1565" t="s">
        <v>13147</v>
      </c>
      <c r="D1565" t="s">
        <v>23</v>
      </c>
      <c r="E1565" t="s">
        <v>13148</v>
      </c>
      <c r="F1565" s="5">
        <f t="shared" si="135"/>
        <v>4960000</v>
      </c>
      <c r="G1565" s="5">
        <v>4960000</v>
      </c>
      <c r="H1565" s="4">
        <v>3953000</v>
      </c>
      <c r="I1565" s="2">
        <f t="shared" si="136"/>
        <v>0.79697580645161292</v>
      </c>
      <c r="J1565" s="4">
        <v>4680000</v>
      </c>
      <c r="K1565" s="2">
        <f t="shared" si="137"/>
        <v>0.94354838709677424</v>
      </c>
      <c r="L1565" t="s">
        <v>39</v>
      </c>
      <c r="M1565" t="s">
        <v>165</v>
      </c>
      <c r="N1565" t="b">
        <f t="shared" si="138"/>
        <v>0</v>
      </c>
    </row>
    <row r="1566" spans="1:14" x14ac:dyDescent="0.15">
      <c r="A1566" t="s">
        <v>13086</v>
      </c>
      <c r="B1566" t="s">
        <v>13089</v>
      </c>
      <c r="C1566" t="s">
        <v>13149</v>
      </c>
      <c r="D1566" t="s">
        <v>23</v>
      </c>
      <c r="E1566" t="s">
        <v>13150</v>
      </c>
      <c r="F1566" s="5">
        <f t="shared" si="135"/>
        <v>8720000</v>
      </c>
      <c r="G1566" s="5">
        <v>8720000</v>
      </c>
      <c r="H1566" s="4">
        <v>6945000</v>
      </c>
      <c r="I1566" s="2">
        <f t="shared" si="136"/>
        <v>0.79644495412844041</v>
      </c>
      <c r="J1566" s="4">
        <v>7950000</v>
      </c>
      <c r="K1566" s="2">
        <f t="shared" si="137"/>
        <v>0.91169724770642202</v>
      </c>
      <c r="L1566" t="s">
        <v>39</v>
      </c>
      <c r="M1566" t="s">
        <v>165</v>
      </c>
      <c r="N1566" t="b">
        <f t="shared" si="138"/>
        <v>0</v>
      </c>
    </row>
    <row r="1567" spans="1:14" x14ac:dyDescent="0.15">
      <c r="A1567" t="s">
        <v>13086</v>
      </c>
      <c r="B1567" t="s">
        <v>13089</v>
      </c>
      <c r="C1567" t="s">
        <v>13151</v>
      </c>
      <c r="D1567" t="s">
        <v>23</v>
      </c>
      <c r="E1567" t="s">
        <v>13152</v>
      </c>
      <c r="F1567" s="5">
        <f t="shared" si="135"/>
        <v>7900000</v>
      </c>
      <c r="G1567" s="5">
        <v>7900000</v>
      </c>
      <c r="H1567" s="4">
        <v>6202000</v>
      </c>
      <c r="I1567" s="2">
        <f t="shared" si="136"/>
        <v>0.78506329113924056</v>
      </c>
      <c r="J1567" s="4">
        <v>7000000</v>
      </c>
      <c r="K1567" s="2">
        <f t="shared" si="137"/>
        <v>0.88607594936708856</v>
      </c>
      <c r="L1567" t="s">
        <v>39</v>
      </c>
      <c r="M1567" t="s">
        <v>165</v>
      </c>
      <c r="N1567" t="b">
        <f t="shared" si="138"/>
        <v>0</v>
      </c>
    </row>
    <row r="1568" spans="1:14" x14ac:dyDescent="0.15">
      <c r="A1568" t="s">
        <v>13086</v>
      </c>
      <c r="B1568" t="s">
        <v>13089</v>
      </c>
      <c r="C1568" t="s">
        <v>13153</v>
      </c>
      <c r="D1568" t="s">
        <v>23</v>
      </c>
      <c r="E1568" t="s">
        <v>12324</v>
      </c>
      <c r="F1568" s="5">
        <f t="shared" si="135"/>
        <v>480000</v>
      </c>
      <c r="G1568" s="5">
        <v>480000</v>
      </c>
      <c r="H1568" s="4">
        <v>391000</v>
      </c>
      <c r="I1568" s="2">
        <f t="shared" si="136"/>
        <v>0.81458333333333333</v>
      </c>
      <c r="J1568" s="4">
        <v>470000</v>
      </c>
      <c r="K1568" s="2">
        <f t="shared" si="137"/>
        <v>0.97916666666666663</v>
      </c>
      <c r="L1568" t="s">
        <v>6112</v>
      </c>
      <c r="M1568" t="s">
        <v>432</v>
      </c>
      <c r="N1568" t="b">
        <f t="shared" si="138"/>
        <v>0</v>
      </c>
    </row>
    <row r="1569" spans="1:14" x14ac:dyDescent="0.15">
      <c r="A1569" t="s">
        <v>13086</v>
      </c>
      <c r="B1569" t="s">
        <v>13089</v>
      </c>
      <c r="C1569" t="s">
        <v>13154</v>
      </c>
      <c r="D1569" t="s">
        <v>23</v>
      </c>
      <c r="E1569" t="s">
        <v>13155</v>
      </c>
      <c r="F1569" s="5">
        <f t="shared" si="135"/>
        <v>1170000</v>
      </c>
      <c r="G1569" s="5">
        <v>1170000</v>
      </c>
      <c r="H1569" s="4">
        <v>932000</v>
      </c>
      <c r="I1569" s="2">
        <f t="shared" si="136"/>
        <v>0.79658119658119653</v>
      </c>
      <c r="J1569" s="4">
        <v>1120000</v>
      </c>
      <c r="K1569" s="2">
        <f t="shared" si="137"/>
        <v>0.95726495726495731</v>
      </c>
      <c r="L1569" t="s">
        <v>13096</v>
      </c>
      <c r="M1569" t="s">
        <v>165</v>
      </c>
      <c r="N1569" t="b">
        <f t="shared" si="138"/>
        <v>0</v>
      </c>
    </row>
    <row r="1570" spans="1:14" x14ac:dyDescent="0.15">
      <c r="A1570" t="s">
        <v>13156</v>
      </c>
      <c r="B1570" t="s">
        <v>13159</v>
      </c>
      <c r="C1570" t="s">
        <v>13157</v>
      </c>
      <c r="D1570" t="s">
        <v>118</v>
      </c>
      <c r="E1570" t="s">
        <v>13158</v>
      </c>
      <c r="F1570" s="5">
        <f t="shared" si="135"/>
        <v>18368000</v>
      </c>
      <c r="G1570" s="5">
        <v>18368000</v>
      </c>
      <c r="H1570" s="4">
        <v>14749000</v>
      </c>
      <c r="I1570" s="2">
        <f t="shared" si="136"/>
        <v>0.80297256097560976</v>
      </c>
      <c r="J1570" s="4">
        <v>17300000</v>
      </c>
      <c r="K1570" s="2">
        <f t="shared" si="137"/>
        <v>0.94185540069686413</v>
      </c>
      <c r="L1570" t="s">
        <v>13160</v>
      </c>
      <c r="M1570" t="s">
        <v>21</v>
      </c>
      <c r="N1570" t="b">
        <f t="shared" si="138"/>
        <v>0</v>
      </c>
    </row>
    <row r="1571" spans="1:14" x14ac:dyDescent="0.15">
      <c r="A1571" t="s">
        <v>13156</v>
      </c>
      <c r="B1571" t="s">
        <v>13159</v>
      </c>
      <c r="C1571" t="s">
        <v>13161</v>
      </c>
      <c r="D1571" t="s">
        <v>23</v>
      </c>
      <c r="E1571" t="s">
        <v>13162</v>
      </c>
      <c r="F1571" s="5">
        <f t="shared" si="135"/>
        <v>4398000</v>
      </c>
      <c r="G1571" s="5">
        <v>4398000</v>
      </c>
      <c r="I1571" s="2">
        <f t="shared" si="136"/>
        <v>0</v>
      </c>
      <c r="J1571" s="4">
        <v>4350000</v>
      </c>
      <c r="K1571" s="2">
        <f t="shared" si="137"/>
        <v>0.98908594815825379</v>
      </c>
      <c r="L1571" t="s">
        <v>12646</v>
      </c>
      <c r="M1571" t="s">
        <v>165</v>
      </c>
      <c r="N1571" t="b">
        <f t="shared" si="138"/>
        <v>0</v>
      </c>
    </row>
    <row r="1572" spans="1:14" x14ac:dyDescent="0.15">
      <c r="A1572" t="s">
        <v>13156</v>
      </c>
      <c r="B1572" t="s">
        <v>13159</v>
      </c>
      <c r="C1572" t="s">
        <v>13163</v>
      </c>
      <c r="D1572" t="s">
        <v>118</v>
      </c>
      <c r="E1572" t="s">
        <v>13164</v>
      </c>
      <c r="F1572" s="5">
        <f t="shared" si="135"/>
        <v>26640000</v>
      </c>
      <c r="G1572" s="5">
        <v>26640000</v>
      </c>
      <c r="I1572" s="2">
        <f t="shared" si="136"/>
        <v>0</v>
      </c>
      <c r="J1572" s="4">
        <v>19850000</v>
      </c>
      <c r="K1572" s="2">
        <f t="shared" si="137"/>
        <v>0.74512012012012008</v>
      </c>
      <c r="L1572" t="s">
        <v>13054</v>
      </c>
      <c r="M1572" t="s">
        <v>432</v>
      </c>
      <c r="N1572" t="b">
        <f t="shared" si="138"/>
        <v>0</v>
      </c>
    </row>
    <row r="1573" spans="1:14" x14ac:dyDescent="0.15">
      <c r="A1573" t="s">
        <v>13156</v>
      </c>
      <c r="B1573" t="s">
        <v>13159</v>
      </c>
      <c r="C1573" t="s">
        <v>13165</v>
      </c>
      <c r="D1573" t="s">
        <v>23</v>
      </c>
      <c r="E1573" t="s">
        <v>13166</v>
      </c>
      <c r="F1573" s="5">
        <f t="shared" si="135"/>
        <v>9061000</v>
      </c>
      <c r="G1573" s="5">
        <v>9061000</v>
      </c>
      <c r="I1573" s="2">
        <f t="shared" si="136"/>
        <v>0</v>
      </c>
      <c r="J1573" s="4">
        <v>4600000</v>
      </c>
      <c r="K1573" s="2">
        <f t="shared" si="137"/>
        <v>0.50767023507339148</v>
      </c>
      <c r="L1573" t="s">
        <v>819</v>
      </c>
      <c r="M1573" t="s">
        <v>165</v>
      </c>
      <c r="N1573" t="b">
        <f t="shared" si="138"/>
        <v>0</v>
      </c>
    </row>
    <row r="1574" spans="1:14" x14ac:dyDescent="0.15">
      <c r="A1574" t="s">
        <v>13156</v>
      </c>
      <c r="B1574" t="s">
        <v>13159</v>
      </c>
      <c r="C1574" t="s">
        <v>13167</v>
      </c>
      <c r="D1574" t="s">
        <v>118</v>
      </c>
      <c r="E1574" t="s">
        <v>13168</v>
      </c>
      <c r="F1574" s="5">
        <f t="shared" si="135"/>
        <v>25110000</v>
      </c>
      <c r="G1574" s="5">
        <v>25110000</v>
      </c>
      <c r="H1574" s="4">
        <v>19861000</v>
      </c>
      <c r="I1574" s="2">
        <f t="shared" si="136"/>
        <v>0.79095977698128239</v>
      </c>
      <c r="J1574" s="4">
        <v>23900000</v>
      </c>
      <c r="K1574" s="2">
        <f t="shared" si="137"/>
        <v>0.95181202708084434</v>
      </c>
      <c r="L1574" t="s">
        <v>13169</v>
      </c>
      <c r="M1574" t="s">
        <v>183</v>
      </c>
      <c r="N1574" t="b">
        <f t="shared" si="138"/>
        <v>0</v>
      </c>
    </row>
    <row r="1575" spans="1:14" x14ac:dyDescent="0.15">
      <c r="A1575" t="s">
        <v>13156</v>
      </c>
      <c r="B1575" t="s">
        <v>13159</v>
      </c>
      <c r="C1575" t="s">
        <v>13170</v>
      </c>
      <c r="D1575" t="s">
        <v>23</v>
      </c>
      <c r="E1575" t="s">
        <v>13171</v>
      </c>
      <c r="F1575" s="5">
        <f t="shared" si="135"/>
        <v>6150000</v>
      </c>
      <c r="G1575" s="5">
        <v>6150000</v>
      </c>
      <c r="H1575" s="4">
        <v>4334000</v>
      </c>
      <c r="I1575" s="2">
        <f t="shared" si="136"/>
        <v>0.70471544715447154</v>
      </c>
      <c r="J1575" s="4">
        <v>6000000</v>
      </c>
      <c r="K1575" s="2">
        <f t="shared" si="137"/>
        <v>0.97560975609756095</v>
      </c>
      <c r="L1575" t="s">
        <v>13172</v>
      </c>
      <c r="M1575" t="s">
        <v>165</v>
      </c>
      <c r="N1575" t="b">
        <f t="shared" si="138"/>
        <v>0</v>
      </c>
    </row>
    <row r="1576" spans="1:14" x14ac:dyDescent="0.15">
      <c r="A1576" t="s">
        <v>13156</v>
      </c>
      <c r="B1576" t="s">
        <v>13159</v>
      </c>
      <c r="C1576" t="s">
        <v>13173</v>
      </c>
      <c r="D1576" t="s">
        <v>23</v>
      </c>
      <c r="E1576" t="s">
        <v>13174</v>
      </c>
      <c r="F1576" s="5">
        <f t="shared" si="135"/>
        <v>1359000</v>
      </c>
      <c r="G1576" s="5">
        <v>1359000</v>
      </c>
      <c r="I1576" s="2">
        <f t="shared" si="136"/>
        <v>0</v>
      </c>
      <c r="J1576" s="4">
        <v>1190000</v>
      </c>
      <c r="K1576" s="2">
        <f t="shared" si="137"/>
        <v>0.8756438557763061</v>
      </c>
      <c r="L1576" t="s">
        <v>1624</v>
      </c>
      <c r="M1576" t="s">
        <v>165</v>
      </c>
      <c r="N1576" t="b">
        <f t="shared" si="138"/>
        <v>0</v>
      </c>
    </row>
    <row r="1577" spans="1:14" x14ac:dyDescent="0.15">
      <c r="A1577" t="s">
        <v>13156</v>
      </c>
      <c r="B1577" t="s">
        <v>13159</v>
      </c>
      <c r="C1577" t="s">
        <v>13175</v>
      </c>
      <c r="D1577" t="s">
        <v>23</v>
      </c>
      <c r="E1577" t="s">
        <v>13176</v>
      </c>
      <c r="F1577" s="5">
        <f t="shared" si="135"/>
        <v>1625000</v>
      </c>
      <c r="G1577" s="5">
        <v>1625000</v>
      </c>
      <c r="I1577" s="2">
        <f t="shared" si="136"/>
        <v>0</v>
      </c>
      <c r="J1577" s="4">
        <v>1280000</v>
      </c>
      <c r="K1577" s="2">
        <f t="shared" si="137"/>
        <v>0.78769230769230769</v>
      </c>
      <c r="L1577" t="s">
        <v>13177</v>
      </c>
      <c r="M1577" t="s">
        <v>165</v>
      </c>
      <c r="N1577" t="b">
        <f t="shared" si="138"/>
        <v>0</v>
      </c>
    </row>
    <row r="1578" spans="1:14" x14ac:dyDescent="0.15">
      <c r="A1578" t="s">
        <v>13156</v>
      </c>
      <c r="B1578" t="s">
        <v>13159</v>
      </c>
      <c r="C1578" t="s">
        <v>13178</v>
      </c>
      <c r="D1578" t="s">
        <v>118</v>
      </c>
      <c r="E1578" t="s">
        <v>13179</v>
      </c>
      <c r="F1578" s="5">
        <f t="shared" si="135"/>
        <v>20780000</v>
      </c>
      <c r="G1578" s="5">
        <v>20780000</v>
      </c>
      <c r="H1578" s="4">
        <v>16679000</v>
      </c>
      <c r="I1578" s="2">
        <f t="shared" si="136"/>
        <v>0.80264677574590948</v>
      </c>
      <c r="J1578" s="4">
        <v>17800000</v>
      </c>
      <c r="K1578" s="2">
        <f t="shared" si="137"/>
        <v>0.8565928777670837</v>
      </c>
      <c r="L1578" t="s">
        <v>9367</v>
      </c>
      <c r="M1578" t="s">
        <v>139</v>
      </c>
      <c r="N1578" t="b">
        <f t="shared" si="138"/>
        <v>0</v>
      </c>
    </row>
    <row r="1579" spans="1:14" x14ac:dyDescent="0.15">
      <c r="A1579" t="s">
        <v>13156</v>
      </c>
      <c r="B1579" t="s">
        <v>13159</v>
      </c>
      <c r="C1579" t="s">
        <v>13180</v>
      </c>
      <c r="D1579" t="s">
        <v>118</v>
      </c>
      <c r="E1579" t="s">
        <v>13181</v>
      </c>
      <c r="F1579" s="5">
        <f t="shared" si="135"/>
        <v>24971000</v>
      </c>
      <c r="G1579" s="5">
        <v>24971000</v>
      </c>
      <c r="H1579" s="4">
        <v>20048000</v>
      </c>
      <c r="I1579" s="2">
        <f t="shared" si="136"/>
        <v>0.8028513075167194</v>
      </c>
      <c r="J1579" s="4">
        <v>23730000</v>
      </c>
      <c r="K1579" s="2">
        <f t="shared" si="137"/>
        <v>0.9503023507268431</v>
      </c>
      <c r="L1579" t="s">
        <v>13160</v>
      </c>
      <c r="M1579" t="s">
        <v>21</v>
      </c>
      <c r="N1579" t="b">
        <f t="shared" si="138"/>
        <v>0</v>
      </c>
    </row>
    <row r="1580" spans="1:14" x14ac:dyDescent="0.15">
      <c r="A1580" t="s">
        <v>13156</v>
      </c>
      <c r="B1580" t="s">
        <v>13159</v>
      </c>
      <c r="C1580" t="s">
        <v>13182</v>
      </c>
      <c r="D1580" t="s">
        <v>23</v>
      </c>
      <c r="E1580" t="s">
        <v>13183</v>
      </c>
      <c r="F1580" s="5">
        <f t="shared" si="135"/>
        <v>2849000</v>
      </c>
      <c r="G1580" s="5">
        <v>2849000</v>
      </c>
      <c r="H1580" s="4">
        <v>2230000</v>
      </c>
      <c r="I1580" s="2">
        <f t="shared" si="136"/>
        <v>0.78273078273078278</v>
      </c>
      <c r="J1580" s="4">
        <v>2740000</v>
      </c>
      <c r="K1580" s="2">
        <f t="shared" si="137"/>
        <v>0.96174096174096169</v>
      </c>
      <c r="L1580" t="s">
        <v>938</v>
      </c>
      <c r="M1580" t="s">
        <v>165</v>
      </c>
      <c r="N1580" t="b">
        <f t="shared" si="138"/>
        <v>0</v>
      </c>
    </row>
    <row r="1581" spans="1:14" x14ac:dyDescent="0.15">
      <c r="A1581" t="s">
        <v>13156</v>
      </c>
      <c r="B1581" t="s">
        <v>13159</v>
      </c>
      <c r="C1581" t="s">
        <v>13184</v>
      </c>
      <c r="D1581" t="s">
        <v>23</v>
      </c>
      <c r="E1581" t="s">
        <v>13185</v>
      </c>
      <c r="F1581" s="5">
        <f t="shared" si="135"/>
        <v>57217000</v>
      </c>
      <c r="G1581" s="5">
        <v>57217000</v>
      </c>
      <c r="H1581" s="4">
        <v>46335000</v>
      </c>
      <c r="I1581" s="2">
        <f t="shared" si="136"/>
        <v>0.80981176922942477</v>
      </c>
      <c r="J1581" s="4">
        <v>46335000</v>
      </c>
      <c r="K1581" s="2">
        <f t="shared" si="137"/>
        <v>0.80981176922942477</v>
      </c>
      <c r="L1581" t="s">
        <v>387</v>
      </c>
      <c r="M1581" t="s">
        <v>104</v>
      </c>
      <c r="N1581" t="b">
        <f t="shared" si="138"/>
        <v>0</v>
      </c>
    </row>
    <row r="1582" spans="1:14" x14ac:dyDescent="0.15">
      <c r="A1582" t="s">
        <v>13156</v>
      </c>
      <c r="B1582" t="s">
        <v>13159</v>
      </c>
      <c r="C1582" t="s">
        <v>13186</v>
      </c>
      <c r="D1582" t="s">
        <v>23</v>
      </c>
      <c r="E1582" t="s">
        <v>13187</v>
      </c>
      <c r="F1582" s="5">
        <f t="shared" si="135"/>
        <v>5934000</v>
      </c>
      <c r="G1582" s="5">
        <v>5934000</v>
      </c>
      <c r="I1582" s="2">
        <f t="shared" si="136"/>
        <v>0</v>
      </c>
      <c r="J1582" s="4">
        <v>5580000</v>
      </c>
      <c r="K1582" s="2">
        <f t="shared" si="137"/>
        <v>0.94034378159757326</v>
      </c>
      <c r="L1582" t="s">
        <v>12646</v>
      </c>
      <c r="M1582" t="s">
        <v>165</v>
      </c>
      <c r="N1582" t="b">
        <f t="shared" si="138"/>
        <v>0</v>
      </c>
    </row>
    <row r="1583" spans="1:14" x14ac:dyDescent="0.15">
      <c r="A1583" t="s">
        <v>13156</v>
      </c>
      <c r="B1583" t="s">
        <v>13159</v>
      </c>
      <c r="C1583" t="s">
        <v>13188</v>
      </c>
      <c r="D1583" t="s">
        <v>118</v>
      </c>
      <c r="E1583" t="s">
        <v>13189</v>
      </c>
      <c r="F1583" s="5">
        <f t="shared" si="135"/>
        <v>10055000</v>
      </c>
      <c r="G1583" s="5">
        <v>10055000</v>
      </c>
      <c r="H1583" s="4">
        <v>8070000</v>
      </c>
      <c r="I1583" s="2">
        <f t="shared" si="136"/>
        <v>0.80258577821979116</v>
      </c>
      <c r="J1583" s="4">
        <v>9550000</v>
      </c>
      <c r="K1583" s="2">
        <f t="shared" si="137"/>
        <v>0.94977623073097961</v>
      </c>
      <c r="L1583" t="s">
        <v>13172</v>
      </c>
      <c r="M1583" t="s">
        <v>104</v>
      </c>
      <c r="N1583" t="b">
        <f t="shared" si="138"/>
        <v>0</v>
      </c>
    </row>
    <row r="1584" spans="1:14" x14ac:dyDescent="0.15">
      <c r="A1584" t="s">
        <v>13156</v>
      </c>
      <c r="B1584" t="s">
        <v>13159</v>
      </c>
      <c r="C1584" t="s">
        <v>13190</v>
      </c>
      <c r="D1584" t="s">
        <v>118</v>
      </c>
      <c r="E1584" t="s">
        <v>13191</v>
      </c>
      <c r="F1584" s="5">
        <f t="shared" si="135"/>
        <v>36461000</v>
      </c>
      <c r="G1584" s="5">
        <v>36461000</v>
      </c>
      <c r="H1584" s="4">
        <v>29455000</v>
      </c>
      <c r="I1584" s="2">
        <f t="shared" si="136"/>
        <v>0.80784948300924275</v>
      </c>
      <c r="J1584" s="4">
        <v>34600000</v>
      </c>
      <c r="K1584" s="2">
        <f t="shared" si="137"/>
        <v>0.94895916184416229</v>
      </c>
      <c r="L1584" t="s">
        <v>13160</v>
      </c>
      <c r="M1584" t="s">
        <v>1015</v>
      </c>
      <c r="N1584" t="b">
        <f t="shared" si="138"/>
        <v>0</v>
      </c>
    </row>
    <row r="1585" spans="1:14" x14ac:dyDescent="0.15">
      <c r="A1585" t="s">
        <v>13156</v>
      </c>
      <c r="B1585" t="s">
        <v>13159</v>
      </c>
      <c r="C1585" t="s">
        <v>13192</v>
      </c>
      <c r="D1585" t="s">
        <v>118</v>
      </c>
      <c r="E1585" t="s">
        <v>13193</v>
      </c>
      <c r="F1585" s="5">
        <f t="shared" si="135"/>
        <v>11920000</v>
      </c>
      <c r="G1585" s="5">
        <v>11920000</v>
      </c>
      <c r="H1585" s="4">
        <v>9574000</v>
      </c>
      <c r="I1585" s="2">
        <f t="shared" si="136"/>
        <v>0.80318791946308721</v>
      </c>
      <c r="J1585" s="4">
        <v>11300000</v>
      </c>
      <c r="K1585" s="2">
        <f t="shared" si="137"/>
        <v>0.94798657718120805</v>
      </c>
      <c r="L1585" t="s">
        <v>13194</v>
      </c>
      <c r="M1585" t="s">
        <v>174</v>
      </c>
      <c r="N1585" t="b">
        <f t="shared" si="138"/>
        <v>0</v>
      </c>
    </row>
    <row r="1586" spans="1:14" x14ac:dyDescent="0.15">
      <c r="A1586" t="s">
        <v>13156</v>
      </c>
      <c r="B1586" t="s">
        <v>13159</v>
      </c>
      <c r="C1586" t="s">
        <v>13195</v>
      </c>
      <c r="D1586" t="s">
        <v>23</v>
      </c>
      <c r="E1586" t="s">
        <v>12015</v>
      </c>
      <c r="F1586" s="5">
        <f t="shared" si="135"/>
        <v>9006000</v>
      </c>
      <c r="G1586" s="5">
        <v>9006000</v>
      </c>
      <c r="H1586" s="4">
        <v>7242000</v>
      </c>
      <c r="I1586" s="2">
        <f t="shared" si="136"/>
        <v>0.80413057961359091</v>
      </c>
      <c r="J1586" s="4">
        <v>8800000</v>
      </c>
      <c r="K1586" s="2">
        <f t="shared" si="137"/>
        <v>0.97712636020430821</v>
      </c>
      <c r="L1586" t="s">
        <v>360</v>
      </c>
      <c r="M1586" t="s">
        <v>165</v>
      </c>
      <c r="N1586" t="b">
        <f t="shared" si="138"/>
        <v>0</v>
      </c>
    </row>
    <row r="1587" spans="1:14" x14ac:dyDescent="0.15">
      <c r="A1587" t="s">
        <v>13156</v>
      </c>
      <c r="B1587" t="s">
        <v>13159</v>
      </c>
      <c r="C1587" t="s">
        <v>13196</v>
      </c>
      <c r="D1587" t="s">
        <v>118</v>
      </c>
      <c r="E1587" t="s">
        <v>13197</v>
      </c>
      <c r="F1587" s="5">
        <f t="shared" si="135"/>
        <v>31135000</v>
      </c>
      <c r="G1587" s="5">
        <v>31135000</v>
      </c>
      <c r="I1587" s="2">
        <f t="shared" si="136"/>
        <v>0</v>
      </c>
      <c r="J1587" s="4">
        <v>29500000</v>
      </c>
      <c r="K1587" s="2">
        <f t="shared" si="137"/>
        <v>0.94748675124458004</v>
      </c>
      <c r="L1587" t="s">
        <v>13198</v>
      </c>
      <c r="M1587" t="s">
        <v>21</v>
      </c>
      <c r="N1587" t="b">
        <f t="shared" si="138"/>
        <v>0</v>
      </c>
    </row>
    <row r="1588" spans="1:14" x14ac:dyDescent="0.15">
      <c r="A1588" t="s">
        <v>13156</v>
      </c>
      <c r="B1588" t="s">
        <v>13159</v>
      </c>
      <c r="C1588" t="s">
        <v>13199</v>
      </c>
      <c r="D1588" t="s">
        <v>23</v>
      </c>
      <c r="E1588" t="s">
        <v>13200</v>
      </c>
      <c r="F1588" s="5">
        <f t="shared" si="135"/>
        <v>5778000</v>
      </c>
      <c r="G1588" s="5">
        <v>5778000</v>
      </c>
      <c r="H1588" s="4">
        <v>4643000</v>
      </c>
      <c r="I1588" s="2">
        <f t="shared" si="136"/>
        <v>0.80356524749048108</v>
      </c>
      <c r="J1588" s="4">
        <v>5450000</v>
      </c>
      <c r="K1588" s="2">
        <f t="shared" si="137"/>
        <v>0.94323295257874695</v>
      </c>
      <c r="L1588" t="s">
        <v>13172</v>
      </c>
      <c r="M1588" t="s">
        <v>165</v>
      </c>
      <c r="N1588" t="b">
        <f t="shared" si="138"/>
        <v>0</v>
      </c>
    </row>
    <row r="1589" spans="1:14" x14ac:dyDescent="0.15">
      <c r="A1589" t="s">
        <v>13156</v>
      </c>
      <c r="B1589" t="s">
        <v>13159</v>
      </c>
      <c r="C1589" t="s">
        <v>13201</v>
      </c>
      <c r="D1589" t="s">
        <v>23</v>
      </c>
      <c r="E1589" t="s">
        <v>13202</v>
      </c>
      <c r="F1589" s="5">
        <f t="shared" si="135"/>
        <v>8540000</v>
      </c>
      <c r="G1589" s="5">
        <v>8540000</v>
      </c>
      <c r="H1589" s="4">
        <v>6860000</v>
      </c>
      <c r="I1589" s="2">
        <f t="shared" si="136"/>
        <v>0.80327868852459017</v>
      </c>
      <c r="J1589" s="4">
        <v>8200000</v>
      </c>
      <c r="K1589" s="2">
        <f t="shared" si="137"/>
        <v>0.96018735362997654</v>
      </c>
      <c r="L1589" t="s">
        <v>13203</v>
      </c>
      <c r="M1589" t="s">
        <v>165</v>
      </c>
      <c r="N1589" t="b">
        <f t="shared" si="138"/>
        <v>0</v>
      </c>
    </row>
    <row r="1590" spans="1:14" x14ac:dyDescent="0.15">
      <c r="A1590" t="s">
        <v>13156</v>
      </c>
      <c r="B1590" t="s">
        <v>13159</v>
      </c>
      <c r="C1590" t="s">
        <v>13204</v>
      </c>
      <c r="D1590" t="s">
        <v>23</v>
      </c>
      <c r="E1590" t="s">
        <v>13205</v>
      </c>
      <c r="F1590" s="5">
        <f t="shared" si="135"/>
        <v>8910000</v>
      </c>
      <c r="G1590" s="5">
        <v>8910000</v>
      </c>
      <c r="H1590" s="4">
        <v>7160000</v>
      </c>
      <c r="I1590" s="2">
        <f t="shared" si="136"/>
        <v>0.80359147025813693</v>
      </c>
      <c r="J1590" s="4">
        <v>8200000</v>
      </c>
      <c r="K1590" s="2">
        <f t="shared" si="137"/>
        <v>0.92031425364758701</v>
      </c>
      <c r="L1590" t="s">
        <v>4797</v>
      </c>
      <c r="M1590" t="s">
        <v>165</v>
      </c>
      <c r="N1590" t="b">
        <f t="shared" si="138"/>
        <v>0</v>
      </c>
    </row>
    <row r="1591" spans="1:14" x14ac:dyDescent="0.15">
      <c r="A1591" t="s">
        <v>13156</v>
      </c>
      <c r="B1591" t="s">
        <v>13159</v>
      </c>
      <c r="C1591" t="s">
        <v>13206</v>
      </c>
      <c r="D1591" t="s">
        <v>23</v>
      </c>
      <c r="E1591" t="s">
        <v>13207</v>
      </c>
      <c r="F1591" s="5">
        <f t="shared" si="135"/>
        <v>2300000</v>
      </c>
      <c r="G1591" s="5">
        <v>2300000</v>
      </c>
      <c r="H1591" s="4">
        <v>1760000</v>
      </c>
      <c r="I1591" s="2">
        <f t="shared" si="136"/>
        <v>0.76521739130434785</v>
      </c>
      <c r="J1591" s="4">
        <v>2270000</v>
      </c>
      <c r="K1591" s="2">
        <f t="shared" si="137"/>
        <v>0.9869565217391304</v>
      </c>
      <c r="L1591" t="s">
        <v>12840</v>
      </c>
      <c r="M1591" t="s">
        <v>165</v>
      </c>
      <c r="N1591" t="b">
        <f t="shared" si="138"/>
        <v>0</v>
      </c>
    </row>
    <row r="1592" spans="1:14" x14ac:dyDescent="0.15">
      <c r="A1592" t="s">
        <v>13156</v>
      </c>
      <c r="B1592" t="s">
        <v>13159</v>
      </c>
      <c r="C1592" t="s">
        <v>13208</v>
      </c>
      <c r="D1592" t="s">
        <v>23</v>
      </c>
      <c r="E1592" t="s">
        <v>13209</v>
      </c>
      <c r="F1592" s="5">
        <f t="shared" si="135"/>
        <v>3379000</v>
      </c>
      <c r="G1592" s="5">
        <v>3379000</v>
      </c>
      <c r="H1592" s="4">
        <v>2717000</v>
      </c>
      <c r="I1592" s="2">
        <f t="shared" si="136"/>
        <v>0.80408404853506954</v>
      </c>
      <c r="J1592" s="4">
        <v>3100000</v>
      </c>
      <c r="K1592" s="2">
        <f t="shared" si="137"/>
        <v>0.91743119266055051</v>
      </c>
      <c r="L1592" t="s">
        <v>13160</v>
      </c>
      <c r="M1592" t="s">
        <v>165</v>
      </c>
      <c r="N1592" t="b">
        <f t="shared" si="138"/>
        <v>0</v>
      </c>
    </row>
    <row r="1593" spans="1:14" x14ac:dyDescent="0.15">
      <c r="A1593" t="s">
        <v>13156</v>
      </c>
      <c r="B1593" t="s">
        <v>13159</v>
      </c>
      <c r="C1593" t="s">
        <v>13210</v>
      </c>
      <c r="D1593" t="s">
        <v>23</v>
      </c>
      <c r="E1593" t="s">
        <v>13211</v>
      </c>
      <c r="F1593" s="5">
        <f t="shared" si="135"/>
        <v>6552000</v>
      </c>
      <c r="G1593" s="5">
        <v>6552000</v>
      </c>
      <c r="I1593" s="2">
        <f t="shared" si="136"/>
        <v>0</v>
      </c>
      <c r="J1593" s="4">
        <v>6150000</v>
      </c>
      <c r="K1593" s="2">
        <f t="shared" si="137"/>
        <v>0.93864468864468864</v>
      </c>
      <c r="L1593" t="s">
        <v>13172</v>
      </c>
      <c r="M1593" t="s">
        <v>165</v>
      </c>
      <c r="N1593" t="b">
        <f t="shared" si="138"/>
        <v>0</v>
      </c>
    </row>
    <row r="1594" spans="1:14" x14ac:dyDescent="0.15">
      <c r="A1594" t="s">
        <v>13156</v>
      </c>
      <c r="B1594" t="s">
        <v>13159</v>
      </c>
      <c r="C1594" t="s">
        <v>13212</v>
      </c>
      <c r="D1594" t="s">
        <v>23</v>
      </c>
      <c r="E1594" t="s">
        <v>13213</v>
      </c>
      <c r="F1594" s="5">
        <f t="shared" si="135"/>
        <v>8930000</v>
      </c>
      <c r="G1594" s="5">
        <v>8930000</v>
      </c>
      <c r="H1594" s="4">
        <v>7172000</v>
      </c>
      <c r="I1594" s="2">
        <f t="shared" si="136"/>
        <v>0.80313549832026876</v>
      </c>
      <c r="J1594" s="4">
        <v>8500000</v>
      </c>
      <c r="K1594" s="2">
        <f t="shared" si="137"/>
        <v>0.95184770436730126</v>
      </c>
      <c r="L1594" t="s">
        <v>4797</v>
      </c>
      <c r="M1594" t="s">
        <v>165</v>
      </c>
      <c r="N1594" t="b">
        <f t="shared" si="138"/>
        <v>0</v>
      </c>
    </row>
    <row r="1595" spans="1:14" x14ac:dyDescent="0.15">
      <c r="A1595" t="s">
        <v>13156</v>
      </c>
      <c r="B1595" t="s">
        <v>13159</v>
      </c>
      <c r="C1595" t="s">
        <v>13214</v>
      </c>
      <c r="D1595" t="s">
        <v>118</v>
      </c>
      <c r="E1595" t="s">
        <v>13215</v>
      </c>
      <c r="F1595" s="5">
        <f t="shared" si="135"/>
        <v>10332000</v>
      </c>
      <c r="G1595" s="5">
        <v>10332000</v>
      </c>
      <c r="H1595" s="4">
        <v>8234000</v>
      </c>
      <c r="I1595" s="2">
        <f t="shared" si="136"/>
        <v>0.79694154084397983</v>
      </c>
      <c r="J1595" s="4">
        <v>9500000</v>
      </c>
      <c r="K1595" s="2">
        <f t="shared" si="137"/>
        <v>0.91947348044909016</v>
      </c>
      <c r="L1595" t="s">
        <v>13160</v>
      </c>
      <c r="M1595" t="s">
        <v>174</v>
      </c>
      <c r="N1595" t="b">
        <f t="shared" si="138"/>
        <v>0</v>
      </c>
    </row>
    <row r="1596" spans="1:14" x14ac:dyDescent="0.15">
      <c r="A1596" t="s">
        <v>13156</v>
      </c>
      <c r="B1596" t="s">
        <v>13159</v>
      </c>
      <c r="C1596" t="s">
        <v>13216</v>
      </c>
      <c r="D1596" t="s">
        <v>118</v>
      </c>
      <c r="E1596" t="s">
        <v>13217</v>
      </c>
      <c r="F1596" s="5">
        <f t="shared" si="135"/>
        <v>19239000</v>
      </c>
      <c r="G1596" s="5">
        <v>19239000</v>
      </c>
      <c r="H1596" s="4">
        <v>15440000</v>
      </c>
      <c r="I1596" s="2">
        <f t="shared" si="136"/>
        <v>0.80253651437184881</v>
      </c>
      <c r="J1596" s="4">
        <v>15516000</v>
      </c>
      <c r="K1596" s="2">
        <f t="shared" si="137"/>
        <v>0.80648682363948232</v>
      </c>
      <c r="L1596" t="s">
        <v>2598</v>
      </c>
      <c r="M1596" t="s">
        <v>165</v>
      </c>
      <c r="N1596" t="b">
        <f t="shared" si="138"/>
        <v>0</v>
      </c>
    </row>
    <row r="1597" spans="1:14" x14ac:dyDescent="0.15">
      <c r="A1597" t="s">
        <v>13156</v>
      </c>
      <c r="B1597" t="s">
        <v>13159</v>
      </c>
      <c r="C1597" t="s">
        <v>13218</v>
      </c>
      <c r="D1597" t="s">
        <v>23</v>
      </c>
      <c r="E1597" t="s">
        <v>13219</v>
      </c>
      <c r="F1597" s="5">
        <f t="shared" si="135"/>
        <v>3836000</v>
      </c>
      <c r="G1597" s="5">
        <v>3836000</v>
      </c>
      <c r="H1597" s="4">
        <v>3004000</v>
      </c>
      <c r="I1597" s="2">
        <f t="shared" si="136"/>
        <v>0.78310740354535979</v>
      </c>
      <c r="J1597" s="4">
        <v>3600000</v>
      </c>
      <c r="K1597" s="2">
        <f t="shared" si="137"/>
        <v>0.9384775808133472</v>
      </c>
      <c r="L1597" t="s">
        <v>13220</v>
      </c>
      <c r="M1597" t="s">
        <v>165</v>
      </c>
      <c r="N1597" t="b">
        <f t="shared" si="138"/>
        <v>0</v>
      </c>
    </row>
    <row r="1598" spans="1:14" x14ac:dyDescent="0.15">
      <c r="A1598" t="s">
        <v>13156</v>
      </c>
      <c r="B1598" t="s">
        <v>13159</v>
      </c>
      <c r="C1598" t="s">
        <v>13221</v>
      </c>
      <c r="D1598" t="s">
        <v>118</v>
      </c>
      <c r="E1598" t="s">
        <v>13222</v>
      </c>
      <c r="F1598" s="5">
        <f t="shared" si="135"/>
        <v>16310000</v>
      </c>
      <c r="G1598" s="5">
        <v>16310000</v>
      </c>
      <c r="H1598" s="4">
        <v>13100000</v>
      </c>
      <c r="I1598" s="2">
        <f t="shared" si="136"/>
        <v>0.80318822808093193</v>
      </c>
      <c r="J1598" s="4">
        <v>13150000</v>
      </c>
      <c r="K1598" s="2">
        <f t="shared" si="137"/>
        <v>0.80625383200490497</v>
      </c>
      <c r="L1598" t="s">
        <v>10326</v>
      </c>
      <c r="M1598" t="s">
        <v>183</v>
      </c>
      <c r="N1598" t="b">
        <f t="shared" si="138"/>
        <v>0</v>
      </c>
    </row>
    <row r="1599" spans="1:14" x14ac:dyDescent="0.15">
      <c r="A1599" t="s">
        <v>13156</v>
      </c>
      <c r="B1599" t="s">
        <v>13159</v>
      </c>
      <c r="C1599" t="s">
        <v>13223</v>
      </c>
      <c r="D1599" t="s">
        <v>23</v>
      </c>
      <c r="E1599" t="s">
        <v>13224</v>
      </c>
      <c r="F1599" s="5">
        <f t="shared" ref="F1599:F1631" si="139">G1599</f>
        <v>3041000</v>
      </c>
      <c r="G1599" s="5">
        <v>3041000</v>
      </c>
      <c r="I1599" s="2">
        <f t="shared" si="136"/>
        <v>0</v>
      </c>
      <c r="J1599" s="4">
        <v>2080000</v>
      </c>
      <c r="K1599" s="2">
        <f t="shared" si="137"/>
        <v>0.68398553107530413</v>
      </c>
      <c r="L1599" t="s">
        <v>1624</v>
      </c>
      <c r="M1599" t="s">
        <v>165</v>
      </c>
      <c r="N1599" t="b">
        <f t="shared" si="138"/>
        <v>0</v>
      </c>
    </row>
    <row r="1600" spans="1:14" x14ac:dyDescent="0.15">
      <c r="A1600" t="s">
        <v>13156</v>
      </c>
      <c r="B1600" t="s">
        <v>13159</v>
      </c>
      <c r="C1600" t="s">
        <v>13225</v>
      </c>
      <c r="D1600" t="s">
        <v>118</v>
      </c>
      <c r="E1600" t="s">
        <v>13226</v>
      </c>
      <c r="F1600" s="5">
        <f t="shared" si="139"/>
        <v>54423000</v>
      </c>
      <c r="G1600" s="5">
        <v>54423000</v>
      </c>
      <c r="H1600" s="4">
        <v>43669000</v>
      </c>
      <c r="I1600" s="2">
        <f t="shared" si="136"/>
        <v>0.80239972070631904</v>
      </c>
      <c r="J1600" s="4">
        <v>50000000</v>
      </c>
      <c r="K1600" s="2">
        <f t="shared" si="137"/>
        <v>0.91872921375153882</v>
      </c>
      <c r="L1600" t="s">
        <v>13160</v>
      </c>
      <c r="M1600" t="s">
        <v>21</v>
      </c>
      <c r="N1600" t="b">
        <f t="shared" si="138"/>
        <v>0</v>
      </c>
    </row>
    <row r="1601" spans="1:14" x14ac:dyDescent="0.15">
      <c r="A1601" t="s">
        <v>13156</v>
      </c>
      <c r="B1601" t="s">
        <v>13159</v>
      </c>
      <c r="C1601" t="s">
        <v>13161</v>
      </c>
      <c r="D1601" t="s">
        <v>23</v>
      </c>
      <c r="E1601" t="s">
        <v>13227</v>
      </c>
      <c r="F1601" s="5">
        <f t="shared" si="139"/>
        <v>4205000</v>
      </c>
      <c r="G1601" s="5">
        <v>4205000</v>
      </c>
      <c r="I1601" s="2">
        <f t="shared" si="136"/>
        <v>0</v>
      </c>
      <c r="J1601" s="4">
        <v>4000000</v>
      </c>
      <c r="K1601" s="2">
        <f t="shared" si="137"/>
        <v>0.95124851367419738</v>
      </c>
      <c r="L1601" t="s">
        <v>13054</v>
      </c>
      <c r="M1601" t="s">
        <v>165</v>
      </c>
      <c r="N1601" t="b">
        <f t="shared" si="138"/>
        <v>0</v>
      </c>
    </row>
    <row r="1602" spans="1:14" x14ac:dyDescent="0.15">
      <c r="A1602" t="s">
        <v>13156</v>
      </c>
      <c r="B1602" t="s">
        <v>13159</v>
      </c>
      <c r="C1602" t="s">
        <v>13228</v>
      </c>
      <c r="D1602" t="s">
        <v>118</v>
      </c>
      <c r="E1602" t="s">
        <v>13229</v>
      </c>
      <c r="F1602" s="5">
        <f t="shared" si="139"/>
        <v>15405000</v>
      </c>
      <c r="G1602" s="5">
        <v>15405000</v>
      </c>
      <c r="H1602" s="4">
        <v>12221000</v>
      </c>
      <c r="I1602" s="2">
        <f t="shared" si="136"/>
        <v>0.79331385913664398</v>
      </c>
      <c r="J1602" s="4">
        <v>12700000</v>
      </c>
      <c r="K1602" s="2">
        <f t="shared" si="137"/>
        <v>0.82440765985069786</v>
      </c>
      <c r="L1602" t="s">
        <v>13230</v>
      </c>
      <c r="M1602" t="s">
        <v>432</v>
      </c>
      <c r="N1602" t="b">
        <f t="shared" si="138"/>
        <v>0</v>
      </c>
    </row>
    <row r="1603" spans="1:14" x14ac:dyDescent="0.15">
      <c r="A1603" t="s">
        <v>13156</v>
      </c>
      <c r="B1603" t="s">
        <v>13159</v>
      </c>
      <c r="C1603" t="s">
        <v>13231</v>
      </c>
      <c r="D1603" t="s">
        <v>118</v>
      </c>
      <c r="E1603" t="s">
        <v>13232</v>
      </c>
      <c r="F1603" s="5">
        <f t="shared" si="139"/>
        <v>29035000</v>
      </c>
      <c r="G1603" s="5">
        <v>29035000</v>
      </c>
      <c r="H1603" s="4">
        <v>23163000</v>
      </c>
      <c r="I1603" s="2">
        <f t="shared" si="136"/>
        <v>0.79776132254175991</v>
      </c>
      <c r="J1603" s="4">
        <v>28669000</v>
      </c>
      <c r="K1603" s="2">
        <f t="shared" si="137"/>
        <v>0.98739452385052517</v>
      </c>
      <c r="L1603" t="s">
        <v>13194</v>
      </c>
      <c r="M1603" t="s">
        <v>174</v>
      </c>
      <c r="N1603" t="b">
        <f t="shared" si="138"/>
        <v>0</v>
      </c>
    </row>
    <row r="1604" spans="1:14" x14ac:dyDescent="0.15">
      <c r="A1604" t="s">
        <v>13156</v>
      </c>
      <c r="B1604" t="s">
        <v>13159</v>
      </c>
      <c r="C1604" t="s">
        <v>13163</v>
      </c>
      <c r="D1604" t="s">
        <v>118</v>
      </c>
      <c r="E1604" t="s">
        <v>13233</v>
      </c>
      <c r="F1604" s="5">
        <f t="shared" si="139"/>
        <v>17110000</v>
      </c>
      <c r="G1604" s="5">
        <v>17110000</v>
      </c>
      <c r="I1604" s="2">
        <f t="shared" ref="I1604:I1667" si="140">H1604/G1604</f>
        <v>0</v>
      </c>
      <c r="J1604" s="4">
        <v>16580000</v>
      </c>
      <c r="K1604" s="2">
        <f t="shared" ref="K1604:K1667" si="141">J1604/G1604</f>
        <v>0.9690239625949737</v>
      </c>
      <c r="L1604" t="s">
        <v>12646</v>
      </c>
      <c r="M1604" t="s">
        <v>1015</v>
      </c>
      <c r="N1604" t="b">
        <f t="shared" ref="N1604:N1667" si="142">F1604&lt;&gt;G1604</f>
        <v>0</v>
      </c>
    </row>
    <row r="1605" spans="1:14" x14ac:dyDescent="0.15">
      <c r="A1605" t="s">
        <v>13156</v>
      </c>
      <c r="B1605" t="s">
        <v>13159</v>
      </c>
      <c r="C1605" t="s">
        <v>13234</v>
      </c>
      <c r="D1605" t="s">
        <v>23</v>
      </c>
      <c r="E1605" t="s">
        <v>13235</v>
      </c>
      <c r="F1605" s="5">
        <f t="shared" si="139"/>
        <v>5610000</v>
      </c>
      <c r="G1605" s="5">
        <v>5610000</v>
      </c>
      <c r="H1605" s="4">
        <v>4511000</v>
      </c>
      <c r="I1605" s="2">
        <f t="shared" si="140"/>
        <v>0.80409982174688055</v>
      </c>
      <c r="J1605" s="4">
        <v>5400000</v>
      </c>
      <c r="K1605" s="2">
        <f t="shared" si="141"/>
        <v>0.96256684491978606</v>
      </c>
      <c r="L1605" t="s">
        <v>13230</v>
      </c>
      <c r="M1605" t="s">
        <v>174</v>
      </c>
      <c r="N1605" t="b">
        <f t="shared" si="142"/>
        <v>0</v>
      </c>
    </row>
    <row r="1606" spans="1:14" x14ac:dyDescent="0.15">
      <c r="A1606" t="s">
        <v>13156</v>
      </c>
      <c r="B1606" t="s">
        <v>13159</v>
      </c>
      <c r="C1606" t="s">
        <v>13236</v>
      </c>
      <c r="D1606" t="s">
        <v>23</v>
      </c>
      <c r="E1606" t="s">
        <v>13237</v>
      </c>
      <c r="F1606" s="5">
        <f t="shared" si="139"/>
        <v>7590000</v>
      </c>
      <c r="G1606" s="5">
        <v>7590000</v>
      </c>
      <c r="H1606" s="4">
        <v>6100000</v>
      </c>
      <c r="I1606" s="2">
        <f t="shared" si="140"/>
        <v>0.80368906455862976</v>
      </c>
      <c r="J1606" s="4">
        <v>7350000</v>
      </c>
      <c r="K1606" s="2">
        <f t="shared" si="141"/>
        <v>0.96837944664031617</v>
      </c>
      <c r="L1606" t="s">
        <v>13238</v>
      </c>
      <c r="M1606" t="s">
        <v>174</v>
      </c>
      <c r="N1606" t="b">
        <f t="shared" si="142"/>
        <v>0</v>
      </c>
    </row>
    <row r="1607" spans="1:14" x14ac:dyDescent="0.15">
      <c r="A1607" t="s">
        <v>13156</v>
      </c>
      <c r="B1607" t="s">
        <v>13159</v>
      </c>
      <c r="C1607" t="s">
        <v>13173</v>
      </c>
      <c r="D1607" t="s">
        <v>23</v>
      </c>
      <c r="E1607" t="s">
        <v>13239</v>
      </c>
      <c r="F1607" s="5">
        <f t="shared" si="139"/>
        <v>1420000</v>
      </c>
      <c r="G1607" s="5">
        <v>1420000</v>
      </c>
      <c r="I1607" s="2">
        <f t="shared" si="140"/>
        <v>0</v>
      </c>
      <c r="J1607" s="4">
        <v>1080000</v>
      </c>
      <c r="K1607" s="2">
        <f t="shared" si="141"/>
        <v>0.76056338028169013</v>
      </c>
      <c r="L1607" t="s">
        <v>1624</v>
      </c>
      <c r="M1607" t="s">
        <v>165</v>
      </c>
      <c r="N1607" t="b">
        <f t="shared" si="142"/>
        <v>0</v>
      </c>
    </row>
    <row r="1608" spans="1:14" x14ac:dyDescent="0.15">
      <c r="A1608" t="s">
        <v>13156</v>
      </c>
      <c r="B1608" t="s">
        <v>13159</v>
      </c>
      <c r="C1608" t="s">
        <v>13175</v>
      </c>
      <c r="D1608" t="s">
        <v>23</v>
      </c>
      <c r="E1608" t="s">
        <v>13240</v>
      </c>
      <c r="F1608" s="5">
        <f t="shared" si="139"/>
        <v>1638200</v>
      </c>
      <c r="G1608" s="5">
        <v>1638200</v>
      </c>
      <c r="I1608" s="2">
        <f t="shared" si="140"/>
        <v>0</v>
      </c>
      <c r="J1608" s="4">
        <v>1220000</v>
      </c>
      <c r="K1608" s="2">
        <f t="shared" si="141"/>
        <v>0.74471981443047242</v>
      </c>
      <c r="L1608" t="s">
        <v>13177</v>
      </c>
      <c r="M1608" t="s">
        <v>165</v>
      </c>
      <c r="N1608" t="b">
        <f t="shared" si="142"/>
        <v>0</v>
      </c>
    </row>
    <row r="1609" spans="1:14" x14ac:dyDescent="0.15">
      <c r="A1609" t="s">
        <v>13156</v>
      </c>
      <c r="B1609" t="s">
        <v>13159</v>
      </c>
      <c r="C1609" t="s">
        <v>13241</v>
      </c>
      <c r="D1609" t="s">
        <v>23</v>
      </c>
      <c r="E1609" t="s">
        <v>13242</v>
      </c>
      <c r="F1609" s="5">
        <f t="shared" si="139"/>
        <v>4140000</v>
      </c>
      <c r="G1609" s="5">
        <v>4140000</v>
      </c>
      <c r="H1609" s="4">
        <v>3328000</v>
      </c>
      <c r="I1609" s="2">
        <f t="shared" si="140"/>
        <v>0.80386473429951688</v>
      </c>
      <c r="J1609" s="4">
        <v>4000000</v>
      </c>
      <c r="K1609" s="2">
        <f t="shared" si="141"/>
        <v>0.96618357487922701</v>
      </c>
      <c r="L1609" t="s">
        <v>13172</v>
      </c>
      <c r="M1609" t="s">
        <v>192</v>
      </c>
      <c r="N1609" t="b">
        <f t="shared" si="142"/>
        <v>0</v>
      </c>
    </row>
    <row r="1610" spans="1:14" x14ac:dyDescent="0.15">
      <c r="A1610" t="s">
        <v>13156</v>
      </c>
      <c r="B1610" t="s">
        <v>13159</v>
      </c>
      <c r="C1610" t="s">
        <v>13243</v>
      </c>
      <c r="D1610" t="s">
        <v>23</v>
      </c>
      <c r="E1610" t="s">
        <v>13244</v>
      </c>
      <c r="F1610" s="5">
        <f t="shared" si="139"/>
        <v>4690000</v>
      </c>
      <c r="G1610" s="5">
        <v>4690000</v>
      </c>
      <c r="H1610" s="4">
        <v>3769000</v>
      </c>
      <c r="I1610" s="2">
        <f t="shared" si="140"/>
        <v>0.80362473347547969</v>
      </c>
      <c r="J1610" s="4">
        <v>4450000</v>
      </c>
      <c r="K1610" s="2">
        <f t="shared" si="141"/>
        <v>0.94882729211087424</v>
      </c>
      <c r="L1610" t="s">
        <v>13198</v>
      </c>
      <c r="M1610" t="s">
        <v>192</v>
      </c>
      <c r="N1610" t="b">
        <f t="shared" si="142"/>
        <v>0</v>
      </c>
    </row>
    <row r="1611" spans="1:14" x14ac:dyDescent="0.15">
      <c r="A1611" t="s">
        <v>13156</v>
      </c>
      <c r="B1611" t="s">
        <v>13159</v>
      </c>
      <c r="C1611" t="s">
        <v>13245</v>
      </c>
      <c r="D1611" t="s">
        <v>23</v>
      </c>
      <c r="E1611" t="s">
        <v>13246</v>
      </c>
      <c r="F1611" s="5">
        <f t="shared" si="139"/>
        <v>5980000</v>
      </c>
      <c r="G1611" s="5">
        <v>5980000</v>
      </c>
      <c r="H1611" s="4">
        <v>4806000</v>
      </c>
      <c r="I1611" s="2">
        <f t="shared" si="140"/>
        <v>0.80367892976588629</v>
      </c>
      <c r="J1611" s="4">
        <v>5730000</v>
      </c>
      <c r="K1611" s="2">
        <f t="shared" si="141"/>
        <v>0.9581939799331104</v>
      </c>
      <c r="L1611" t="s">
        <v>13194</v>
      </c>
      <c r="M1611" t="s">
        <v>192</v>
      </c>
      <c r="N1611" t="b">
        <f t="shared" si="142"/>
        <v>0</v>
      </c>
    </row>
    <row r="1612" spans="1:14" x14ac:dyDescent="0.15">
      <c r="A1612" t="s">
        <v>13156</v>
      </c>
      <c r="B1612" t="s">
        <v>13159</v>
      </c>
      <c r="C1612" t="s">
        <v>13186</v>
      </c>
      <c r="D1612" t="s">
        <v>23</v>
      </c>
      <c r="E1612" t="s">
        <v>13247</v>
      </c>
      <c r="F1612" s="5">
        <f t="shared" si="139"/>
        <v>5708000</v>
      </c>
      <c r="G1612" s="5">
        <v>5708000</v>
      </c>
      <c r="I1612" s="2">
        <f t="shared" si="140"/>
        <v>0</v>
      </c>
      <c r="J1612" s="4">
        <v>5400000</v>
      </c>
      <c r="K1612" s="2">
        <f t="shared" si="141"/>
        <v>0.94604064470918015</v>
      </c>
      <c r="L1612" t="s">
        <v>125</v>
      </c>
      <c r="M1612" t="s">
        <v>165</v>
      </c>
      <c r="N1612" t="b">
        <f t="shared" si="142"/>
        <v>0</v>
      </c>
    </row>
    <row r="1613" spans="1:14" x14ac:dyDescent="0.15">
      <c r="A1613" t="s">
        <v>13156</v>
      </c>
      <c r="B1613" t="s">
        <v>13159</v>
      </c>
      <c r="C1613" t="s">
        <v>13248</v>
      </c>
      <c r="D1613" t="s">
        <v>118</v>
      </c>
      <c r="E1613" t="s">
        <v>13249</v>
      </c>
      <c r="F1613" s="5">
        <f t="shared" si="139"/>
        <v>13820000</v>
      </c>
      <c r="G1613" s="5">
        <v>13820000</v>
      </c>
      <c r="H1613" s="4">
        <v>11004000</v>
      </c>
      <c r="I1613" s="2">
        <f t="shared" si="140"/>
        <v>0.79623733719247469</v>
      </c>
      <c r="J1613" s="4">
        <v>12900000</v>
      </c>
      <c r="K1613" s="2">
        <f t="shared" si="141"/>
        <v>0.93342981186685958</v>
      </c>
      <c r="L1613" t="s">
        <v>13230</v>
      </c>
      <c r="M1613" t="s">
        <v>21</v>
      </c>
      <c r="N1613" t="b">
        <f t="shared" si="142"/>
        <v>0</v>
      </c>
    </row>
    <row r="1614" spans="1:14" x14ac:dyDescent="0.15">
      <c r="A1614" t="s">
        <v>13156</v>
      </c>
      <c r="B1614" t="s">
        <v>13159</v>
      </c>
      <c r="C1614" t="s">
        <v>13250</v>
      </c>
      <c r="D1614" t="s">
        <v>118</v>
      </c>
      <c r="E1614" t="s">
        <v>13251</v>
      </c>
      <c r="F1614" s="5">
        <f t="shared" si="139"/>
        <v>23814000</v>
      </c>
      <c r="G1614" s="5">
        <v>23814000</v>
      </c>
      <c r="H1614" s="4">
        <v>18993000</v>
      </c>
      <c r="I1614" s="2">
        <f t="shared" si="140"/>
        <v>0.79755605946082142</v>
      </c>
      <c r="J1614" s="4">
        <v>18993000</v>
      </c>
      <c r="K1614" s="2">
        <f t="shared" si="141"/>
        <v>0.79755605946082142</v>
      </c>
      <c r="L1614" t="s">
        <v>360</v>
      </c>
      <c r="M1614" t="s">
        <v>1972</v>
      </c>
      <c r="N1614" t="b">
        <f t="shared" si="142"/>
        <v>0</v>
      </c>
    </row>
    <row r="1615" spans="1:14" x14ac:dyDescent="0.15">
      <c r="A1615" t="s">
        <v>13156</v>
      </c>
      <c r="B1615" t="s">
        <v>13159</v>
      </c>
      <c r="C1615" t="s">
        <v>13192</v>
      </c>
      <c r="D1615" t="s">
        <v>23</v>
      </c>
      <c r="E1615" t="s">
        <v>13252</v>
      </c>
      <c r="F1615" s="5">
        <f t="shared" si="139"/>
        <v>4160000</v>
      </c>
      <c r="G1615" s="5">
        <v>4160000</v>
      </c>
      <c r="H1615" s="4">
        <v>3315000</v>
      </c>
      <c r="I1615" s="2">
        <f t="shared" si="140"/>
        <v>0.796875</v>
      </c>
      <c r="J1615" s="4">
        <v>4000000</v>
      </c>
      <c r="K1615" s="2">
        <f t="shared" si="141"/>
        <v>0.96153846153846156</v>
      </c>
      <c r="L1615" t="s">
        <v>13203</v>
      </c>
      <c r="M1615" t="s">
        <v>174</v>
      </c>
      <c r="N1615" t="b">
        <f t="shared" si="142"/>
        <v>0</v>
      </c>
    </row>
    <row r="1616" spans="1:14" x14ac:dyDescent="0.15">
      <c r="A1616" t="s">
        <v>13156</v>
      </c>
      <c r="B1616" t="s">
        <v>13159</v>
      </c>
      <c r="C1616" t="s">
        <v>13253</v>
      </c>
      <c r="D1616" t="s">
        <v>23</v>
      </c>
      <c r="E1616" t="s">
        <v>13254</v>
      </c>
      <c r="F1616" s="5">
        <f t="shared" si="139"/>
        <v>6480000</v>
      </c>
      <c r="G1616" s="5">
        <v>6480000</v>
      </c>
      <c r="H1616" s="4">
        <v>5161000</v>
      </c>
      <c r="I1616" s="2">
        <f t="shared" si="140"/>
        <v>0.79645061728395061</v>
      </c>
      <c r="J1616" s="4">
        <v>6230000</v>
      </c>
      <c r="K1616" s="2">
        <f t="shared" si="141"/>
        <v>0.9614197530864198</v>
      </c>
      <c r="L1616" t="s">
        <v>13194</v>
      </c>
      <c r="M1616" t="s">
        <v>174</v>
      </c>
      <c r="N1616" t="b">
        <f t="shared" si="142"/>
        <v>0</v>
      </c>
    </row>
    <row r="1617" spans="1:14" x14ac:dyDescent="0.15">
      <c r="A1617" t="s">
        <v>13156</v>
      </c>
      <c r="B1617" t="s">
        <v>13159</v>
      </c>
      <c r="C1617" t="s">
        <v>13196</v>
      </c>
      <c r="D1617" t="s">
        <v>118</v>
      </c>
      <c r="E1617" t="s">
        <v>13255</v>
      </c>
      <c r="F1617" s="5">
        <f t="shared" si="139"/>
        <v>13891000</v>
      </c>
      <c r="G1617" s="5">
        <v>13891000</v>
      </c>
      <c r="I1617" s="2">
        <f t="shared" si="140"/>
        <v>0</v>
      </c>
      <c r="J1617" s="4">
        <v>13400000</v>
      </c>
      <c r="K1617" s="2">
        <f t="shared" si="141"/>
        <v>0.96465337268735152</v>
      </c>
      <c r="L1617" t="s">
        <v>13198</v>
      </c>
      <c r="M1617" t="s">
        <v>21</v>
      </c>
      <c r="N1617" t="b">
        <f t="shared" si="142"/>
        <v>0</v>
      </c>
    </row>
    <row r="1618" spans="1:14" x14ac:dyDescent="0.15">
      <c r="A1618" t="s">
        <v>13156</v>
      </c>
      <c r="B1618" t="s">
        <v>13159</v>
      </c>
      <c r="C1618" t="s">
        <v>13256</v>
      </c>
      <c r="D1618" t="s">
        <v>23</v>
      </c>
      <c r="E1618" t="s">
        <v>13257</v>
      </c>
      <c r="F1618" s="5">
        <f t="shared" si="139"/>
        <v>2560000</v>
      </c>
      <c r="G1618" s="5">
        <v>2560000</v>
      </c>
      <c r="H1618" s="4">
        <v>2043000</v>
      </c>
      <c r="I1618" s="2">
        <f t="shared" si="140"/>
        <v>0.79804687500000004</v>
      </c>
      <c r="J1618" s="4">
        <v>2500000</v>
      </c>
      <c r="K1618" s="2">
        <f t="shared" si="141"/>
        <v>0.9765625</v>
      </c>
      <c r="L1618" t="s">
        <v>4797</v>
      </c>
      <c r="M1618" t="s">
        <v>165</v>
      </c>
      <c r="N1618" t="b">
        <f t="shared" si="142"/>
        <v>0</v>
      </c>
    </row>
    <row r="1619" spans="1:14" x14ac:dyDescent="0.15">
      <c r="A1619" t="s">
        <v>13156</v>
      </c>
      <c r="B1619" t="s">
        <v>13159</v>
      </c>
      <c r="C1619" t="s">
        <v>13258</v>
      </c>
      <c r="D1619" t="s">
        <v>23</v>
      </c>
      <c r="E1619" t="s">
        <v>13259</v>
      </c>
      <c r="F1619" s="5">
        <f t="shared" si="139"/>
        <v>8984000</v>
      </c>
      <c r="G1619" s="5">
        <v>8984000</v>
      </c>
      <c r="H1619" s="4">
        <v>7148000</v>
      </c>
      <c r="I1619" s="2">
        <f t="shared" si="140"/>
        <v>0.79563668744434546</v>
      </c>
      <c r="J1619" s="4">
        <v>8800000</v>
      </c>
      <c r="K1619" s="2">
        <f t="shared" si="141"/>
        <v>0.97951914514692784</v>
      </c>
      <c r="L1619" t="s">
        <v>360</v>
      </c>
      <c r="M1619" t="s">
        <v>165</v>
      </c>
      <c r="N1619" t="b">
        <f t="shared" si="142"/>
        <v>0</v>
      </c>
    </row>
    <row r="1620" spans="1:14" x14ac:dyDescent="0.15">
      <c r="A1620" t="s">
        <v>13156</v>
      </c>
      <c r="B1620" t="s">
        <v>13159</v>
      </c>
      <c r="C1620" t="s">
        <v>13260</v>
      </c>
      <c r="D1620" t="s">
        <v>23</v>
      </c>
      <c r="E1620" t="s">
        <v>13261</v>
      </c>
      <c r="F1620" s="5">
        <f t="shared" si="139"/>
        <v>3170000</v>
      </c>
      <c r="G1620" s="5">
        <v>3170000</v>
      </c>
      <c r="H1620" s="4">
        <v>2440000</v>
      </c>
      <c r="I1620" s="2">
        <f t="shared" si="140"/>
        <v>0.7697160883280757</v>
      </c>
      <c r="J1620" s="4">
        <v>2900000</v>
      </c>
      <c r="K1620" s="2">
        <f t="shared" si="141"/>
        <v>0.91482649842271291</v>
      </c>
      <c r="L1620" t="s">
        <v>13230</v>
      </c>
      <c r="M1620" t="s">
        <v>165</v>
      </c>
      <c r="N1620" t="b">
        <f t="shared" si="142"/>
        <v>0</v>
      </c>
    </row>
    <row r="1621" spans="1:14" x14ac:dyDescent="0.15">
      <c r="A1621" t="s">
        <v>13156</v>
      </c>
      <c r="B1621" t="s">
        <v>13159</v>
      </c>
      <c r="C1621" t="s">
        <v>13262</v>
      </c>
      <c r="D1621" t="s">
        <v>118</v>
      </c>
      <c r="E1621" t="s">
        <v>13263</v>
      </c>
      <c r="F1621" s="5">
        <f t="shared" si="139"/>
        <v>19179000</v>
      </c>
      <c r="G1621" s="5">
        <v>19179000</v>
      </c>
      <c r="H1621" s="4">
        <v>15265000</v>
      </c>
      <c r="I1621" s="2">
        <f t="shared" si="140"/>
        <v>0.79592262370300848</v>
      </c>
      <c r="J1621" s="4">
        <v>18200000</v>
      </c>
      <c r="K1621" s="2">
        <f t="shared" si="141"/>
        <v>0.94895458574482505</v>
      </c>
      <c r="L1621" t="s">
        <v>13172</v>
      </c>
      <c r="M1621" t="s">
        <v>41</v>
      </c>
      <c r="N1621" t="b">
        <f t="shared" si="142"/>
        <v>0</v>
      </c>
    </row>
    <row r="1622" spans="1:14" x14ac:dyDescent="0.15">
      <c r="A1622" t="s">
        <v>13156</v>
      </c>
      <c r="B1622" t="s">
        <v>13159</v>
      </c>
      <c r="C1622" t="s">
        <v>13264</v>
      </c>
      <c r="D1622" t="s">
        <v>23</v>
      </c>
      <c r="E1622" t="s">
        <v>13265</v>
      </c>
      <c r="F1622" s="5">
        <f t="shared" si="139"/>
        <v>8270000</v>
      </c>
      <c r="G1622" s="5">
        <v>8270000</v>
      </c>
      <c r="I1622" s="2">
        <f t="shared" si="140"/>
        <v>0</v>
      </c>
      <c r="J1622" s="4">
        <v>7610000</v>
      </c>
      <c r="K1622" s="2">
        <f t="shared" si="141"/>
        <v>0.92019347037484889</v>
      </c>
      <c r="L1622" t="s">
        <v>13160</v>
      </c>
      <c r="M1622" t="s">
        <v>165</v>
      </c>
      <c r="N1622" t="b">
        <f t="shared" si="142"/>
        <v>0</v>
      </c>
    </row>
    <row r="1623" spans="1:14" x14ac:dyDescent="0.15">
      <c r="A1623" t="s">
        <v>13156</v>
      </c>
      <c r="B1623" t="s">
        <v>13159</v>
      </c>
      <c r="C1623" t="s">
        <v>13266</v>
      </c>
      <c r="D1623" t="s">
        <v>118</v>
      </c>
      <c r="E1623" t="s">
        <v>13267</v>
      </c>
      <c r="F1623" s="5">
        <f t="shared" si="139"/>
        <v>15680000</v>
      </c>
      <c r="G1623" s="5">
        <v>15680000</v>
      </c>
      <c r="H1623" s="4">
        <v>12950000</v>
      </c>
      <c r="I1623" s="2">
        <f t="shared" si="140"/>
        <v>0.8258928571428571</v>
      </c>
      <c r="J1623" s="4">
        <v>13340000</v>
      </c>
      <c r="K1623" s="2">
        <f t="shared" si="141"/>
        <v>0.85076530612244894</v>
      </c>
      <c r="L1623" t="s">
        <v>13160</v>
      </c>
      <c r="M1623" t="s">
        <v>216</v>
      </c>
      <c r="N1623" t="b">
        <f t="shared" si="142"/>
        <v>0</v>
      </c>
    </row>
    <row r="1624" spans="1:14" x14ac:dyDescent="0.15">
      <c r="A1624" t="s">
        <v>13156</v>
      </c>
      <c r="B1624" t="s">
        <v>13159</v>
      </c>
      <c r="C1624" t="s">
        <v>13268</v>
      </c>
      <c r="D1624" t="s">
        <v>118</v>
      </c>
      <c r="E1624" t="s">
        <v>13269</v>
      </c>
      <c r="F1624" s="5">
        <f t="shared" si="139"/>
        <v>16499000</v>
      </c>
      <c r="G1624" s="5">
        <v>16499000</v>
      </c>
      <c r="H1624" s="4">
        <v>13042000</v>
      </c>
      <c r="I1624" s="2">
        <f t="shared" si="140"/>
        <v>0.79047214982726222</v>
      </c>
      <c r="J1624" s="4">
        <v>15190000</v>
      </c>
      <c r="K1624" s="2">
        <f t="shared" si="141"/>
        <v>0.92066185829444214</v>
      </c>
      <c r="L1624" t="s">
        <v>13160</v>
      </c>
      <c r="M1624" t="s">
        <v>174</v>
      </c>
      <c r="N1624" t="b">
        <f t="shared" si="142"/>
        <v>0</v>
      </c>
    </row>
    <row r="1625" spans="1:14" x14ac:dyDescent="0.15">
      <c r="A1625" t="s">
        <v>13156</v>
      </c>
      <c r="B1625" t="s">
        <v>13159</v>
      </c>
      <c r="C1625" t="s">
        <v>13270</v>
      </c>
      <c r="D1625" t="s">
        <v>23</v>
      </c>
      <c r="E1625" t="s">
        <v>13271</v>
      </c>
      <c r="F1625" s="5">
        <f t="shared" si="139"/>
        <v>1848000</v>
      </c>
      <c r="G1625" s="5">
        <v>1848000</v>
      </c>
      <c r="H1625" s="4">
        <v>1474000</v>
      </c>
      <c r="I1625" s="2">
        <f t="shared" si="140"/>
        <v>0.79761904761904767</v>
      </c>
      <c r="J1625" s="4">
        <v>1700000</v>
      </c>
      <c r="K1625" s="2">
        <f t="shared" si="141"/>
        <v>0.91991341991341991</v>
      </c>
      <c r="L1625" t="s">
        <v>13220</v>
      </c>
      <c r="M1625" t="s">
        <v>165</v>
      </c>
      <c r="N1625" t="b">
        <f t="shared" si="142"/>
        <v>0</v>
      </c>
    </row>
    <row r="1626" spans="1:14" x14ac:dyDescent="0.15">
      <c r="A1626" t="s">
        <v>13156</v>
      </c>
      <c r="B1626" t="s">
        <v>13159</v>
      </c>
      <c r="C1626" t="s">
        <v>13272</v>
      </c>
      <c r="D1626" t="s">
        <v>23</v>
      </c>
      <c r="E1626" t="s">
        <v>13273</v>
      </c>
      <c r="F1626" s="5">
        <f t="shared" si="139"/>
        <v>4300000</v>
      </c>
      <c r="G1626" s="5">
        <v>4300000</v>
      </c>
      <c r="H1626" s="4">
        <v>3428000</v>
      </c>
      <c r="I1626" s="2">
        <f t="shared" si="140"/>
        <v>0.7972093023255814</v>
      </c>
      <c r="J1626" s="4">
        <v>3550000</v>
      </c>
      <c r="K1626" s="2">
        <f t="shared" si="141"/>
        <v>0.82558139534883723</v>
      </c>
      <c r="L1626" t="s">
        <v>13203</v>
      </c>
      <c r="M1626" t="s">
        <v>165</v>
      </c>
      <c r="N1626" t="b">
        <f t="shared" si="142"/>
        <v>0</v>
      </c>
    </row>
    <row r="1627" spans="1:14" x14ac:dyDescent="0.15">
      <c r="A1627" t="s">
        <v>13156</v>
      </c>
      <c r="B1627" t="s">
        <v>13159</v>
      </c>
      <c r="C1627" t="s">
        <v>13274</v>
      </c>
      <c r="D1627" t="s">
        <v>23</v>
      </c>
      <c r="E1627" t="s">
        <v>13275</v>
      </c>
      <c r="F1627" s="5">
        <f t="shared" si="139"/>
        <v>8777000</v>
      </c>
      <c r="G1627" s="5">
        <v>8777000</v>
      </c>
      <c r="I1627" s="2">
        <f t="shared" si="140"/>
        <v>0</v>
      </c>
      <c r="J1627" s="4">
        <v>8000000</v>
      </c>
      <c r="K1627" s="2">
        <f t="shared" si="141"/>
        <v>0.91147316850860205</v>
      </c>
      <c r="L1627" t="s">
        <v>13172</v>
      </c>
      <c r="M1627" t="s">
        <v>165</v>
      </c>
      <c r="N1627" t="b">
        <f t="shared" si="142"/>
        <v>0</v>
      </c>
    </row>
    <row r="1628" spans="1:14" x14ac:dyDescent="0.15">
      <c r="A1628" t="s">
        <v>13156</v>
      </c>
      <c r="B1628" t="s">
        <v>13159</v>
      </c>
      <c r="C1628" t="s">
        <v>13276</v>
      </c>
      <c r="D1628" t="s">
        <v>118</v>
      </c>
      <c r="E1628" t="s">
        <v>13277</v>
      </c>
      <c r="F1628" s="5">
        <f t="shared" si="139"/>
        <v>60310000</v>
      </c>
      <c r="G1628" s="5">
        <v>60310000</v>
      </c>
      <c r="H1628" s="4">
        <v>48161000</v>
      </c>
      <c r="I1628" s="2">
        <f t="shared" si="140"/>
        <v>0.7985574531586801</v>
      </c>
      <c r="J1628" s="4">
        <v>48490000</v>
      </c>
      <c r="K1628" s="2">
        <f t="shared" si="141"/>
        <v>0.80401260155861387</v>
      </c>
      <c r="L1628" t="s">
        <v>10326</v>
      </c>
      <c r="M1628" t="s">
        <v>1015</v>
      </c>
      <c r="N1628" t="b">
        <f t="shared" si="142"/>
        <v>0</v>
      </c>
    </row>
    <row r="1629" spans="1:14" x14ac:dyDescent="0.15">
      <c r="A1629" t="s">
        <v>13156</v>
      </c>
      <c r="B1629" t="s">
        <v>13159</v>
      </c>
      <c r="C1629" t="s">
        <v>13223</v>
      </c>
      <c r="D1629" t="s">
        <v>23</v>
      </c>
      <c r="E1629" t="s">
        <v>13278</v>
      </c>
      <c r="F1629" s="5">
        <f t="shared" si="139"/>
        <v>2640000</v>
      </c>
      <c r="G1629" s="5">
        <v>2640000</v>
      </c>
      <c r="I1629" s="2">
        <f t="shared" si="140"/>
        <v>0</v>
      </c>
      <c r="J1629" s="4">
        <v>1959000</v>
      </c>
      <c r="K1629" s="2">
        <f t="shared" si="141"/>
        <v>0.74204545454545456</v>
      </c>
      <c r="L1629" t="s">
        <v>1624</v>
      </c>
      <c r="M1629" t="s">
        <v>174</v>
      </c>
      <c r="N1629" t="b">
        <f t="shared" si="142"/>
        <v>0</v>
      </c>
    </row>
    <row r="1630" spans="1:14" x14ac:dyDescent="0.15">
      <c r="A1630" t="s">
        <v>13156</v>
      </c>
      <c r="B1630" t="s">
        <v>13159</v>
      </c>
      <c r="C1630" t="s">
        <v>13279</v>
      </c>
      <c r="D1630" t="s">
        <v>23</v>
      </c>
      <c r="E1630" t="s">
        <v>13280</v>
      </c>
      <c r="F1630" s="5">
        <f t="shared" si="139"/>
        <v>7692000</v>
      </c>
      <c r="G1630" s="5">
        <v>7692000</v>
      </c>
      <c r="H1630" s="4">
        <v>6127000</v>
      </c>
      <c r="I1630" s="2">
        <f t="shared" si="140"/>
        <v>0.79654186167446694</v>
      </c>
      <c r="J1630" s="4">
        <v>6200000</v>
      </c>
      <c r="K1630" s="2">
        <f t="shared" si="141"/>
        <v>0.80603224128965156</v>
      </c>
      <c r="L1630" t="s">
        <v>13220</v>
      </c>
      <c r="M1630" t="s">
        <v>165</v>
      </c>
      <c r="N1630" t="b">
        <f t="shared" si="142"/>
        <v>0</v>
      </c>
    </row>
    <row r="1631" spans="1:14" x14ac:dyDescent="0.15">
      <c r="A1631" t="s">
        <v>13156</v>
      </c>
      <c r="B1631" t="s">
        <v>13159</v>
      </c>
      <c r="C1631" t="s">
        <v>13161</v>
      </c>
      <c r="D1631" t="s">
        <v>23</v>
      </c>
      <c r="E1631" t="s">
        <v>12172</v>
      </c>
      <c r="F1631" s="5">
        <f t="shared" si="139"/>
        <v>4322000</v>
      </c>
      <c r="G1631" s="5">
        <v>4322000</v>
      </c>
      <c r="I1631" s="2">
        <f t="shared" si="140"/>
        <v>0</v>
      </c>
      <c r="J1631" s="4">
        <v>4160000</v>
      </c>
      <c r="K1631" s="2">
        <f t="shared" si="141"/>
        <v>0.96251735307727904</v>
      </c>
      <c r="L1631" t="s">
        <v>1624</v>
      </c>
      <c r="M1631" t="s">
        <v>165</v>
      </c>
      <c r="N1631" t="b">
        <f t="shared" si="142"/>
        <v>0</v>
      </c>
    </row>
    <row r="1632" spans="1:14" x14ac:dyDescent="0.15">
      <c r="A1632" t="s">
        <v>13281</v>
      </c>
      <c r="B1632" t="s">
        <v>13284</v>
      </c>
      <c r="C1632" t="s">
        <v>13282</v>
      </c>
      <c r="D1632" t="s">
        <v>118</v>
      </c>
      <c r="E1632" t="s">
        <v>13283</v>
      </c>
      <c r="F1632" s="5">
        <v>18274000</v>
      </c>
      <c r="G1632" s="5">
        <v>18274000</v>
      </c>
      <c r="H1632">
        <v>0</v>
      </c>
      <c r="I1632" s="2">
        <f t="shared" si="140"/>
        <v>0</v>
      </c>
      <c r="J1632" s="4">
        <v>11400000</v>
      </c>
      <c r="K1632" s="2">
        <f t="shared" si="141"/>
        <v>0.62383714567144577</v>
      </c>
      <c r="L1632" t="s">
        <v>9367</v>
      </c>
      <c r="M1632" t="s">
        <v>21</v>
      </c>
      <c r="N1632" t="b">
        <f t="shared" si="142"/>
        <v>0</v>
      </c>
    </row>
    <row r="1633" spans="1:14" x14ac:dyDescent="0.15">
      <c r="A1633" t="s">
        <v>13281</v>
      </c>
      <c r="B1633" t="s">
        <v>13284</v>
      </c>
      <c r="C1633" t="s">
        <v>13285</v>
      </c>
      <c r="D1633" t="s">
        <v>118</v>
      </c>
      <c r="E1633" t="s">
        <v>13286</v>
      </c>
      <c r="F1633" s="5">
        <v>18156000</v>
      </c>
      <c r="G1633" s="5">
        <v>18156000</v>
      </c>
      <c r="H1633" s="4">
        <v>11673262</v>
      </c>
      <c r="I1633" s="2">
        <f t="shared" si="140"/>
        <v>0.64294238819123151</v>
      </c>
      <c r="J1633" s="4">
        <v>14353000</v>
      </c>
      <c r="K1633" s="2">
        <f t="shared" si="141"/>
        <v>0.79053756333994274</v>
      </c>
      <c r="L1633" t="s">
        <v>506</v>
      </c>
      <c r="M1633" t="s">
        <v>174</v>
      </c>
      <c r="N1633" t="b">
        <f t="shared" si="142"/>
        <v>0</v>
      </c>
    </row>
    <row r="1634" spans="1:14" x14ac:dyDescent="0.15">
      <c r="A1634" t="s">
        <v>13281</v>
      </c>
      <c r="B1634" t="s">
        <v>13284</v>
      </c>
      <c r="C1634" t="s">
        <v>13287</v>
      </c>
      <c r="D1634" t="s">
        <v>118</v>
      </c>
      <c r="E1634" t="s">
        <v>13288</v>
      </c>
      <c r="F1634" s="5">
        <v>22694000</v>
      </c>
      <c r="G1634" s="5">
        <v>22694000</v>
      </c>
      <c r="H1634" s="4">
        <v>9793967</v>
      </c>
      <c r="I1634" s="2">
        <f t="shared" si="140"/>
        <v>0.43156636115272762</v>
      </c>
      <c r="J1634" s="4">
        <v>9800000</v>
      </c>
      <c r="K1634" s="2">
        <f t="shared" si="141"/>
        <v>0.43183220234423197</v>
      </c>
      <c r="L1634" t="s">
        <v>10199</v>
      </c>
      <c r="M1634" t="s">
        <v>773</v>
      </c>
      <c r="N1634" t="b">
        <f t="shared" si="142"/>
        <v>0</v>
      </c>
    </row>
    <row r="1635" spans="1:14" x14ac:dyDescent="0.15">
      <c r="A1635" t="s">
        <v>13281</v>
      </c>
      <c r="B1635" t="s">
        <v>13284</v>
      </c>
      <c r="C1635" t="s">
        <v>13289</v>
      </c>
      <c r="D1635" t="s">
        <v>118</v>
      </c>
      <c r="E1635" t="s">
        <v>13290</v>
      </c>
      <c r="F1635" s="5">
        <v>9344000</v>
      </c>
      <c r="G1635" s="5">
        <v>9344000</v>
      </c>
      <c r="H1635" s="4">
        <v>7475000</v>
      </c>
      <c r="I1635" s="2">
        <f t="shared" si="140"/>
        <v>0.79997859589041098</v>
      </c>
      <c r="J1635" s="4">
        <v>7475000</v>
      </c>
      <c r="K1635" s="2">
        <f t="shared" si="141"/>
        <v>0.79997859589041098</v>
      </c>
      <c r="L1635" t="s">
        <v>13291</v>
      </c>
      <c r="M1635" t="s">
        <v>126</v>
      </c>
      <c r="N1635" t="b">
        <f t="shared" si="142"/>
        <v>0</v>
      </c>
    </row>
    <row r="1636" spans="1:14" x14ac:dyDescent="0.15">
      <c r="A1636" t="s">
        <v>13281</v>
      </c>
      <c r="B1636" t="s">
        <v>13284</v>
      </c>
      <c r="C1636" t="s">
        <v>13292</v>
      </c>
      <c r="D1636" t="s">
        <v>118</v>
      </c>
      <c r="E1636" t="s">
        <v>13293</v>
      </c>
      <c r="F1636" s="5">
        <v>59976000</v>
      </c>
      <c r="G1636" s="5">
        <v>59976000</v>
      </c>
      <c r="H1636" s="4">
        <v>35270183</v>
      </c>
      <c r="I1636" s="2">
        <f t="shared" si="140"/>
        <v>0.58807161197812463</v>
      </c>
      <c r="J1636" s="4">
        <v>36000000</v>
      </c>
      <c r="K1636" s="2">
        <f t="shared" si="141"/>
        <v>0.60024009603841533</v>
      </c>
      <c r="L1636" t="s">
        <v>5693</v>
      </c>
      <c r="M1636" t="s">
        <v>126</v>
      </c>
      <c r="N1636" t="b">
        <f t="shared" si="142"/>
        <v>0</v>
      </c>
    </row>
    <row r="1637" spans="1:14" x14ac:dyDescent="0.15">
      <c r="A1637" t="s">
        <v>13281</v>
      </c>
      <c r="B1637" t="s">
        <v>13284</v>
      </c>
      <c r="C1637" t="s">
        <v>13294</v>
      </c>
      <c r="D1637" t="s">
        <v>118</v>
      </c>
      <c r="E1637" t="s">
        <v>10489</v>
      </c>
      <c r="F1637" s="5">
        <v>11160000</v>
      </c>
      <c r="G1637" s="5">
        <v>11160000</v>
      </c>
      <c r="H1637" s="4">
        <v>8928000</v>
      </c>
      <c r="I1637" s="2">
        <f t="shared" si="140"/>
        <v>0.8</v>
      </c>
      <c r="J1637" s="4">
        <v>8928000</v>
      </c>
      <c r="K1637" s="2">
        <f t="shared" si="141"/>
        <v>0.8</v>
      </c>
      <c r="L1637" t="s">
        <v>1922</v>
      </c>
      <c r="M1637" t="s">
        <v>165</v>
      </c>
      <c r="N1637" t="b">
        <f t="shared" si="142"/>
        <v>0</v>
      </c>
    </row>
    <row r="1638" spans="1:14" x14ac:dyDescent="0.15">
      <c r="A1638" t="s">
        <v>13281</v>
      </c>
      <c r="B1638" t="s">
        <v>13284</v>
      </c>
      <c r="C1638" t="s">
        <v>13295</v>
      </c>
      <c r="D1638" t="s">
        <v>118</v>
      </c>
      <c r="E1638" t="s">
        <v>13296</v>
      </c>
      <c r="F1638" s="5">
        <v>22056000</v>
      </c>
      <c r="G1638" s="5">
        <v>22056000</v>
      </c>
      <c r="H1638" s="4">
        <v>10394723</v>
      </c>
      <c r="I1638" s="2">
        <f t="shared" si="140"/>
        <v>0.47128776750090678</v>
      </c>
      <c r="J1638" s="4">
        <v>10540000</v>
      </c>
      <c r="K1638" s="2">
        <f t="shared" si="141"/>
        <v>0.47787450126949582</v>
      </c>
      <c r="L1638" t="s">
        <v>13297</v>
      </c>
      <c r="M1638" t="s">
        <v>4293</v>
      </c>
      <c r="N1638" t="b">
        <f t="shared" si="142"/>
        <v>0</v>
      </c>
    </row>
    <row r="1639" spans="1:14" x14ac:dyDescent="0.15">
      <c r="A1639" t="s">
        <v>13281</v>
      </c>
      <c r="B1639" t="s">
        <v>13284</v>
      </c>
      <c r="C1639" t="s">
        <v>13298</v>
      </c>
      <c r="D1639" t="s">
        <v>118</v>
      </c>
      <c r="E1639" t="s">
        <v>13299</v>
      </c>
      <c r="F1639" s="5">
        <v>23398000</v>
      </c>
      <c r="G1639" s="5">
        <v>23398000</v>
      </c>
      <c r="H1639" s="4">
        <v>10401432</v>
      </c>
      <c r="I1639" s="2">
        <f t="shared" si="140"/>
        <v>0.4445436362082229</v>
      </c>
      <c r="J1639" s="4">
        <v>10414000</v>
      </c>
      <c r="K1639" s="2">
        <f t="shared" si="141"/>
        <v>0.44508077613471236</v>
      </c>
      <c r="L1639" t="s">
        <v>4557</v>
      </c>
      <c r="M1639" t="s">
        <v>1392</v>
      </c>
      <c r="N1639" t="b">
        <f t="shared" si="142"/>
        <v>0</v>
      </c>
    </row>
    <row r="1640" spans="1:14" x14ac:dyDescent="0.15">
      <c r="A1640" t="s">
        <v>13281</v>
      </c>
      <c r="B1640" t="s">
        <v>13284</v>
      </c>
      <c r="C1640" t="s">
        <v>13300</v>
      </c>
      <c r="D1640" t="s">
        <v>118</v>
      </c>
      <c r="E1640" t="s">
        <v>13301</v>
      </c>
      <c r="F1640" s="5" t="s">
        <v>145</v>
      </c>
      <c r="G1640" s="5" t="s">
        <v>145</v>
      </c>
      <c r="H1640" t="s">
        <v>145</v>
      </c>
      <c r="I1640" s="2" t="e">
        <f t="shared" si="140"/>
        <v>#VALUE!</v>
      </c>
      <c r="K1640" s="2" t="e">
        <f t="shared" si="141"/>
        <v>#VALUE!</v>
      </c>
      <c r="N1640" t="b">
        <f t="shared" si="142"/>
        <v>0</v>
      </c>
    </row>
    <row r="1641" spans="1:14" x14ac:dyDescent="0.15">
      <c r="A1641" t="s">
        <v>13281</v>
      </c>
      <c r="B1641" t="s">
        <v>13284</v>
      </c>
      <c r="C1641" t="s">
        <v>13302</v>
      </c>
      <c r="D1641" t="s">
        <v>118</v>
      </c>
      <c r="E1641" t="s">
        <v>13303</v>
      </c>
      <c r="F1641" s="5">
        <v>15050000</v>
      </c>
      <c r="G1641" s="5">
        <v>15050000</v>
      </c>
      <c r="H1641" s="4">
        <v>12040000</v>
      </c>
      <c r="I1641" s="2">
        <f t="shared" si="140"/>
        <v>0.8</v>
      </c>
      <c r="J1641" s="4">
        <v>12040000</v>
      </c>
      <c r="K1641" s="2">
        <f t="shared" si="141"/>
        <v>0.8</v>
      </c>
      <c r="L1641" t="s">
        <v>13304</v>
      </c>
      <c r="M1641" t="s">
        <v>174</v>
      </c>
      <c r="N1641" t="b">
        <f t="shared" si="142"/>
        <v>0</v>
      </c>
    </row>
    <row r="1642" spans="1:14" x14ac:dyDescent="0.15">
      <c r="A1642" t="s">
        <v>13281</v>
      </c>
      <c r="B1642" t="s">
        <v>13284</v>
      </c>
      <c r="C1642" t="s">
        <v>13305</v>
      </c>
      <c r="D1642" t="s">
        <v>118</v>
      </c>
      <c r="E1642" t="s">
        <v>13306</v>
      </c>
      <c r="F1642" s="5">
        <v>24713000</v>
      </c>
      <c r="G1642" s="5">
        <v>24713000</v>
      </c>
      <c r="H1642" s="4">
        <v>12880852</v>
      </c>
      <c r="I1642" s="2">
        <f t="shared" si="140"/>
        <v>0.52121765872213011</v>
      </c>
      <c r="J1642" s="4">
        <v>13180000</v>
      </c>
      <c r="K1642" s="2">
        <f t="shared" si="141"/>
        <v>0.53332254279124347</v>
      </c>
      <c r="L1642" t="s">
        <v>13304</v>
      </c>
      <c r="M1642" t="s">
        <v>2017</v>
      </c>
      <c r="N1642" t="b">
        <f t="shared" si="142"/>
        <v>0</v>
      </c>
    </row>
    <row r="1643" spans="1:14" x14ac:dyDescent="0.15">
      <c r="A1643" t="s">
        <v>13281</v>
      </c>
      <c r="B1643" t="s">
        <v>13284</v>
      </c>
      <c r="C1643" t="s">
        <v>13307</v>
      </c>
      <c r="D1643" t="s">
        <v>118</v>
      </c>
      <c r="E1643" t="s">
        <v>13308</v>
      </c>
      <c r="F1643" s="5">
        <v>26785000</v>
      </c>
      <c r="G1643" s="5">
        <v>26785000</v>
      </c>
      <c r="H1643" s="4">
        <v>13421882</v>
      </c>
      <c r="I1643" s="2">
        <f t="shared" si="140"/>
        <v>0.50109695725219339</v>
      </c>
      <c r="J1643" s="4">
        <v>13780000</v>
      </c>
      <c r="K1643" s="2">
        <f t="shared" si="141"/>
        <v>0.51446705245473212</v>
      </c>
      <c r="L1643" t="s">
        <v>1195</v>
      </c>
      <c r="M1643" t="s">
        <v>3009</v>
      </c>
      <c r="N1643" t="b">
        <f t="shared" si="142"/>
        <v>0</v>
      </c>
    </row>
    <row r="1644" spans="1:14" x14ac:dyDescent="0.15">
      <c r="A1644" t="s">
        <v>13281</v>
      </c>
      <c r="B1644" t="s">
        <v>13284</v>
      </c>
      <c r="C1644" t="s">
        <v>13309</v>
      </c>
      <c r="D1644" t="s">
        <v>118</v>
      </c>
      <c r="E1644" t="s">
        <v>13310</v>
      </c>
      <c r="F1644" s="5">
        <v>15590000</v>
      </c>
      <c r="G1644" s="5">
        <v>15590000</v>
      </c>
      <c r="H1644" s="4">
        <v>7259935</v>
      </c>
      <c r="I1644" s="2">
        <f t="shared" si="140"/>
        <v>0.46567896087235405</v>
      </c>
      <c r="J1644" s="4">
        <v>7373000</v>
      </c>
      <c r="K1644" s="2">
        <f t="shared" si="141"/>
        <v>0.47293136626042337</v>
      </c>
      <c r="L1644" t="s">
        <v>4557</v>
      </c>
      <c r="M1644" t="s">
        <v>3009</v>
      </c>
      <c r="N1644" t="b">
        <f t="shared" si="142"/>
        <v>0</v>
      </c>
    </row>
    <row r="1645" spans="1:14" x14ac:dyDescent="0.15">
      <c r="A1645" t="s">
        <v>13281</v>
      </c>
      <c r="B1645" t="s">
        <v>13284</v>
      </c>
      <c r="C1645" t="s">
        <v>13311</v>
      </c>
      <c r="D1645" t="s">
        <v>118</v>
      </c>
      <c r="E1645" t="s">
        <v>13312</v>
      </c>
      <c r="F1645" s="5">
        <v>15545000</v>
      </c>
      <c r="G1645" s="5">
        <v>15545000</v>
      </c>
      <c r="H1645" s="4">
        <v>8177147</v>
      </c>
      <c r="I1645" s="2">
        <f t="shared" si="140"/>
        <v>0.52603068510775164</v>
      </c>
      <c r="J1645" s="4">
        <v>8250000</v>
      </c>
      <c r="K1645" s="2">
        <f t="shared" si="141"/>
        <v>0.53071727243486655</v>
      </c>
      <c r="L1645" t="s">
        <v>4557</v>
      </c>
      <c r="M1645" t="s">
        <v>1392</v>
      </c>
      <c r="N1645" t="b">
        <f t="shared" si="142"/>
        <v>0</v>
      </c>
    </row>
    <row r="1646" spans="1:14" x14ac:dyDescent="0.15">
      <c r="A1646" t="s">
        <v>13281</v>
      </c>
      <c r="B1646" t="s">
        <v>13284</v>
      </c>
      <c r="C1646" t="s">
        <v>13313</v>
      </c>
      <c r="D1646" t="s">
        <v>118</v>
      </c>
      <c r="E1646" t="s">
        <v>13314</v>
      </c>
      <c r="F1646" s="5">
        <v>23535000</v>
      </c>
      <c r="G1646" s="5">
        <v>23535000</v>
      </c>
      <c r="H1646" s="4">
        <v>11331508</v>
      </c>
      <c r="I1646" s="2">
        <f t="shared" si="140"/>
        <v>0.48147473974930954</v>
      </c>
      <c r="J1646" s="4">
        <v>11767500</v>
      </c>
      <c r="K1646" s="2">
        <f t="shared" si="141"/>
        <v>0.5</v>
      </c>
      <c r="L1646" t="s">
        <v>39</v>
      </c>
      <c r="M1646" t="s">
        <v>1385</v>
      </c>
      <c r="N1646" t="b">
        <f t="shared" si="142"/>
        <v>0</v>
      </c>
    </row>
    <row r="1647" spans="1:14" x14ac:dyDescent="0.15">
      <c r="A1647" t="s">
        <v>13315</v>
      </c>
      <c r="B1647" t="s">
        <v>13318</v>
      </c>
      <c r="C1647" t="s">
        <v>13316</v>
      </c>
      <c r="D1647" t="s">
        <v>23</v>
      </c>
      <c r="E1647" t="s">
        <v>13317</v>
      </c>
      <c r="F1647" s="5">
        <v>5954</v>
      </c>
      <c r="G1647" s="5">
        <v>5954</v>
      </c>
      <c r="I1647" s="2">
        <f t="shared" si="140"/>
        <v>0</v>
      </c>
      <c r="J1647" s="4">
        <v>5600</v>
      </c>
      <c r="K1647" s="2">
        <f t="shared" si="141"/>
        <v>0.94054417198522</v>
      </c>
      <c r="L1647" t="s">
        <v>13319</v>
      </c>
      <c r="M1647" t="s">
        <v>432</v>
      </c>
      <c r="N1647" t="b">
        <f t="shared" si="142"/>
        <v>0</v>
      </c>
    </row>
    <row r="1648" spans="1:14" x14ac:dyDescent="0.15">
      <c r="A1648" t="s">
        <v>13315</v>
      </c>
      <c r="B1648" t="s">
        <v>13318</v>
      </c>
      <c r="C1648" t="s">
        <v>13320</v>
      </c>
      <c r="D1648" t="s">
        <v>23</v>
      </c>
      <c r="E1648" t="s">
        <v>13321</v>
      </c>
      <c r="F1648" s="5">
        <v>4497000</v>
      </c>
      <c r="G1648" s="5">
        <v>4497000</v>
      </c>
      <c r="H1648" s="4">
        <v>3615000</v>
      </c>
      <c r="I1648" s="2">
        <f t="shared" si="140"/>
        <v>0.80386924616410937</v>
      </c>
      <c r="J1648" s="4">
        <v>4280000</v>
      </c>
      <c r="K1648" s="2">
        <f t="shared" si="141"/>
        <v>0.95174560818323328</v>
      </c>
      <c r="L1648" t="s">
        <v>13319</v>
      </c>
      <c r="M1648" t="s">
        <v>432</v>
      </c>
      <c r="N1648" t="b">
        <f t="shared" si="142"/>
        <v>0</v>
      </c>
    </row>
    <row r="1649" spans="1:14" x14ac:dyDescent="0.15">
      <c r="A1649" t="s">
        <v>13315</v>
      </c>
      <c r="B1649" t="s">
        <v>13318</v>
      </c>
      <c r="C1649" t="s">
        <v>13322</v>
      </c>
      <c r="D1649" t="s">
        <v>23</v>
      </c>
      <c r="E1649" t="s">
        <v>13323</v>
      </c>
      <c r="F1649" s="5">
        <v>7271000</v>
      </c>
      <c r="G1649" s="5">
        <v>7271000</v>
      </c>
      <c r="H1649" s="4">
        <v>5831000</v>
      </c>
      <c r="I1649" s="2">
        <f t="shared" si="140"/>
        <v>0.80195296382890935</v>
      </c>
      <c r="J1649" s="4">
        <v>5832000</v>
      </c>
      <c r="K1649" s="2">
        <f t="shared" si="141"/>
        <v>0.80209049649291708</v>
      </c>
      <c r="L1649" t="s">
        <v>13324</v>
      </c>
      <c r="M1649" t="s">
        <v>192</v>
      </c>
      <c r="N1649" t="b">
        <f t="shared" si="142"/>
        <v>0</v>
      </c>
    </row>
    <row r="1650" spans="1:14" x14ac:dyDescent="0.15">
      <c r="A1650" t="s">
        <v>13315</v>
      </c>
      <c r="B1650" t="s">
        <v>13318</v>
      </c>
      <c r="C1650" t="s">
        <v>13325</v>
      </c>
      <c r="D1650" t="s">
        <v>23</v>
      </c>
      <c r="E1650" t="s">
        <v>13326</v>
      </c>
      <c r="F1650" s="5">
        <v>7366000</v>
      </c>
      <c r="G1650" s="5">
        <v>7366000</v>
      </c>
      <c r="H1650" s="4">
        <v>5908000</v>
      </c>
      <c r="I1650" s="2">
        <f t="shared" si="140"/>
        <v>0.80206353516155304</v>
      </c>
      <c r="J1650" s="4">
        <v>6500000</v>
      </c>
      <c r="K1650" s="2">
        <f t="shared" si="141"/>
        <v>0.88243279934835728</v>
      </c>
      <c r="L1650" t="s">
        <v>13327</v>
      </c>
      <c r="M1650" t="s">
        <v>432</v>
      </c>
      <c r="N1650" t="b">
        <f t="shared" si="142"/>
        <v>0</v>
      </c>
    </row>
    <row r="1651" spans="1:14" x14ac:dyDescent="0.15">
      <c r="A1651" t="s">
        <v>13315</v>
      </c>
      <c r="B1651" t="s">
        <v>13318</v>
      </c>
      <c r="C1651" t="s">
        <v>13328</v>
      </c>
      <c r="D1651" t="s">
        <v>23</v>
      </c>
      <c r="E1651" t="s">
        <v>13329</v>
      </c>
      <c r="F1651" s="5">
        <v>3551000</v>
      </c>
      <c r="G1651" s="5">
        <v>3551000</v>
      </c>
      <c r="H1651" s="4">
        <v>2853000</v>
      </c>
      <c r="I1651" s="2">
        <f t="shared" si="140"/>
        <v>0.8034356519290341</v>
      </c>
      <c r="J1651" s="4">
        <v>3200000</v>
      </c>
      <c r="K1651" s="2">
        <f t="shared" si="141"/>
        <v>0.9011546043368065</v>
      </c>
      <c r="L1651" t="s">
        <v>13330</v>
      </c>
      <c r="M1651" t="s">
        <v>432</v>
      </c>
      <c r="N1651" t="b">
        <f t="shared" si="142"/>
        <v>0</v>
      </c>
    </row>
    <row r="1652" spans="1:14" x14ac:dyDescent="0.15">
      <c r="A1652" t="s">
        <v>13315</v>
      </c>
      <c r="B1652" t="s">
        <v>13318</v>
      </c>
      <c r="C1652" t="s">
        <v>13331</v>
      </c>
      <c r="D1652" t="s">
        <v>23</v>
      </c>
      <c r="E1652" t="s">
        <v>13332</v>
      </c>
      <c r="F1652" s="5">
        <v>1015452</v>
      </c>
      <c r="G1652" s="5">
        <v>1015452</v>
      </c>
      <c r="I1652" s="2">
        <f t="shared" si="140"/>
        <v>0</v>
      </c>
      <c r="J1652" s="4">
        <v>984000</v>
      </c>
      <c r="K1652" s="2">
        <f t="shared" si="141"/>
        <v>0.96902660096193616</v>
      </c>
      <c r="L1652" t="s">
        <v>701</v>
      </c>
      <c r="M1652" t="s">
        <v>165</v>
      </c>
      <c r="N1652" t="b">
        <f t="shared" si="142"/>
        <v>0</v>
      </c>
    </row>
    <row r="1653" spans="1:14" x14ac:dyDescent="0.15">
      <c r="A1653" t="s">
        <v>13315</v>
      </c>
      <c r="B1653" t="s">
        <v>13318</v>
      </c>
      <c r="C1653" t="s">
        <v>13333</v>
      </c>
      <c r="D1653" t="s">
        <v>23</v>
      </c>
      <c r="E1653" t="s">
        <v>13334</v>
      </c>
      <c r="F1653" s="5">
        <v>3319000</v>
      </c>
      <c r="G1653" s="5">
        <v>3319000</v>
      </c>
      <c r="H1653" s="4">
        <v>2635000</v>
      </c>
      <c r="I1653" s="2">
        <f t="shared" si="140"/>
        <v>0.79391382946670686</v>
      </c>
      <c r="J1653" s="4">
        <v>2649000</v>
      </c>
      <c r="K1653" s="2">
        <f t="shared" si="141"/>
        <v>0.79813196746007831</v>
      </c>
      <c r="L1653" t="s">
        <v>1008</v>
      </c>
      <c r="M1653" t="s">
        <v>192</v>
      </c>
      <c r="N1653" t="b">
        <f t="shared" si="142"/>
        <v>0</v>
      </c>
    </row>
    <row r="1654" spans="1:14" x14ac:dyDescent="0.15">
      <c r="A1654" t="s">
        <v>13315</v>
      </c>
      <c r="B1654" t="s">
        <v>13318</v>
      </c>
      <c r="C1654" t="s">
        <v>13335</v>
      </c>
      <c r="D1654" t="s">
        <v>23</v>
      </c>
      <c r="E1654" t="s">
        <v>13336</v>
      </c>
      <c r="F1654" s="5">
        <v>4924000</v>
      </c>
      <c r="G1654" s="5">
        <v>4924000</v>
      </c>
      <c r="H1654" s="4">
        <v>3957000</v>
      </c>
      <c r="I1654" s="2">
        <f t="shared" si="140"/>
        <v>0.80361494719740045</v>
      </c>
      <c r="J1654" s="4">
        <v>3958000</v>
      </c>
      <c r="K1654" s="2">
        <f t="shared" si="141"/>
        <v>0.80381803411860275</v>
      </c>
      <c r="L1654" t="s">
        <v>190</v>
      </c>
      <c r="M1654" t="s">
        <v>192</v>
      </c>
      <c r="N1654" t="b">
        <f t="shared" si="142"/>
        <v>0</v>
      </c>
    </row>
    <row r="1655" spans="1:14" x14ac:dyDescent="0.15">
      <c r="A1655" t="s">
        <v>13315</v>
      </c>
      <c r="B1655" t="s">
        <v>13318</v>
      </c>
      <c r="C1655" t="s">
        <v>13337</v>
      </c>
      <c r="D1655" t="s">
        <v>118</v>
      </c>
      <c r="E1655" t="s">
        <v>13338</v>
      </c>
      <c r="F1655" s="5">
        <v>9898000</v>
      </c>
      <c r="G1655" s="5">
        <v>9898000</v>
      </c>
      <c r="H1655" s="4">
        <v>7949000</v>
      </c>
      <c r="I1655" s="2">
        <f t="shared" si="140"/>
        <v>0.80309153364316022</v>
      </c>
      <c r="J1655" s="4">
        <v>7980000</v>
      </c>
      <c r="K1655" s="2">
        <f t="shared" si="141"/>
        <v>0.80622347949080619</v>
      </c>
      <c r="L1655" t="s">
        <v>13339</v>
      </c>
      <c r="M1655" t="s">
        <v>432</v>
      </c>
      <c r="N1655" t="b">
        <f t="shared" si="142"/>
        <v>0</v>
      </c>
    </row>
    <row r="1656" spans="1:14" x14ac:dyDescent="0.15">
      <c r="A1656" t="s">
        <v>13315</v>
      </c>
      <c r="B1656" t="s">
        <v>13318</v>
      </c>
      <c r="C1656" t="s">
        <v>13340</v>
      </c>
      <c r="D1656" t="s">
        <v>118</v>
      </c>
      <c r="E1656" t="s">
        <v>13341</v>
      </c>
      <c r="F1656" s="5">
        <v>19877000</v>
      </c>
      <c r="G1656" s="5">
        <v>19877000</v>
      </c>
      <c r="H1656" s="4">
        <v>15947000</v>
      </c>
      <c r="I1656" s="2">
        <f t="shared" si="140"/>
        <v>0.80228404688836341</v>
      </c>
      <c r="J1656" s="4">
        <v>15948000</v>
      </c>
      <c r="K1656" s="2">
        <f t="shared" si="141"/>
        <v>0.80233435629119088</v>
      </c>
      <c r="L1656" t="s">
        <v>2217</v>
      </c>
      <c r="M1656" t="s">
        <v>165</v>
      </c>
      <c r="N1656" t="b">
        <f t="shared" si="142"/>
        <v>0</v>
      </c>
    </row>
    <row r="1657" spans="1:14" x14ac:dyDescent="0.15">
      <c r="A1657" t="s">
        <v>13315</v>
      </c>
      <c r="B1657" t="s">
        <v>13318</v>
      </c>
      <c r="C1657" t="s">
        <v>13342</v>
      </c>
      <c r="D1657" t="s">
        <v>23</v>
      </c>
      <c r="E1657" t="s">
        <v>13343</v>
      </c>
      <c r="F1657" s="5">
        <v>4809000</v>
      </c>
      <c r="G1657" s="5">
        <v>4809000</v>
      </c>
      <c r="H1657" s="4">
        <v>3784000</v>
      </c>
      <c r="I1657" s="2">
        <f t="shared" si="140"/>
        <v>0.78685797463090035</v>
      </c>
      <c r="J1657" s="4">
        <v>3850000</v>
      </c>
      <c r="K1657" s="2">
        <f t="shared" si="141"/>
        <v>0.80058224163027658</v>
      </c>
      <c r="L1657" t="s">
        <v>3500</v>
      </c>
      <c r="M1657" t="s">
        <v>174</v>
      </c>
      <c r="N1657" t="b">
        <f t="shared" si="142"/>
        <v>0</v>
      </c>
    </row>
    <row r="1658" spans="1:14" x14ac:dyDescent="0.15">
      <c r="A1658" t="s">
        <v>13315</v>
      </c>
      <c r="B1658" t="s">
        <v>13318</v>
      </c>
      <c r="C1658" t="s">
        <v>13344</v>
      </c>
      <c r="D1658" t="s">
        <v>23</v>
      </c>
      <c r="E1658" t="s">
        <v>13345</v>
      </c>
      <c r="F1658" s="5">
        <v>1682000</v>
      </c>
      <c r="G1658" s="5">
        <v>1682000</v>
      </c>
      <c r="I1658" s="2">
        <f t="shared" si="140"/>
        <v>0</v>
      </c>
      <c r="J1658" s="4">
        <v>1590000</v>
      </c>
      <c r="K1658" s="2">
        <f t="shared" si="141"/>
        <v>0.94530321046373367</v>
      </c>
      <c r="L1658" t="s">
        <v>701</v>
      </c>
      <c r="M1658" t="s">
        <v>192</v>
      </c>
      <c r="N1658" t="b">
        <f t="shared" si="142"/>
        <v>0</v>
      </c>
    </row>
    <row r="1659" spans="1:14" x14ac:dyDescent="0.15">
      <c r="A1659" t="s">
        <v>13315</v>
      </c>
      <c r="B1659" t="s">
        <v>13318</v>
      </c>
      <c r="C1659" t="s">
        <v>13346</v>
      </c>
      <c r="D1659" t="s">
        <v>23</v>
      </c>
      <c r="E1659" t="s">
        <v>13347</v>
      </c>
      <c r="F1659" s="5">
        <v>1610000</v>
      </c>
      <c r="G1659" s="5">
        <v>1610000</v>
      </c>
      <c r="I1659" s="2">
        <f t="shared" si="140"/>
        <v>0</v>
      </c>
      <c r="J1659" s="4">
        <v>1500000</v>
      </c>
      <c r="K1659" s="2">
        <f t="shared" si="141"/>
        <v>0.93167701863354035</v>
      </c>
      <c r="L1659" t="s">
        <v>13339</v>
      </c>
      <c r="M1659" t="s">
        <v>432</v>
      </c>
      <c r="N1659" t="b">
        <f t="shared" si="142"/>
        <v>0</v>
      </c>
    </row>
    <row r="1660" spans="1:14" x14ac:dyDescent="0.15">
      <c r="A1660" t="s">
        <v>13315</v>
      </c>
      <c r="B1660" t="s">
        <v>13318</v>
      </c>
      <c r="C1660" t="s">
        <v>13348</v>
      </c>
      <c r="D1660" t="s">
        <v>23</v>
      </c>
      <c r="E1660" t="s">
        <v>13349</v>
      </c>
      <c r="F1660" s="5">
        <v>2150000</v>
      </c>
      <c r="G1660" s="5">
        <v>2150000</v>
      </c>
      <c r="I1660" s="2">
        <f t="shared" si="140"/>
        <v>0</v>
      </c>
      <c r="J1660" s="4">
        <v>1530500</v>
      </c>
      <c r="K1660" s="2">
        <f t="shared" si="141"/>
        <v>0.7118604651162791</v>
      </c>
      <c r="L1660" t="s">
        <v>12564</v>
      </c>
      <c r="M1660" t="s">
        <v>432</v>
      </c>
      <c r="N1660" t="b">
        <f t="shared" si="142"/>
        <v>0</v>
      </c>
    </row>
    <row r="1661" spans="1:14" x14ac:dyDescent="0.15">
      <c r="A1661" t="s">
        <v>13315</v>
      </c>
      <c r="B1661" t="s">
        <v>13318</v>
      </c>
      <c r="C1661" t="s">
        <v>13350</v>
      </c>
      <c r="D1661" t="s">
        <v>118</v>
      </c>
      <c r="E1661" t="s">
        <v>13351</v>
      </c>
      <c r="F1661" s="5">
        <v>17230000</v>
      </c>
      <c r="G1661" s="5">
        <v>17230000</v>
      </c>
      <c r="H1661" s="4">
        <v>13822000</v>
      </c>
      <c r="I1661" s="2">
        <f t="shared" si="140"/>
        <v>0.80220545560069645</v>
      </c>
      <c r="J1661" s="4">
        <v>13822000</v>
      </c>
      <c r="K1661" s="2">
        <f t="shared" si="141"/>
        <v>0.80220545560069645</v>
      </c>
      <c r="L1661" t="s">
        <v>786</v>
      </c>
      <c r="M1661" t="s">
        <v>41</v>
      </c>
      <c r="N1661" t="b">
        <f t="shared" si="142"/>
        <v>0</v>
      </c>
    </row>
    <row r="1662" spans="1:14" x14ac:dyDescent="0.15">
      <c r="A1662" t="s">
        <v>13315</v>
      </c>
      <c r="B1662" t="s">
        <v>13318</v>
      </c>
      <c r="C1662" t="s">
        <v>13352</v>
      </c>
      <c r="D1662" t="s">
        <v>118</v>
      </c>
      <c r="E1662" t="s">
        <v>13353</v>
      </c>
      <c r="F1662" s="5">
        <v>11579000</v>
      </c>
      <c r="G1662" s="5">
        <v>11579000</v>
      </c>
      <c r="H1662" s="4">
        <v>9203000</v>
      </c>
      <c r="I1662" s="2">
        <f t="shared" si="140"/>
        <v>0.79480093272303309</v>
      </c>
      <c r="J1662" s="4">
        <v>10400000</v>
      </c>
      <c r="K1662" s="2">
        <f t="shared" si="141"/>
        <v>0.89817773555574743</v>
      </c>
      <c r="L1662" t="s">
        <v>13354</v>
      </c>
      <c r="M1662" t="s">
        <v>174</v>
      </c>
      <c r="N1662" t="b">
        <f t="shared" si="142"/>
        <v>0</v>
      </c>
    </row>
    <row r="1663" spans="1:14" x14ac:dyDescent="0.15">
      <c r="A1663" t="s">
        <v>13315</v>
      </c>
      <c r="B1663" t="s">
        <v>13318</v>
      </c>
      <c r="C1663" t="s">
        <v>13355</v>
      </c>
      <c r="D1663" t="s">
        <v>118</v>
      </c>
      <c r="E1663" t="s">
        <v>13356</v>
      </c>
      <c r="F1663" s="5">
        <v>17587000</v>
      </c>
      <c r="G1663" s="5">
        <v>17587000</v>
      </c>
      <c r="H1663" s="4">
        <v>14123000</v>
      </c>
      <c r="I1663" s="2">
        <f t="shared" si="140"/>
        <v>0.80303633365554106</v>
      </c>
      <c r="J1663" s="4">
        <v>17500000</v>
      </c>
      <c r="K1663" s="2">
        <f t="shared" si="141"/>
        <v>0.99505316426906243</v>
      </c>
      <c r="L1663" t="s">
        <v>2598</v>
      </c>
      <c r="M1663" t="s">
        <v>174</v>
      </c>
      <c r="N1663" t="b">
        <f t="shared" si="142"/>
        <v>0</v>
      </c>
    </row>
    <row r="1664" spans="1:14" x14ac:dyDescent="0.15">
      <c r="A1664" t="s">
        <v>13315</v>
      </c>
      <c r="B1664" t="s">
        <v>13318</v>
      </c>
      <c r="C1664" t="s">
        <v>13357</v>
      </c>
      <c r="D1664" t="s">
        <v>23</v>
      </c>
      <c r="E1664" t="s">
        <v>13358</v>
      </c>
      <c r="F1664" s="5">
        <v>5817000</v>
      </c>
      <c r="G1664" s="5">
        <v>5817000</v>
      </c>
      <c r="H1664" s="4">
        <v>4674000</v>
      </c>
      <c r="I1664" s="2">
        <f t="shared" si="140"/>
        <v>0.80350696235172769</v>
      </c>
      <c r="J1664" s="4">
        <v>5450000</v>
      </c>
      <c r="K1664" s="2">
        <f t="shared" si="141"/>
        <v>0.93690905965274196</v>
      </c>
      <c r="L1664" t="s">
        <v>701</v>
      </c>
      <c r="M1664" t="s">
        <v>165</v>
      </c>
      <c r="N1664" t="b">
        <f t="shared" si="142"/>
        <v>0</v>
      </c>
    </row>
    <row r="1665" spans="1:14" x14ac:dyDescent="0.15">
      <c r="A1665" t="s">
        <v>13315</v>
      </c>
      <c r="B1665" t="s">
        <v>13318</v>
      </c>
      <c r="C1665" t="s">
        <v>13359</v>
      </c>
      <c r="D1665" t="s">
        <v>23</v>
      </c>
      <c r="E1665" t="s">
        <v>13360</v>
      </c>
      <c r="F1665" s="5">
        <v>5558000</v>
      </c>
      <c r="G1665" s="5">
        <v>5558000</v>
      </c>
      <c r="H1665" s="4">
        <v>4463000</v>
      </c>
      <c r="I1665" s="2">
        <f t="shared" si="140"/>
        <v>0.80298668585822242</v>
      </c>
      <c r="J1665" s="4">
        <v>5200000</v>
      </c>
      <c r="K1665" s="2">
        <f t="shared" si="141"/>
        <v>0.93558834112990286</v>
      </c>
      <c r="L1665" t="s">
        <v>13330</v>
      </c>
      <c r="M1665" t="s">
        <v>432</v>
      </c>
      <c r="N1665" t="b">
        <f t="shared" si="142"/>
        <v>0</v>
      </c>
    </row>
    <row r="1666" spans="1:14" x14ac:dyDescent="0.15">
      <c r="A1666" t="s">
        <v>13315</v>
      </c>
      <c r="B1666" t="s">
        <v>13318</v>
      </c>
      <c r="C1666" t="s">
        <v>13361</v>
      </c>
      <c r="D1666" t="s">
        <v>23</v>
      </c>
      <c r="E1666" t="s">
        <v>13362</v>
      </c>
      <c r="F1666" s="5">
        <v>4030000</v>
      </c>
      <c r="G1666" s="5">
        <v>4030000</v>
      </c>
      <c r="H1666" s="4">
        <v>3240000</v>
      </c>
      <c r="I1666" s="2">
        <f t="shared" si="140"/>
        <v>0.80397022332506207</v>
      </c>
      <c r="J1666" s="4">
        <v>3780000</v>
      </c>
      <c r="K1666" s="2">
        <f t="shared" si="141"/>
        <v>0.93796526054590568</v>
      </c>
      <c r="L1666" t="s">
        <v>13363</v>
      </c>
      <c r="M1666" t="s">
        <v>165</v>
      </c>
      <c r="N1666" t="b">
        <f t="shared" si="142"/>
        <v>0</v>
      </c>
    </row>
    <row r="1667" spans="1:14" x14ac:dyDescent="0.15">
      <c r="A1667" t="s">
        <v>13315</v>
      </c>
      <c r="B1667" t="s">
        <v>13318</v>
      </c>
      <c r="C1667" t="s">
        <v>13364</v>
      </c>
      <c r="D1667" t="s">
        <v>118</v>
      </c>
      <c r="E1667" t="s">
        <v>13365</v>
      </c>
      <c r="F1667" s="5">
        <v>20600000</v>
      </c>
      <c r="G1667" s="5">
        <v>20600000</v>
      </c>
      <c r="H1667" s="4">
        <v>16266000</v>
      </c>
      <c r="I1667" s="2">
        <f t="shared" si="140"/>
        <v>0.78961165048543691</v>
      </c>
      <c r="J1667" s="4">
        <v>16266000</v>
      </c>
      <c r="K1667" s="2">
        <f t="shared" si="141"/>
        <v>0.78961165048543691</v>
      </c>
      <c r="L1667" t="s">
        <v>701</v>
      </c>
      <c r="M1667" t="s">
        <v>165</v>
      </c>
      <c r="N1667" t="b">
        <f t="shared" si="142"/>
        <v>0</v>
      </c>
    </row>
    <row r="1668" spans="1:14" x14ac:dyDescent="0.15">
      <c r="A1668" t="s">
        <v>13315</v>
      </c>
      <c r="B1668" t="s">
        <v>13318</v>
      </c>
      <c r="C1668" t="s">
        <v>13366</v>
      </c>
      <c r="D1668" t="s">
        <v>118</v>
      </c>
      <c r="E1668" t="s">
        <v>13367</v>
      </c>
      <c r="F1668" s="5">
        <v>19543000</v>
      </c>
      <c r="G1668" s="5">
        <v>19543000</v>
      </c>
      <c r="H1668" s="4">
        <v>15681000</v>
      </c>
      <c r="I1668" s="2">
        <f t="shared" ref="I1668:I1731" si="143">H1668/G1668</f>
        <v>0.80238448549352714</v>
      </c>
      <c r="J1668" s="4">
        <v>15681000</v>
      </c>
      <c r="K1668" s="2">
        <f t="shared" ref="K1668:K1731" si="144">J1668/G1668</f>
        <v>0.80238448549352714</v>
      </c>
      <c r="L1668" t="s">
        <v>1195</v>
      </c>
      <c r="M1668" t="s">
        <v>216</v>
      </c>
      <c r="N1668" t="b">
        <f t="shared" ref="N1668:N1731" si="145">F1668&lt;&gt;G1668</f>
        <v>0</v>
      </c>
    </row>
    <row r="1669" spans="1:14" x14ac:dyDescent="0.15">
      <c r="A1669" t="s">
        <v>13315</v>
      </c>
      <c r="B1669" t="s">
        <v>13318</v>
      </c>
      <c r="C1669" t="s">
        <v>13368</v>
      </c>
      <c r="D1669" t="s">
        <v>118</v>
      </c>
      <c r="E1669" t="s">
        <v>13369</v>
      </c>
      <c r="F1669" s="5">
        <v>27421000</v>
      </c>
      <c r="G1669" s="5">
        <v>27421000</v>
      </c>
      <c r="H1669" s="4">
        <v>22003000</v>
      </c>
      <c r="I1669" s="2">
        <f t="shared" si="143"/>
        <v>0.80241420808869113</v>
      </c>
      <c r="J1669" s="4">
        <v>22004000</v>
      </c>
      <c r="K1669" s="2">
        <f t="shared" si="144"/>
        <v>0.8024506764888224</v>
      </c>
      <c r="L1669" t="s">
        <v>30</v>
      </c>
      <c r="M1669" t="s">
        <v>248</v>
      </c>
      <c r="N1669" t="b">
        <f t="shared" si="145"/>
        <v>0</v>
      </c>
    </row>
    <row r="1670" spans="1:14" x14ac:dyDescent="0.15">
      <c r="A1670" t="s">
        <v>13315</v>
      </c>
      <c r="B1670" t="s">
        <v>13318</v>
      </c>
      <c r="C1670" t="s">
        <v>13370</v>
      </c>
      <c r="D1670" t="s">
        <v>118</v>
      </c>
      <c r="E1670" t="s">
        <v>13371</v>
      </c>
      <c r="F1670" s="5">
        <v>21381000</v>
      </c>
      <c r="G1670" s="5">
        <v>21381000</v>
      </c>
      <c r="H1670" s="4">
        <v>17165000</v>
      </c>
      <c r="I1670" s="2">
        <f t="shared" si="143"/>
        <v>0.80281558392965713</v>
      </c>
      <c r="J1670" s="4">
        <v>17165000</v>
      </c>
      <c r="K1670" s="2">
        <f t="shared" si="144"/>
        <v>0.80281558392965713</v>
      </c>
      <c r="L1670" t="s">
        <v>173</v>
      </c>
      <c r="M1670" t="s">
        <v>279</v>
      </c>
      <c r="N1670" t="b">
        <f t="shared" si="145"/>
        <v>0</v>
      </c>
    </row>
    <row r="1671" spans="1:14" x14ac:dyDescent="0.15">
      <c r="A1671" t="s">
        <v>13315</v>
      </c>
      <c r="B1671" t="s">
        <v>13318</v>
      </c>
      <c r="C1671" t="s">
        <v>13372</v>
      </c>
      <c r="D1671" t="s">
        <v>118</v>
      </c>
      <c r="E1671" t="s">
        <v>13373</v>
      </c>
      <c r="F1671" s="5">
        <v>9943000</v>
      </c>
      <c r="G1671" s="5">
        <v>9943000</v>
      </c>
      <c r="H1671" s="4">
        <v>7986000</v>
      </c>
      <c r="I1671" s="2">
        <f t="shared" si="143"/>
        <v>0.8031781152569647</v>
      </c>
      <c r="J1671" s="4">
        <v>7987000</v>
      </c>
      <c r="K1671" s="2">
        <f t="shared" si="144"/>
        <v>0.80327868852459017</v>
      </c>
      <c r="L1671" t="s">
        <v>1139</v>
      </c>
      <c r="M1671" t="s">
        <v>482</v>
      </c>
      <c r="N1671" t="b">
        <f t="shared" si="145"/>
        <v>0</v>
      </c>
    </row>
    <row r="1672" spans="1:14" x14ac:dyDescent="0.15">
      <c r="A1672" t="s">
        <v>13315</v>
      </c>
      <c r="B1672" t="s">
        <v>13318</v>
      </c>
      <c r="C1672" t="s">
        <v>13374</v>
      </c>
      <c r="D1672" t="s">
        <v>23</v>
      </c>
      <c r="E1672" t="s">
        <v>13375</v>
      </c>
      <c r="F1672" s="5">
        <v>6967000</v>
      </c>
      <c r="G1672" s="5">
        <v>6967000</v>
      </c>
      <c r="H1672" s="4">
        <v>5609000</v>
      </c>
      <c r="I1672" s="2">
        <f t="shared" si="143"/>
        <v>0.80508109659824889</v>
      </c>
      <c r="J1672" s="4">
        <v>6350000</v>
      </c>
      <c r="K1672" s="2">
        <f t="shared" si="144"/>
        <v>0.9114396440361705</v>
      </c>
      <c r="L1672" t="s">
        <v>13330</v>
      </c>
      <c r="M1672" t="s">
        <v>165</v>
      </c>
      <c r="N1672" t="b">
        <f t="shared" si="145"/>
        <v>0</v>
      </c>
    </row>
    <row r="1673" spans="1:14" x14ac:dyDescent="0.15">
      <c r="A1673" t="s">
        <v>13315</v>
      </c>
      <c r="B1673" t="s">
        <v>13318</v>
      </c>
      <c r="C1673" t="s">
        <v>13376</v>
      </c>
      <c r="D1673" t="s">
        <v>23</v>
      </c>
      <c r="E1673" t="s">
        <v>13377</v>
      </c>
      <c r="F1673" s="5">
        <v>7736000</v>
      </c>
      <c r="G1673" s="5">
        <v>7736000</v>
      </c>
      <c r="H1673" s="4">
        <v>6228000</v>
      </c>
      <c r="I1673" s="2">
        <f t="shared" si="143"/>
        <v>0.80506721820062044</v>
      </c>
      <c r="J1673" s="4">
        <v>6237000</v>
      </c>
      <c r="K1673" s="2">
        <f t="shared" si="144"/>
        <v>0.80623061013443642</v>
      </c>
      <c r="L1673" t="s">
        <v>263</v>
      </c>
      <c r="M1673" t="s">
        <v>165</v>
      </c>
      <c r="N1673" t="b">
        <f t="shared" si="145"/>
        <v>0</v>
      </c>
    </row>
    <row r="1674" spans="1:14" x14ac:dyDescent="0.15">
      <c r="A1674" t="s">
        <v>13315</v>
      </c>
      <c r="B1674" t="s">
        <v>13318</v>
      </c>
      <c r="C1674" t="s">
        <v>13378</v>
      </c>
      <c r="D1674" t="s">
        <v>23</v>
      </c>
      <c r="E1674" t="s">
        <v>13379</v>
      </c>
      <c r="F1674" s="5">
        <v>5759000</v>
      </c>
      <c r="G1674" s="5">
        <v>5759000</v>
      </c>
      <c r="H1674" s="4">
        <v>4619000</v>
      </c>
      <c r="I1674" s="2">
        <f t="shared" si="143"/>
        <v>0.80204896683451987</v>
      </c>
      <c r="J1674" s="4">
        <v>5400000</v>
      </c>
      <c r="K1674" s="2">
        <f t="shared" si="144"/>
        <v>0.93766278867858999</v>
      </c>
      <c r="L1674" t="s">
        <v>13363</v>
      </c>
      <c r="M1674" t="s">
        <v>192</v>
      </c>
      <c r="N1674" t="b">
        <f t="shared" si="145"/>
        <v>0</v>
      </c>
    </row>
    <row r="1675" spans="1:14" x14ac:dyDescent="0.15">
      <c r="A1675" t="s">
        <v>13315</v>
      </c>
      <c r="B1675" t="s">
        <v>13318</v>
      </c>
      <c r="C1675" t="s">
        <v>13380</v>
      </c>
      <c r="D1675" t="s">
        <v>23</v>
      </c>
      <c r="E1675" t="s">
        <v>13381</v>
      </c>
      <c r="F1675" s="5">
        <v>9068000</v>
      </c>
      <c r="G1675" s="5">
        <v>9068000</v>
      </c>
      <c r="H1675" s="4">
        <v>7273000</v>
      </c>
      <c r="I1675" s="2">
        <f t="shared" si="143"/>
        <v>0.80205116894574324</v>
      </c>
      <c r="J1675" s="4">
        <v>8400000</v>
      </c>
      <c r="K1675" s="2">
        <f t="shared" si="144"/>
        <v>0.92633436259373625</v>
      </c>
      <c r="L1675" t="s">
        <v>13330</v>
      </c>
      <c r="M1675" t="s">
        <v>192</v>
      </c>
      <c r="N1675" t="b">
        <f t="shared" si="145"/>
        <v>0</v>
      </c>
    </row>
    <row r="1676" spans="1:14" x14ac:dyDescent="0.15">
      <c r="A1676" t="s">
        <v>13315</v>
      </c>
      <c r="B1676" t="s">
        <v>13318</v>
      </c>
      <c r="C1676" t="s">
        <v>13382</v>
      </c>
      <c r="D1676" t="s">
        <v>118</v>
      </c>
      <c r="E1676" t="s">
        <v>13383</v>
      </c>
      <c r="F1676" s="5">
        <v>12362000</v>
      </c>
      <c r="G1676" s="5">
        <v>12362000</v>
      </c>
      <c r="H1676" s="4">
        <v>9986000</v>
      </c>
      <c r="I1676" s="2">
        <f t="shared" si="143"/>
        <v>0.80779809092379873</v>
      </c>
      <c r="J1676" s="4">
        <v>12000000</v>
      </c>
      <c r="K1676" s="2">
        <f t="shared" si="144"/>
        <v>0.97071671250606695</v>
      </c>
      <c r="L1676" t="s">
        <v>13384</v>
      </c>
      <c r="M1676" t="s">
        <v>41</v>
      </c>
      <c r="N1676" t="b">
        <f t="shared" si="145"/>
        <v>0</v>
      </c>
    </row>
    <row r="1677" spans="1:14" x14ac:dyDescent="0.15">
      <c r="A1677" t="s">
        <v>13315</v>
      </c>
      <c r="B1677" t="s">
        <v>13318</v>
      </c>
      <c r="C1677" t="s">
        <v>13385</v>
      </c>
      <c r="D1677" t="s">
        <v>118</v>
      </c>
      <c r="E1677" t="s">
        <v>13386</v>
      </c>
      <c r="F1677" s="5">
        <v>19419000</v>
      </c>
      <c r="G1677" s="5">
        <v>19419000</v>
      </c>
      <c r="H1677" s="4">
        <v>15582000</v>
      </c>
      <c r="I1677" s="2">
        <f t="shared" si="143"/>
        <v>0.80241001081415109</v>
      </c>
      <c r="J1677" s="4">
        <v>15582000</v>
      </c>
      <c r="K1677" s="2">
        <f t="shared" si="144"/>
        <v>0.80241001081415109</v>
      </c>
      <c r="L1677" t="s">
        <v>1195</v>
      </c>
      <c r="M1677" t="s">
        <v>80</v>
      </c>
      <c r="N1677" t="b">
        <f t="shared" si="145"/>
        <v>0</v>
      </c>
    </row>
    <row r="1678" spans="1:14" x14ac:dyDescent="0.15">
      <c r="A1678" t="s">
        <v>13315</v>
      </c>
      <c r="B1678" t="s">
        <v>13318</v>
      </c>
      <c r="C1678" t="s">
        <v>13331</v>
      </c>
      <c r="D1678" t="s">
        <v>23</v>
      </c>
      <c r="E1678" t="s">
        <v>13387</v>
      </c>
      <c r="F1678" s="5">
        <v>972352</v>
      </c>
      <c r="G1678" s="5">
        <v>972352</v>
      </c>
      <c r="I1678" s="2">
        <f t="shared" si="143"/>
        <v>0</v>
      </c>
      <c r="J1678" s="4">
        <v>951400</v>
      </c>
      <c r="K1678" s="2">
        <f t="shared" si="144"/>
        <v>0.9784522477456723</v>
      </c>
      <c r="L1678" t="s">
        <v>701</v>
      </c>
      <c r="M1678" t="s">
        <v>174</v>
      </c>
      <c r="N1678" t="b">
        <f t="shared" si="145"/>
        <v>0</v>
      </c>
    </row>
    <row r="1679" spans="1:14" x14ac:dyDescent="0.15">
      <c r="A1679" t="s">
        <v>13315</v>
      </c>
      <c r="B1679" t="s">
        <v>13318</v>
      </c>
      <c r="C1679" t="s">
        <v>13388</v>
      </c>
      <c r="D1679" t="s">
        <v>23</v>
      </c>
      <c r="E1679" t="s">
        <v>13389</v>
      </c>
      <c r="F1679" s="5">
        <v>6063000</v>
      </c>
      <c r="G1679" s="5">
        <v>6063000</v>
      </c>
      <c r="H1679" s="4">
        <v>4699000</v>
      </c>
      <c r="I1679" s="2">
        <f t="shared" si="143"/>
        <v>0.77502886359887846</v>
      </c>
      <c r="J1679" s="4">
        <v>5400000</v>
      </c>
      <c r="K1679" s="2">
        <f t="shared" si="144"/>
        <v>0.89064819396338446</v>
      </c>
      <c r="L1679" t="s">
        <v>1078</v>
      </c>
      <c r="M1679" t="s">
        <v>432</v>
      </c>
      <c r="N1679" t="b">
        <f t="shared" si="145"/>
        <v>0</v>
      </c>
    </row>
    <row r="1680" spans="1:14" x14ac:dyDescent="0.15">
      <c r="A1680" t="s">
        <v>13315</v>
      </c>
      <c r="B1680" t="s">
        <v>13318</v>
      </c>
      <c r="C1680" t="s">
        <v>13390</v>
      </c>
      <c r="D1680" t="s">
        <v>23</v>
      </c>
      <c r="E1680" t="s">
        <v>13391</v>
      </c>
      <c r="F1680" s="5">
        <v>3278000</v>
      </c>
      <c r="G1680" s="5">
        <v>3278000</v>
      </c>
      <c r="H1680" s="4">
        <v>2629000</v>
      </c>
      <c r="I1680" s="2">
        <f t="shared" si="143"/>
        <v>0.80201342281879195</v>
      </c>
      <c r="J1680" s="4">
        <v>2629000</v>
      </c>
      <c r="K1680" s="2">
        <f t="shared" si="144"/>
        <v>0.80201342281879195</v>
      </c>
      <c r="L1680" t="s">
        <v>1979</v>
      </c>
      <c r="M1680" t="s">
        <v>192</v>
      </c>
      <c r="N1680" t="b">
        <f t="shared" si="145"/>
        <v>0</v>
      </c>
    </row>
    <row r="1681" spans="1:14" x14ac:dyDescent="0.15">
      <c r="A1681" t="s">
        <v>13315</v>
      </c>
      <c r="B1681" t="s">
        <v>13318</v>
      </c>
      <c r="C1681" t="s">
        <v>13392</v>
      </c>
      <c r="D1681" t="s">
        <v>23</v>
      </c>
      <c r="E1681" t="s">
        <v>13393</v>
      </c>
      <c r="F1681" s="5">
        <v>5461000</v>
      </c>
      <c r="G1681" s="5">
        <v>5461000</v>
      </c>
      <c r="H1681" s="4">
        <v>4380000</v>
      </c>
      <c r="I1681" s="2">
        <f t="shared" si="143"/>
        <v>0.80205090642739429</v>
      </c>
      <c r="J1681" s="4">
        <v>4380000</v>
      </c>
      <c r="K1681" s="2">
        <f t="shared" si="144"/>
        <v>0.80205090642739429</v>
      </c>
      <c r="L1681" t="s">
        <v>13324</v>
      </c>
      <c r="M1681" t="s">
        <v>126</v>
      </c>
      <c r="N1681" t="b">
        <f t="shared" si="145"/>
        <v>0</v>
      </c>
    </row>
    <row r="1682" spans="1:14" x14ac:dyDescent="0.15">
      <c r="A1682" t="s">
        <v>13315</v>
      </c>
      <c r="B1682" t="s">
        <v>13318</v>
      </c>
      <c r="C1682" t="s">
        <v>13394</v>
      </c>
      <c r="D1682" t="s">
        <v>118</v>
      </c>
      <c r="E1682" t="s">
        <v>13395</v>
      </c>
      <c r="F1682" s="5">
        <v>13850000</v>
      </c>
      <c r="G1682" s="5">
        <v>13850000</v>
      </c>
      <c r="H1682" s="4">
        <v>11120000</v>
      </c>
      <c r="I1682" s="2">
        <f t="shared" si="143"/>
        <v>0.80288808664259925</v>
      </c>
      <c r="J1682" s="4">
        <v>11125000</v>
      </c>
      <c r="K1682" s="2">
        <f t="shared" si="144"/>
        <v>0.80324909747292417</v>
      </c>
      <c r="L1682" t="s">
        <v>811</v>
      </c>
      <c r="M1682" t="s">
        <v>165</v>
      </c>
      <c r="N1682" t="b">
        <f t="shared" si="145"/>
        <v>0</v>
      </c>
    </row>
    <row r="1683" spans="1:14" x14ac:dyDescent="0.15">
      <c r="A1683" t="s">
        <v>13315</v>
      </c>
      <c r="B1683" t="s">
        <v>13318</v>
      </c>
      <c r="C1683" t="s">
        <v>13396</v>
      </c>
      <c r="D1683" t="s">
        <v>118</v>
      </c>
      <c r="E1683" t="s">
        <v>13397</v>
      </c>
      <c r="F1683" s="5">
        <v>29550000</v>
      </c>
      <c r="G1683" s="5">
        <v>29550000</v>
      </c>
      <c r="H1683" s="4">
        <v>23729000</v>
      </c>
      <c r="I1683" s="2">
        <f t="shared" si="143"/>
        <v>0.8030118443316413</v>
      </c>
      <c r="J1683" s="4">
        <v>23742000</v>
      </c>
      <c r="K1683" s="2">
        <f t="shared" si="144"/>
        <v>0.80345177664974621</v>
      </c>
      <c r="L1683" t="s">
        <v>13327</v>
      </c>
      <c r="M1683" t="s">
        <v>183</v>
      </c>
      <c r="N1683" t="b">
        <f t="shared" si="145"/>
        <v>0</v>
      </c>
    </row>
    <row r="1684" spans="1:14" x14ac:dyDescent="0.15">
      <c r="A1684" t="s">
        <v>13315</v>
      </c>
      <c r="B1684" t="s">
        <v>13318</v>
      </c>
      <c r="C1684" t="s">
        <v>13398</v>
      </c>
      <c r="D1684" t="s">
        <v>23</v>
      </c>
      <c r="E1684" t="s">
        <v>13399</v>
      </c>
      <c r="F1684" s="5">
        <v>1410000</v>
      </c>
      <c r="G1684" s="5">
        <v>1410000</v>
      </c>
      <c r="I1684" s="2">
        <f t="shared" si="143"/>
        <v>0</v>
      </c>
      <c r="J1684" s="4">
        <v>1300000</v>
      </c>
      <c r="K1684" s="2">
        <f t="shared" si="144"/>
        <v>0.92198581560283688</v>
      </c>
      <c r="L1684" t="s">
        <v>13339</v>
      </c>
      <c r="M1684" t="s">
        <v>165</v>
      </c>
      <c r="N1684" t="b">
        <f t="shared" si="145"/>
        <v>0</v>
      </c>
    </row>
    <row r="1685" spans="1:14" x14ac:dyDescent="0.15">
      <c r="A1685" t="s">
        <v>13315</v>
      </c>
      <c r="B1685" t="s">
        <v>13318</v>
      </c>
      <c r="C1685" t="s">
        <v>13346</v>
      </c>
      <c r="D1685" t="s">
        <v>23</v>
      </c>
      <c r="E1685" t="s">
        <v>13400</v>
      </c>
      <c r="F1685" s="5">
        <v>1550000</v>
      </c>
      <c r="G1685" s="5">
        <v>1550000</v>
      </c>
      <c r="I1685" s="2">
        <f t="shared" si="143"/>
        <v>0</v>
      </c>
      <c r="J1685" s="4">
        <v>1420000</v>
      </c>
      <c r="K1685" s="2">
        <f t="shared" si="144"/>
        <v>0.91612903225806452</v>
      </c>
      <c r="L1685" t="s">
        <v>13339</v>
      </c>
      <c r="M1685" t="s">
        <v>165</v>
      </c>
      <c r="N1685" t="b">
        <f t="shared" si="145"/>
        <v>0</v>
      </c>
    </row>
    <row r="1686" spans="1:14" x14ac:dyDescent="0.15">
      <c r="A1686" t="s">
        <v>13315</v>
      </c>
      <c r="B1686" t="s">
        <v>13318</v>
      </c>
      <c r="C1686" t="s">
        <v>13401</v>
      </c>
      <c r="D1686" t="s">
        <v>23</v>
      </c>
      <c r="E1686" t="s">
        <v>13402</v>
      </c>
      <c r="F1686" s="5">
        <v>3760000</v>
      </c>
      <c r="G1686" s="5">
        <v>3760000</v>
      </c>
      <c r="H1686" s="4">
        <v>3023000</v>
      </c>
      <c r="I1686" s="2">
        <f t="shared" si="143"/>
        <v>0.80398936170212765</v>
      </c>
      <c r="J1686" s="4">
        <v>3600000</v>
      </c>
      <c r="K1686" s="2">
        <f t="shared" si="144"/>
        <v>0.95744680851063835</v>
      </c>
      <c r="L1686" t="s">
        <v>13403</v>
      </c>
      <c r="M1686" t="s">
        <v>432</v>
      </c>
      <c r="N1686" t="b">
        <f t="shared" si="145"/>
        <v>0</v>
      </c>
    </row>
    <row r="1687" spans="1:14" x14ac:dyDescent="0.15">
      <c r="A1687" t="s">
        <v>13315</v>
      </c>
      <c r="B1687" t="s">
        <v>13318</v>
      </c>
      <c r="C1687" t="s">
        <v>13404</v>
      </c>
      <c r="D1687" t="s">
        <v>23</v>
      </c>
      <c r="E1687" t="s">
        <v>13405</v>
      </c>
      <c r="F1687" s="5">
        <v>4560000</v>
      </c>
      <c r="G1687" s="5">
        <v>4560000</v>
      </c>
      <c r="H1687" s="4">
        <v>3665000</v>
      </c>
      <c r="I1687" s="2">
        <f t="shared" si="143"/>
        <v>0.80372807017543857</v>
      </c>
      <c r="J1687" s="4">
        <v>4400000</v>
      </c>
      <c r="K1687" s="2">
        <f t="shared" si="144"/>
        <v>0.96491228070175439</v>
      </c>
      <c r="L1687" t="s">
        <v>13403</v>
      </c>
      <c r="M1687" t="s">
        <v>432</v>
      </c>
      <c r="N1687" t="b">
        <f t="shared" si="145"/>
        <v>0</v>
      </c>
    </row>
    <row r="1688" spans="1:14" x14ac:dyDescent="0.15">
      <c r="A1688" t="s">
        <v>13315</v>
      </c>
      <c r="B1688" t="s">
        <v>13318</v>
      </c>
      <c r="C1688" t="s">
        <v>13406</v>
      </c>
      <c r="D1688" t="s">
        <v>23</v>
      </c>
      <c r="E1688" t="s">
        <v>13407</v>
      </c>
      <c r="F1688" s="5">
        <v>7153000</v>
      </c>
      <c r="G1688" s="5">
        <v>7153000</v>
      </c>
      <c r="H1688" s="4">
        <v>5741000</v>
      </c>
      <c r="I1688" s="2">
        <f t="shared" si="143"/>
        <v>0.80260030756326017</v>
      </c>
      <c r="J1688" s="4">
        <v>6700000</v>
      </c>
      <c r="K1688" s="2">
        <f t="shared" si="144"/>
        <v>0.93666992870124421</v>
      </c>
      <c r="L1688" t="s">
        <v>701</v>
      </c>
      <c r="M1688" t="s">
        <v>432</v>
      </c>
      <c r="N1688" t="b">
        <f t="shared" si="145"/>
        <v>0</v>
      </c>
    </row>
    <row r="1689" spans="1:14" x14ac:dyDescent="0.15">
      <c r="A1689" t="s">
        <v>13315</v>
      </c>
      <c r="B1689" t="s">
        <v>13318</v>
      </c>
      <c r="C1689" t="s">
        <v>13408</v>
      </c>
      <c r="D1689" t="s">
        <v>118</v>
      </c>
      <c r="E1689" t="s">
        <v>13409</v>
      </c>
      <c r="F1689" s="5">
        <v>48568000</v>
      </c>
      <c r="G1689" s="5">
        <v>48568000</v>
      </c>
      <c r="H1689" s="4">
        <v>38854400</v>
      </c>
      <c r="I1689" s="2">
        <f t="shared" si="143"/>
        <v>0.8</v>
      </c>
      <c r="J1689" s="4">
        <v>39250000</v>
      </c>
      <c r="K1689" s="2">
        <f t="shared" si="144"/>
        <v>0.80814528084335369</v>
      </c>
      <c r="L1689" t="s">
        <v>13354</v>
      </c>
      <c r="M1689" t="s">
        <v>80</v>
      </c>
      <c r="N1689" t="b">
        <f t="shared" si="145"/>
        <v>0</v>
      </c>
    </row>
    <row r="1690" spans="1:14" x14ac:dyDescent="0.15">
      <c r="A1690" t="s">
        <v>13315</v>
      </c>
      <c r="B1690" t="s">
        <v>13318</v>
      </c>
      <c r="C1690" t="s">
        <v>13410</v>
      </c>
      <c r="D1690" t="s">
        <v>23</v>
      </c>
      <c r="E1690" t="s">
        <v>13411</v>
      </c>
      <c r="F1690" s="5">
        <v>6965000</v>
      </c>
      <c r="G1690" s="5">
        <v>6965000</v>
      </c>
      <c r="H1690" s="4">
        <v>5546000</v>
      </c>
      <c r="I1690" s="2">
        <f t="shared" si="143"/>
        <v>0.79626704953338123</v>
      </c>
      <c r="J1690" s="4">
        <v>5547000</v>
      </c>
      <c r="K1690" s="2">
        <f t="shared" si="144"/>
        <v>0.79641062455132805</v>
      </c>
      <c r="L1690" t="s">
        <v>13324</v>
      </c>
      <c r="M1690" t="s">
        <v>432</v>
      </c>
      <c r="N1690" t="b">
        <f t="shared" si="145"/>
        <v>0</v>
      </c>
    </row>
    <row r="1691" spans="1:14" x14ac:dyDescent="0.15">
      <c r="A1691" t="s">
        <v>13315</v>
      </c>
      <c r="B1691" t="s">
        <v>13318</v>
      </c>
      <c r="C1691" t="s">
        <v>13412</v>
      </c>
      <c r="D1691" t="s">
        <v>23</v>
      </c>
      <c r="E1691" t="s">
        <v>13413</v>
      </c>
      <c r="F1691" s="5">
        <v>4700000</v>
      </c>
      <c r="G1691" s="5">
        <v>4700000</v>
      </c>
      <c r="H1691" s="4">
        <v>3744000</v>
      </c>
      <c r="I1691" s="2">
        <f t="shared" si="143"/>
        <v>0.79659574468085104</v>
      </c>
      <c r="J1691" s="4">
        <v>4380000</v>
      </c>
      <c r="K1691" s="2">
        <f t="shared" si="144"/>
        <v>0.93191489361702129</v>
      </c>
      <c r="L1691" t="s">
        <v>13339</v>
      </c>
      <c r="M1691" t="s">
        <v>432</v>
      </c>
      <c r="N1691" t="b">
        <f t="shared" si="145"/>
        <v>0</v>
      </c>
    </row>
    <row r="1692" spans="1:14" x14ac:dyDescent="0.15">
      <c r="A1692" t="s">
        <v>13315</v>
      </c>
      <c r="B1692" t="s">
        <v>13318</v>
      </c>
      <c r="C1692" t="s">
        <v>13414</v>
      </c>
      <c r="D1692" t="s">
        <v>23</v>
      </c>
      <c r="E1692" t="s">
        <v>13415</v>
      </c>
      <c r="F1692" s="5">
        <v>6168000</v>
      </c>
      <c r="G1692" s="5">
        <v>6168000</v>
      </c>
      <c r="H1692" s="4">
        <v>4804000</v>
      </c>
      <c r="I1692" s="2">
        <f t="shared" si="143"/>
        <v>0.77885862516212712</v>
      </c>
      <c r="J1692" s="4">
        <v>5500000</v>
      </c>
      <c r="K1692" s="2">
        <f t="shared" si="144"/>
        <v>0.8916990920881972</v>
      </c>
      <c r="L1692" t="s">
        <v>1078</v>
      </c>
      <c r="M1692" t="s">
        <v>165</v>
      </c>
      <c r="N1692" t="b">
        <f t="shared" si="145"/>
        <v>0</v>
      </c>
    </row>
    <row r="1693" spans="1:14" x14ac:dyDescent="0.15">
      <c r="A1693" t="s">
        <v>13315</v>
      </c>
      <c r="B1693" t="s">
        <v>13318</v>
      </c>
      <c r="C1693" t="s">
        <v>13416</v>
      </c>
      <c r="D1693" t="s">
        <v>23</v>
      </c>
      <c r="E1693" t="s">
        <v>13417</v>
      </c>
      <c r="F1693" s="5">
        <v>8440000</v>
      </c>
      <c r="G1693" s="5">
        <v>8440000</v>
      </c>
      <c r="H1693" s="4">
        <v>6720000</v>
      </c>
      <c r="I1693" s="2">
        <f t="shared" si="143"/>
        <v>0.79620853080568721</v>
      </c>
      <c r="J1693" s="4">
        <v>8000000</v>
      </c>
      <c r="K1693" s="2">
        <f t="shared" si="144"/>
        <v>0.94786729857819907</v>
      </c>
      <c r="L1693" t="s">
        <v>13363</v>
      </c>
      <c r="M1693" t="s">
        <v>432</v>
      </c>
      <c r="N1693" t="b">
        <f t="shared" si="145"/>
        <v>0</v>
      </c>
    </row>
    <row r="1694" spans="1:14" x14ac:dyDescent="0.15">
      <c r="A1694" t="s">
        <v>13315</v>
      </c>
      <c r="B1694" t="s">
        <v>13318</v>
      </c>
      <c r="C1694" t="s">
        <v>13418</v>
      </c>
      <c r="D1694" t="s">
        <v>23</v>
      </c>
      <c r="E1694" t="s">
        <v>13419</v>
      </c>
      <c r="F1694" s="5">
        <v>3250000</v>
      </c>
      <c r="G1694" s="5">
        <v>3250000</v>
      </c>
      <c r="H1694" s="4">
        <v>2532000</v>
      </c>
      <c r="I1694" s="2">
        <f t="shared" si="143"/>
        <v>0.77907692307692311</v>
      </c>
      <c r="J1694" s="4">
        <v>3050000</v>
      </c>
      <c r="K1694" s="2">
        <f t="shared" si="144"/>
        <v>0.93846153846153846</v>
      </c>
      <c r="L1694" t="s">
        <v>701</v>
      </c>
      <c r="M1694" t="s">
        <v>165</v>
      </c>
      <c r="N1694" t="b">
        <f t="shared" si="145"/>
        <v>0</v>
      </c>
    </row>
    <row r="1695" spans="1:14" x14ac:dyDescent="0.15">
      <c r="A1695" t="s">
        <v>13315</v>
      </c>
      <c r="B1695" t="s">
        <v>13318</v>
      </c>
      <c r="C1695" t="s">
        <v>13420</v>
      </c>
      <c r="D1695" t="s">
        <v>23</v>
      </c>
      <c r="E1695" t="s">
        <v>13421</v>
      </c>
      <c r="F1695" s="5">
        <v>1660000</v>
      </c>
      <c r="G1695" s="5">
        <v>1660000</v>
      </c>
      <c r="I1695" s="2">
        <f t="shared" si="143"/>
        <v>0</v>
      </c>
      <c r="J1695" s="4">
        <v>1540000</v>
      </c>
      <c r="K1695" s="2">
        <f t="shared" si="144"/>
        <v>0.92771084337349397</v>
      </c>
      <c r="L1695" t="s">
        <v>13339</v>
      </c>
      <c r="M1695" t="s">
        <v>165</v>
      </c>
      <c r="N1695" t="b">
        <f t="shared" si="145"/>
        <v>0</v>
      </c>
    </row>
    <row r="1696" spans="1:14" x14ac:dyDescent="0.15">
      <c r="A1696" t="s">
        <v>13315</v>
      </c>
      <c r="B1696" t="s">
        <v>13318</v>
      </c>
      <c r="C1696" t="s">
        <v>13422</v>
      </c>
      <c r="D1696" t="s">
        <v>23</v>
      </c>
      <c r="E1696" t="s">
        <v>13423</v>
      </c>
      <c r="F1696" s="5">
        <v>8920000</v>
      </c>
      <c r="G1696" s="5">
        <v>8920000</v>
      </c>
      <c r="H1696" s="4">
        <v>7092000</v>
      </c>
      <c r="I1696" s="2">
        <f t="shared" si="143"/>
        <v>0.79506726457399102</v>
      </c>
      <c r="J1696" s="4">
        <v>8200000</v>
      </c>
      <c r="K1696" s="2">
        <f t="shared" si="144"/>
        <v>0.91928251121076232</v>
      </c>
      <c r="L1696" t="s">
        <v>13424</v>
      </c>
      <c r="M1696" t="s">
        <v>432</v>
      </c>
      <c r="N1696" t="b">
        <f t="shared" si="145"/>
        <v>0</v>
      </c>
    </row>
    <row r="1697" spans="1:14" x14ac:dyDescent="0.15">
      <c r="A1697" t="s">
        <v>13315</v>
      </c>
      <c r="B1697" t="s">
        <v>13318</v>
      </c>
      <c r="C1697" t="s">
        <v>13425</v>
      </c>
      <c r="D1697" t="s">
        <v>118</v>
      </c>
      <c r="E1697" t="s">
        <v>13426</v>
      </c>
      <c r="F1697" s="5">
        <v>11873000</v>
      </c>
      <c r="G1697" s="5">
        <v>11873000</v>
      </c>
      <c r="H1697" s="4">
        <v>9454000</v>
      </c>
      <c r="I1697" s="2">
        <f t="shared" si="143"/>
        <v>0.79626042280805187</v>
      </c>
      <c r="J1697" s="4">
        <v>9454000</v>
      </c>
      <c r="K1697" s="2">
        <f t="shared" si="144"/>
        <v>0.79626042280805187</v>
      </c>
      <c r="L1697" t="s">
        <v>701</v>
      </c>
      <c r="M1697" t="s">
        <v>126</v>
      </c>
      <c r="N1697" t="b">
        <f t="shared" si="145"/>
        <v>0</v>
      </c>
    </row>
    <row r="1698" spans="1:14" x14ac:dyDescent="0.15">
      <c r="A1698" t="s">
        <v>13315</v>
      </c>
      <c r="B1698" t="s">
        <v>13318</v>
      </c>
      <c r="C1698" t="s">
        <v>13427</v>
      </c>
      <c r="D1698" t="s">
        <v>118</v>
      </c>
      <c r="E1698" t="s">
        <v>13428</v>
      </c>
      <c r="F1698" s="5">
        <v>32296000</v>
      </c>
      <c r="G1698" s="5">
        <v>32296000</v>
      </c>
      <c r="H1698" s="4">
        <v>25726000</v>
      </c>
      <c r="I1698" s="2">
        <f t="shared" si="143"/>
        <v>0.79656923458013373</v>
      </c>
      <c r="J1698" s="4">
        <v>25726000</v>
      </c>
      <c r="K1698" s="2">
        <f t="shared" si="144"/>
        <v>0.79656923458013373</v>
      </c>
      <c r="L1698" t="s">
        <v>173</v>
      </c>
      <c r="M1698" t="s">
        <v>104</v>
      </c>
      <c r="N1698" t="b">
        <f t="shared" si="145"/>
        <v>0</v>
      </c>
    </row>
    <row r="1699" spans="1:14" x14ac:dyDescent="0.15">
      <c r="A1699" t="s">
        <v>13315</v>
      </c>
      <c r="B1699" t="s">
        <v>13318</v>
      </c>
      <c r="C1699" t="s">
        <v>13429</v>
      </c>
      <c r="D1699" t="s">
        <v>23</v>
      </c>
      <c r="E1699" t="s">
        <v>13430</v>
      </c>
      <c r="F1699" s="5">
        <v>3297000</v>
      </c>
      <c r="G1699" s="5">
        <v>3297000</v>
      </c>
      <c r="H1699" s="4">
        <v>2627000</v>
      </c>
      <c r="I1699" s="2">
        <f t="shared" si="143"/>
        <v>0.79678495602062482</v>
      </c>
      <c r="J1699" s="4">
        <v>3050000</v>
      </c>
      <c r="K1699" s="2">
        <f t="shared" si="144"/>
        <v>0.92508340915984233</v>
      </c>
      <c r="L1699" t="s">
        <v>701</v>
      </c>
      <c r="M1699" t="s">
        <v>432</v>
      </c>
      <c r="N1699" t="b">
        <f t="shared" si="145"/>
        <v>0</v>
      </c>
    </row>
    <row r="1700" spans="1:14" x14ac:dyDescent="0.15">
      <c r="A1700" t="s">
        <v>13315</v>
      </c>
      <c r="B1700" t="s">
        <v>13318</v>
      </c>
      <c r="C1700" t="s">
        <v>13431</v>
      </c>
      <c r="D1700" t="s">
        <v>23</v>
      </c>
      <c r="E1700" t="s">
        <v>13432</v>
      </c>
      <c r="F1700" s="5">
        <v>8823000</v>
      </c>
      <c r="G1700" s="5">
        <v>8823000</v>
      </c>
      <c r="H1700" s="4">
        <v>7019000</v>
      </c>
      <c r="I1700" s="2">
        <f t="shared" si="143"/>
        <v>0.79553439873059051</v>
      </c>
      <c r="J1700" s="4">
        <v>7950000</v>
      </c>
      <c r="K1700" s="2">
        <f t="shared" si="144"/>
        <v>0.90105406324379467</v>
      </c>
      <c r="L1700" t="s">
        <v>13330</v>
      </c>
      <c r="M1700" t="s">
        <v>174</v>
      </c>
      <c r="N1700" t="b">
        <f t="shared" si="145"/>
        <v>0</v>
      </c>
    </row>
    <row r="1701" spans="1:14" x14ac:dyDescent="0.15">
      <c r="A1701" t="s">
        <v>13315</v>
      </c>
      <c r="B1701" t="s">
        <v>13318</v>
      </c>
      <c r="C1701" t="s">
        <v>13433</v>
      </c>
      <c r="D1701" t="s">
        <v>23</v>
      </c>
      <c r="E1701" t="s">
        <v>13434</v>
      </c>
      <c r="F1701" s="5">
        <v>6375000</v>
      </c>
      <c r="G1701" s="5">
        <v>6375000</v>
      </c>
      <c r="H1701" s="4">
        <v>5076000</v>
      </c>
      <c r="I1701" s="2">
        <f t="shared" si="143"/>
        <v>0.79623529411764704</v>
      </c>
      <c r="J1701" s="4">
        <v>6000000</v>
      </c>
      <c r="K1701" s="2">
        <f t="shared" si="144"/>
        <v>0.94117647058823528</v>
      </c>
      <c r="L1701" t="s">
        <v>13354</v>
      </c>
      <c r="M1701" t="s">
        <v>174</v>
      </c>
      <c r="N1701" t="b">
        <f t="shared" si="145"/>
        <v>0</v>
      </c>
    </row>
    <row r="1702" spans="1:14" x14ac:dyDescent="0.15">
      <c r="A1702" t="s">
        <v>13315</v>
      </c>
      <c r="B1702" t="s">
        <v>13318</v>
      </c>
      <c r="C1702" t="s">
        <v>13435</v>
      </c>
      <c r="D1702" t="s">
        <v>23</v>
      </c>
      <c r="E1702" t="s">
        <v>13436</v>
      </c>
      <c r="F1702" s="5">
        <v>4091000</v>
      </c>
      <c r="G1702" s="5">
        <v>4091000</v>
      </c>
      <c r="H1702" s="4">
        <v>3259000</v>
      </c>
      <c r="I1702" s="2">
        <f t="shared" si="143"/>
        <v>0.79662674162796387</v>
      </c>
      <c r="J1702" s="4">
        <v>3800000</v>
      </c>
      <c r="K1702" s="2">
        <f t="shared" si="144"/>
        <v>0.92886824737228058</v>
      </c>
      <c r="L1702" t="s">
        <v>701</v>
      </c>
      <c r="M1702" t="s">
        <v>174</v>
      </c>
      <c r="N1702" t="b">
        <f t="shared" si="145"/>
        <v>0</v>
      </c>
    </row>
    <row r="1703" spans="1:14" x14ac:dyDescent="0.15">
      <c r="A1703" t="s">
        <v>13315</v>
      </c>
      <c r="B1703" t="s">
        <v>13318</v>
      </c>
      <c r="C1703" t="s">
        <v>13437</v>
      </c>
      <c r="D1703" t="s">
        <v>23</v>
      </c>
      <c r="E1703" t="s">
        <v>13438</v>
      </c>
      <c r="F1703" s="5">
        <v>1555000</v>
      </c>
      <c r="G1703" s="5">
        <v>1555000</v>
      </c>
      <c r="I1703" s="2">
        <f t="shared" si="143"/>
        <v>0</v>
      </c>
      <c r="J1703" s="4">
        <v>1450000</v>
      </c>
      <c r="K1703" s="2">
        <f t="shared" si="144"/>
        <v>0.932475884244373</v>
      </c>
      <c r="L1703" t="s">
        <v>701</v>
      </c>
      <c r="M1703" t="s">
        <v>165</v>
      </c>
      <c r="N1703" t="b">
        <f t="shared" si="145"/>
        <v>0</v>
      </c>
    </row>
    <row r="1704" spans="1:14" x14ac:dyDescent="0.15">
      <c r="A1704" t="s">
        <v>13315</v>
      </c>
      <c r="B1704" t="s">
        <v>13318</v>
      </c>
      <c r="C1704" t="s">
        <v>13439</v>
      </c>
      <c r="D1704" t="s">
        <v>23</v>
      </c>
      <c r="E1704" t="s">
        <v>13440</v>
      </c>
      <c r="F1704" s="5">
        <v>8656000</v>
      </c>
      <c r="G1704" s="5">
        <v>8656000</v>
      </c>
      <c r="H1704" s="4">
        <v>6883000</v>
      </c>
      <c r="I1704" s="2">
        <f t="shared" si="143"/>
        <v>0.79517097966728278</v>
      </c>
      <c r="J1704" s="4">
        <v>8200000</v>
      </c>
      <c r="K1704" s="2">
        <f t="shared" si="144"/>
        <v>0.94731977818853974</v>
      </c>
      <c r="L1704" t="s">
        <v>13441</v>
      </c>
      <c r="M1704" t="s">
        <v>165</v>
      </c>
      <c r="N1704" t="b">
        <f t="shared" si="145"/>
        <v>0</v>
      </c>
    </row>
    <row r="1705" spans="1:14" x14ac:dyDescent="0.15">
      <c r="A1705" t="s">
        <v>13315</v>
      </c>
      <c r="B1705" t="s">
        <v>13318</v>
      </c>
      <c r="C1705" t="s">
        <v>13442</v>
      </c>
      <c r="D1705" t="s">
        <v>23</v>
      </c>
      <c r="E1705" t="s">
        <v>13443</v>
      </c>
      <c r="F1705" s="5">
        <v>8850000</v>
      </c>
      <c r="G1705" s="5">
        <v>8850000</v>
      </c>
      <c r="H1705" s="4">
        <v>7037000</v>
      </c>
      <c r="I1705" s="2">
        <f t="shared" si="143"/>
        <v>0.79514124293785315</v>
      </c>
      <c r="J1705" s="4">
        <v>8100000</v>
      </c>
      <c r="K1705" s="2">
        <f t="shared" si="144"/>
        <v>0.9152542372881356</v>
      </c>
      <c r="L1705" t="s">
        <v>13330</v>
      </c>
      <c r="M1705" t="s">
        <v>165</v>
      </c>
      <c r="N1705" t="b">
        <f t="shared" si="145"/>
        <v>0</v>
      </c>
    </row>
    <row r="1706" spans="1:14" x14ac:dyDescent="0.15">
      <c r="A1706" t="s">
        <v>13315</v>
      </c>
      <c r="B1706" t="s">
        <v>13318</v>
      </c>
      <c r="C1706" t="s">
        <v>13444</v>
      </c>
      <c r="D1706" t="s">
        <v>23</v>
      </c>
      <c r="E1706" t="s">
        <v>13445</v>
      </c>
      <c r="F1706" s="5">
        <v>7040000</v>
      </c>
      <c r="G1706" s="5">
        <v>7040000</v>
      </c>
      <c r="H1706" s="4">
        <v>5608000</v>
      </c>
      <c r="I1706" s="2">
        <f t="shared" si="143"/>
        <v>0.79659090909090913</v>
      </c>
      <c r="J1706" s="4">
        <v>6600000</v>
      </c>
      <c r="K1706" s="2">
        <f t="shared" si="144"/>
        <v>0.9375</v>
      </c>
      <c r="L1706" t="s">
        <v>701</v>
      </c>
      <c r="M1706" t="s">
        <v>432</v>
      </c>
      <c r="N1706" t="b">
        <f t="shared" si="145"/>
        <v>0</v>
      </c>
    </row>
    <row r="1707" spans="1:14" x14ac:dyDescent="0.15">
      <c r="A1707" t="s">
        <v>13315</v>
      </c>
      <c r="B1707" t="s">
        <v>13318</v>
      </c>
      <c r="C1707" t="s">
        <v>13446</v>
      </c>
      <c r="D1707" t="s">
        <v>118</v>
      </c>
      <c r="E1707" t="s">
        <v>13447</v>
      </c>
      <c r="F1707" s="5">
        <v>12478000</v>
      </c>
      <c r="G1707" s="5">
        <v>12478000</v>
      </c>
      <c r="H1707" s="4">
        <v>9834000</v>
      </c>
      <c r="I1707" s="2">
        <f t="shared" si="143"/>
        <v>0.78810706844045519</v>
      </c>
      <c r="J1707" s="4">
        <v>9834000</v>
      </c>
      <c r="K1707" s="2">
        <f t="shared" si="144"/>
        <v>0.78810706844045519</v>
      </c>
      <c r="L1707" t="s">
        <v>2598</v>
      </c>
      <c r="M1707" t="s">
        <v>272</v>
      </c>
      <c r="N1707" t="b">
        <f t="shared" si="145"/>
        <v>0</v>
      </c>
    </row>
    <row r="1708" spans="1:14" x14ac:dyDescent="0.15">
      <c r="A1708" t="s">
        <v>13315</v>
      </c>
      <c r="B1708" t="s">
        <v>13318</v>
      </c>
      <c r="C1708" t="s">
        <v>13448</v>
      </c>
      <c r="D1708" t="s">
        <v>118</v>
      </c>
      <c r="E1708" t="s">
        <v>13449</v>
      </c>
      <c r="F1708" s="5">
        <v>14310000</v>
      </c>
      <c r="G1708" s="5">
        <v>14310000</v>
      </c>
      <c r="H1708" s="4">
        <v>11399000</v>
      </c>
      <c r="I1708" s="2">
        <f t="shared" si="143"/>
        <v>0.79657582110412295</v>
      </c>
      <c r="J1708" s="4">
        <v>11399000</v>
      </c>
      <c r="K1708" s="2">
        <f t="shared" si="144"/>
        <v>0.79657582110412295</v>
      </c>
      <c r="L1708" t="s">
        <v>173</v>
      </c>
      <c r="M1708" t="s">
        <v>41</v>
      </c>
      <c r="N1708" t="b">
        <f t="shared" si="145"/>
        <v>0</v>
      </c>
    </row>
    <row r="1709" spans="1:14" x14ac:dyDescent="0.15">
      <c r="A1709" t="s">
        <v>13315</v>
      </c>
      <c r="B1709" t="s">
        <v>13318</v>
      </c>
      <c r="C1709" t="s">
        <v>13450</v>
      </c>
      <c r="D1709" t="s">
        <v>118</v>
      </c>
      <c r="E1709" t="s">
        <v>13451</v>
      </c>
      <c r="F1709" s="5">
        <v>32172000</v>
      </c>
      <c r="G1709" s="5">
        <v>32172000</v>
      </c>
      <c r="H1709" s="4">
        <v>25589000</v>
      </c>
      <c r="I1709" s="2">
        <f t="shared" si="143"/>
        <v>0.79538107671266944</v>
      </c>
      <c r="J1709" s="4">
        <v>25589000</v>
      </c>
      <c r="K1709" s="2">
        <f t="shared" si="144"/>
        <v>0.79538107671266944</v>
      </c>
      <c r="L1709" t="s">
        <v>2598</v>
      </c>
      <c r="M1709" t="s">
        <v>216</v>
      </c>
      <c r="N1709" t="b">
        <f t="shared" si="145"/>
        <v>0</v>
      </c>
    </row>
    <row r="1710" spans="1:14" x14ac:dyDescent="0.15">
      <c r="A1710" t="s">
        <v>13315</v>
      </c>
      <c r="B1710" t="s">
        <v>13318</v>
      </c>
      <c r="C1710" t="s">
        <v>13452</v>
      </c>
      <c r="D1710" t="s">
        <v>23</v>
      </c>
      <c r="E1710" t="s">
        <v>13453</v>
      </c>
      <c r="F1710" s="5">
        <v>527000</v>
      </c>
      <c r="G1710" s="5">
        <v>527000</v>
      </c>
      <c r="I1710" s="2">
        <f t="shared" si="143"/>
        <v>0</v>
      </c>
      <c r="J1710" s="4">
        <v>480000</v>
      </c>
      <c r="K1710" s="2">
        <f t="shared" si="144"/>
        <v>0.91081593927893734</v>
      </c>
      <c r="L1710" t="s">
        <v>125</v>
      </c>
      <c r="M1710" t="s">
        <v>432</v>
      </c>
      <c r="N1710" t="b">
        <f t="shared" si="145"/>
        <v>0</v>
      </c>
    </row>
    <row r="1711" spans="1:14" x14ac:dyDescent="0.15">
      <c r="A1711" t="s">
        <v>13315</v>
      </c>
      <c r="B1711" t="s">
        <v>13318</v>
      </c>
      <c r="C1711" t="s">
        <v>13454</v>
      </c>
      <c r="D1711" t="s">
        <v>23</v>
      </c>
      <c r="E1711" t="s">
        <v>13455</v>
      </c>
      <c r="F1711" s="5">
        <v>6846000</v>
      </c>
      <c r="G1711" s="5">
        <v>6846000</v>
      </c>
      <c r="H1711" s="4">
        <v>5443000</v>
      </c>
      <c r="I1711" s="2">
        <f t="shared" si="143"/>
        <v>0.79506281040023374</v>
      </c>
      <c r="J1711" s="4">
        <v>6400000</v>
      </c>
      <c r="K1711" s="2">
        <f t="shared" si="144"/>
        <v>0.93485246859479987</v>
      </c>
      <c r="L1711" t="s">
        <v>13363</v>
      </c>
      <c r="M1711" t="s">
        <v>126</v>
      </c>
      <c r="N1711" t="b">
        <f t="shared" si="145"/>
        <v>0</v>
      </c>
    </row>
    <row r="1712" spans="1:14" x14ac:dyDescent="0.15">
      <c r="A1712" t="s">
        <v>13315</v>
      </c>
      <c r="B1712" t="s">
        <v>13318</v>
      </c>
      <c r="C1712" t="s">
        <v>13456</v>
      </c>
      <c r="D1712" t="s">
        <v>23</v>
      </c>
      <c r="E1712" t="s">
        <v>13457</v>
      </c>
      <c r="F1712" s="5">
        <v>8496000</v>
      </c>
      <c r="G1712" s="5">
        <v>8496000</v>
      </c>
      <c r="H1712" s="4">
        <v>6755000</v>
      </c>
      <c r="I1712" s="2">
        <f t="shared" si="143"/>
        <v>0.79508003766478341</v>
      </c>
      <c r="J1712" s="4">
        <v>7980000</v>
      </c>
      <c r="K1712" s="2">
        <f t="shared" si="144"/>
        <v>0.93926553672316382</v>
      </c>
      <c r="L1712" t="s">
        <v>13403</v>
      </c>
      <c r="M1712" t="s">
        <v>126</v>
      </c>
      <c r="N1712" t="b">
        <f t="shared" si="145"/>
        <v>0</v>
      </c>
    </row>
    <row r="1713" spans="1:14" x14ac:dyDescent="0.15">
      <c r="A1713" t="s">
        <v>13315</v>
      </c>
      <c r="B1713" t="s">
        <v>13318</v>
      </c>
      <c r="C1713" t="s">
        <v>13458</v>
      </c>
      <c r="D1713" t="s">
        <v>23</v>
      </c>
      <c r="E1713" t="s">
        <v>13459</v>
      </c>
      <c r="F1713" s="5">
        <v>8897000</v>
      </c>
      <c r="G1713" s="5">
        <v>8897000</v>
      </c>
      <c r="H1713" s="4">
        <v>7074000</v>
      </c>
      <c r="I1713" s="2">
        <f t="shared" si="143"/>
        <v>0.79509947173204454</v>
      </c>
      <c r="J1713" s="4">
        <v>7075000</v>
      </c>
      <c r="K1713" s="2">
        <f t="shared" si="144"/>
        <v>0.79521186916938291</v>
      </c>
      <c r="L1713" t="s">
        <v>13324</v>
      </c>
      <c r="M1713" t="s">
        <v>126</v>
      </c>
      <c r="N1713" t="b">
        <f t="shared" si="145"/>
        <v>0</v>
      </c>
    </row>
    <row r="1714" spans="1:14" x14ac:dyDescent="0.15">
      <c r="A1714" t="s">
        <v>13315</v>
      </c>
      <c r="B1714" t="s">
        <v>13318</v>
      </c>
      <c r="C1714" t="s">
        <v>13331</v>
      </c>
      <c r="D1714" t="s">
        <v>23</v>
      </c>
      <c r="E1714" t="s">
        <v>13460</v>
      </c>
      <c r="F1714" s="5">
        <v>896624</v>
      </c>
      <c r="G1714" s="5">
        <v>896624</v>
      </c>
      <c r="I1714" s="2">
        <f t="shared" si="143"/>
        <v>0</v>
      </c>
      <c r="J1714" s="4">
        <v>870000</v>
      </c>
      <c r="K1714" s="2">
        <f t="shared" si="144"/>
        <v>0.97030639376148753</v>
      </c>
      <c r="L1714" t="s">
        <v>701</v>
      </c>
      <c r="M1714" t="s">
        <v>174</v>
      </c>
      <c r="N1714" t="b">
        <f t="shared" si="145"/>
        <v>0</v>
      </c>
    </row>
    <row r="1715" spans="1:14" x14ac:dyDescent="0.15">
      <c r="A1715" t="s">
        <v>13461</v>
      </c>
      <c r="B1715" t="s">
        <v>13464</v>
      </c>
      <c r="C1715" t="s">
        <v>13462</v>
      </c>
      <c r="D1715" t="s">
        <v>118</v>
      </c>
      <c r="E1715" t="s">
        <v>13463</v>
      </c>
      <c r="F1715" s="5">
        <f t="shared" ref="F1715:F1778" si="146">G1715</f>
        <v>3740000</v>
      </c>
      <c r="G1715" s="5">
        <v>3740000</v>
      </c>
      <c r="I1715" s="2">
        <f t="shared" si="143"/>
        <v>0</v>
      </c>
      <c r="J1715" s="4">
        <v>2290000</v>
      </c>
      <c r="K1715" s="2">
        <f t="shared" si="144"/>
        <v>0.61229946524064172</v>
      </c>
      <c r="L1715" t="s">
        <v>13465</v>
      </c>
      <c r="M1715" t="s">
        <v>1015</v>
      </c>
      <c r="N1715" t="b">
        <f t="shared" si="145"/>
        <v>0</v>
      </c>
    </row>
    <row r="1716" spans="1:14" x14ac:dyDescent="0.15">
      <c r="A1716" t="s">
        <v>13461</v>
      </c>
      <c r="B1716" t="s">
        <v>13464</v>
      </c>
      <c r="C1716" t="s">
        <v>13466</v>
      </c>
      <c r="D1716" t="s">
        <v>118</v>
      </c>
      <c r="E1716" t="s">
        <v>13467</v>
      </c>
      <c r="F1716" s="5">
        <f t="shared" si="146"/>
        <v>3440000</v>
      </c>
      <c r="G1716" s="5">
        <v>3440000</v>
      </c>
      <c r="I1716" s="2">
        <f t="shared" si="143"/>
        <v>0</v>
      </c>
      <c r="J1716" s="4">
        <v>940000</v>
      </c>
      <c r="K1716" s="2">
        <f t="shared" si="144"/>
        <v>0.27325581395348836</v>
      </c>
      <c r="L1716" t="s">
        <v>1195</v>
      </c>
      <c r="M1716" t="s">
        <v>1015</v>
      </c>
      <c r="N1716" t="b">
        <f t="shared" si="145"/>
        <v>0</v>
      </c>
    </row>
    <row r="1717" spans="1:14" x14ac:dyDescent="0.15">
      <c r="A1717" t="s">
        <v>13461</v>
      </c>
      <c r="B1717" t="s">
        <v>13464</v>
      </c>
      <c r="C1717" t="s">
        <v>13468</v>
      </c>
      <c r="D1717" t="s">
        <v>118</v>
      </c>
      <c r="E1717" t="s">
        <v>13469</v>
      </c>
      <c r="F1717" s="5">
        <f t="shared" si="146"/>
        <v>9920000</v>
      </c>
      <c r="G1717" s="5">
        <v>9920000</v>
      </c>
      <c r="I1717" s="2">
        <f t="shared" si="143"/>
        <v>0</v>
      </c>
      <c r="J1717" s="4">
        <v>7980000</v>
      </c>
      <c r="K1717" s="2">
        <f t="shared" si="144"/>
        <v>0.80443548387096775</v>
      </c>
      <c r="L1717" t="s">
        <v>312</v>
      </c>
      <c r="M1717" t="s">
        <v>139</v>
      </c>
      <c r="N1717" t="b">
        <f t="shared" si="145"/>
        <v>0</v>
      </c>
    </row>
    <row r="1718" spans="1:14" x14ac:dyDescent="0.15">
      <c r="A1718" t="s">
        <v>13461</v>
      </c>
      <c r="B1718" t="s">
        <v>13464</v>
      </c>
      <c r="C1718" t="s">
        <v>13470</v>
      </c>
      <c r="D1718" t="s">
        <v>118</v>
      </c>
      <c r="E1718" t="s">
        <v>13471</v>
      </c>
      <c r="F1718" s="5">
        <f t="shared" si="146"/>
        <v>10058000</v>
      </c>
      <c r="G1718" s="5">
        <v>10058000</v>
      </c>
      <c r="I1718" s="2">
        <f t="shared" si="143"/>
        <v>0</v>
      </c>
      <c r="J1718" s="4">
        <v>5680000</v>
      </c>
      <c r="K1718" s="2">
        <f t="shared" si="144"/>
        <v>0.56472459733545433</v>
      </c>
      <c r="L1718" t="s">
        <v>1078</v>
      </c>
      <c r="M1718" t="s">
        <v>1015</v>
      </c>
      <c r="N1718" t="b">
        <f t="shared" si="145"/>
        <v>0</v>
      </c>
    </row>
    <row r="1719" spans="1:14" x14ac:dyDescent="0.15">
      <c r="A1719" t="s">
        <v>13461</v>
      </c>
      <c r="B1719" t="s">
        <v>13464</v>
      </c>
      <c r="C1719" t="s">
        <v>13472</v>
      </c>
      <c r="D1719" t="s">
        <v>118</v>
      </c>
      <c r="E1719" t="s">
        <v>13473</v>
      </c>
      <c r="F1719" s="5">
        <f t="shared" si="146"/>
        <v>2042000</v>
      </c>
      <c r="G1719" s="5">
        <v>2042000</v>
      </c>
      <c r="I1719" s="2">
        <f t="shared" si="143"/>
        <v>0</v>
      </c>
      <c r="J1719" s="4">
        <v>1830000</v>
      </c>
      <c r="K1719" s="2">
        <f t="shared" si="144"/>
        <v>0.89618021547502447</v>
      </c>
      <c r="L1719" t="s">
        <v>1078</v>
      </c>
      <c r="M1719" t="s">
        <v>183</v>
      </c>
      <c r="N1719" t="b">
        <f t="shared" si="145"/>
        <v>0</v>
      </c>
    </row>
    <row r="1720" spans="1:14" x14ac:dyDescent="0.15">
      <c r="A1720" t="s">
        <v>13461</v>
      </c>
      <c r="B1720" t="s">
        <v>13464</v>
      </c>
      <c r="C1720" t="s">
        <v>13474</v>
      </c>
      <c r="D1720" t="s">
        <v>118</v>
      </c>
      <c r="E1720" t="s">
        <v>13475</v>
      </c>
      <c r="F1720" s="5">
        <f t="shared" si="146"/>
        <v>3492000</v>
      </c>
      <c r="G1720" s="5">
        <v>3492000</v>
      </c>
      <c r="I1720" s="2">
        <f t="shared" si="143"/>
        <v>0</v>
      </c>
      <c r="J1720" s="4">
        <v>3100000</v>
      </c>
      <c r="K1720" s="2">
        <f t="shared" si="144"/>
        <v>0.88774341351660935</v>
      </c>
      <c r="L1720" t="s">
        <v>5636</v>
      </c>
      <c r="M1720" t="s">
        <v>1015</v>
      </c>
      <c r="N1720" t="b">
        <f t="shared" si="145"/>
        <v>0</v>
      </c>
    </row>
    <row r="1721" spans="1:14" x14ac:dyDescent="0.15">
      <c r="A1721" t="s">
        <v>13461</v>
      </c>
      <c r="B1721" t="s">
        <v>13464</v>
      </c>
      <c r="C1721" t="s">
        <v>13476</v>
      </c>
      <c r="D1721" t="s">
        <v>118</v>
      </c>
      <c r="E1721" t="s">
        <v>13003</v>
      </c>
      <c r="F1721" s="5">
        <f t="shared" si="146"/>
        <v>17656000</v>
      </c>
      <c r="G1721" s="5">
        <v>17656000</v>
      </c>
      <c r="I1721" s="2">
        <f t="shared" si="143"/>
        <v>0</v>
      </c>
      <c r="J1721" s="4">
        <v>7500000</v>
      </c>
      <c r="K1721" s="2">
        <f t="shared" si="144"/>
        <v>0.42478477571363843</v>
      </c>
      <c r="L1721" t="s">
        <v>1946</v>
      </c>
      <c r="M1721" t="s">
        <v>313</v>
      </c>
      <c r="N1721" t="b">
        <f t="shared" si="145"/>
        <v>0</v>
      </c>
    </row>
    <row r="1722" spans="1:14" x14ac:dyDescent="0.15">
      <c r="A1722" t="s">
        <v>13461</v>
      </c>
      <c r="B1722" t="s">
        <v>13464</v>
      </c>
      <c r="C1722" t="s">
        <v>13477</v>
      </c>
      <c r="D1722" t="s">
        <v>118</v>
      </c>
      <c r="E1722" t="s">
        <v>13478</v>
      </c>
      <c r="F1722" s="5">
        <f t="shared" si="146"/>
        <v>6246000</v>
      </c>
      <c r="G1722" s="5">
        <v>6246000</v>
      </c>
      <c r="I1722" s="2">
        <f t="shared" si="143"/>
        <v>0</v>
      </c>
      <c r="J1722" s="4">
        <v>5600000</v>
      </c>
      <c r="K1722" s="2">
        <f t="shared" si="144"/>
        <v>0.89657380723663149</v>
      </c>
      <c r="L1722" t="s">
        <v>1485</v>
      </c>
      <c r="M1722" t="s">
        <v>1015</v>
      </c>
      <c r="N1722" t="b">
        <f t="shared" si="145"/>
        <v>0</v>
      </c>
    </row>
    <row r="1723" spans="1:14" x14ac:dyDescent="0.15">
      <c r="A1723" t="s">
        <v>13461</v>
      </c>
      <c r="B1723" t="s">
        <v>13464</v>
      </c>
      <c r="C1723" t="s">
        <v>13479</v>
      </c>
      <c r="D1723" t="s">
        <v>118</v>
      </c>
      <c r="E1723" t="s">
        <v>13480</v>
      </c>
      <c r="F1723" s="5">
        <f t="shared" si="146"/>
        <v>5964000</v>
      </c>
      <c r="G1723" s="5">
        <v>5964000</v>
      </c>
      <c r="I1723" s="2">
        <f t="shared" si="143"/>
        <v>0</v>
      </c>
      <c r="J1723" s="4">
        <v>4100000</v>
      </c>
      <c r="K1723" s="2">
        <f t="shared" si="144"/>
        <v>0.68745808182427903</v>
      </c>
      <c r="L1723" t="s">
        <v>13481</v>
      </c>
      <c r="M1723" t="s">
        <v>432</v>
      </c>
      <c r="N1723" t="b">
        <f t="shared" si="145"/>
        <v>0</v>
      </c>
    </row>
    <row r="1724" spans="1:14" x14ac:dyDescent="0.15">
      <c r="A1724" t="s">
        <v>13461</v>
      </c>
      <c r="B1724" t="s">
        <v>13464</v>
      </c>
      <c r="C1724" t="s">
        <v>13482</v>
      </c>
      <c r="D1724" t="s">
        <v>118</v>
      </c>
      <c r="E1724" t="s">
        <v>13483</v>
      </c>
      <c r="F1724" s="5">
        <f t="shared" si="146"/>
        <v>7383000</v>
      </c>
      <c r="G1724" s="5">
        <v>7383000</v>
      </c>
      <c r="I1724" s="2">
        <f t="shared" si="143"/>
        <v>0</v>
      </c>
      <c r="J1724" s="4">
        <v>5100000</v>
      </c>
      <c r="K1724" s="2">
        <f t="shared" si="144"/>
        <v>0.69077610727346606</v>
      </c>
      <c r="L1724" t="s">
        <v>13481</v>
      </c>
      <c r="M1724" t="s">
        <v>432</v>
      </c>
      <c r="N1724" t="b">
        <f t="shared" si="145"/>
        <v>0</v>
      </c>
    </row>
    <row r="1725" spans="1:14" x14ac:dyDescent="0.15">
      <c r="A1725" t="s">
        <v>13461</v>
      </c>
      <c r="B1725" t="s">
        <v>13464</v>
      </c>
      <c r="C1725" t="s">
        <v>13484</v>
      </c>
      <c r="D1725" t="s">
        <v>118</v>
      </c>
      <c r="E1725" t="s">
        <v>13485</v>
      </c>
      <c r="F1725" s="5">
        <f t="shared" si="146"/>
        <v>7120000</v>
      </c>
      <c r="G1725" s="5">
        <v>7120000</v>
      </c>
      <c r="I1725" s="2">
        <f t="shared" si="143"/>
        <v>0</v>
      </c>
      <c r="J1725" s="4">
        <v>4900000</v>
      </c>
      <c r="K1725" s="2">
        <f t="shared" si="144"/>
        <v>0.6882022471910112</v>
      </c>
      <c r="L1725" t="s">
        <v>13481</v>
      </c>
      <c r="M1725" t="s">
        <v>432</v>
      </c>
      <c r="N1725" t="b">
        <f t="shared" si="145"/>
        <v>0</v>
      </c>
    </row>
    <row r="1726" spans="1:14" x14ac:dyDescent="0.15">
      <c r="A1726" t="s">
        <v>13461</v>
      </c>
      <c r="B1726" t="s">
        <v>13464</v>
      </c>
      <c r="C1726" t="s">
        <v>13486</v>
      </c>
      <c r="D1726" t="s">
        <v>118</v>
      </c>
      <c r="E1726" t="s">
        <v>13487</v>
      </c>
      <c r="F1726" s="5">
        <f t="shared" si="146"/>
        <v>5069000</v>
      </c>
      <c r="G1726" s="5">
        <v>5069000</v>
      </c>
      <c r="H1726" t="s">
        <v>145</v>
      </c>
      <c r="I1726" s="2" t="e">
        <f t="shared" si="143"/>
        <v>#VALUE!</v>
      </c>
      <c r="J1726" s="4">
        <v>4950000</v>
      </c>
      <c r="K1726" s="2">
        <f t="shared" si="144"/>
        <v>0.9765239692246992</v>
      </c>
      <c r="L1726" t="s">
        <v>13488</v>
      </c>
      <c r="M1726" t="s">
        <v>21</v>
      </c>
      <c r="N1726" t="b">
        <f t="shared" si="145"/>
        <v>0</v>
      </c>
    </row>
    <row r="1727" spans="1:14" x14ac:dyDescent="0.15">
      <c r="A1727" t="s">
        <v>13461</v>
      </c>
      <c r="B1727" t="s">
        <v>13464</v>
      </c>
      <c r="C1727" t="s">
        <v>13489</v>
      </c>
      <c r="D1727" t="s">
        <v>118</v>
      </c>
      <c r="E1727" t="s">
        <v>13490</v>
      </c>
      <c r="F1727" s="5">
        <f t="shared" si="146"/>
        <v>2024000</v>
      </c>
      <c r="G1727" s="5">
        <v>2024000</v>
      </c>
      <c r="I1727" s="2">
        <f t="shared" si="143"/>
        <v>0</v>
      </c>
      <c r="J1727" s="4">
        <v>962400</v>
      </c>
      <c r="K1727" s="2">
        <f t="shared" si="144"/>
        <v>0.47549407114624503</v>
      </c>
      <c r="L1727" t="s">
        <v>13491</v>
      </c>
      <c r="M1727" t="s">
        <v>432</v>
      </c>
      <c r="N1727" t="b">
        <f t="shared" si="145"/>
        <v>0</v>
      </c>
    </row>
    <row r="1728" spans="1:14" x14ac:dyDescent="0.15">
      <c r="A1728" t="s">
        <v>13461</v>
      </c>
      <c r="B1728" t="s">
        <v>13464</v>
      </c>
      <c r="C1728" t="s">
        <v>13492</v>
      </c>
      <c r="D1728" t="s">
        <v>118</v>
      </c>
      <c r="E1728" t="s">
        <v>13493</v>
      </c>
      <c r="F1728" s="5">
        <f t="shared" si="146"/>
        <v>35660000</v>
      </c>
      <c r="G1728" s="5">
        <v>35660000</v>
      </c>
      <c r="I1728" s="2">
        <f t="shared" si="143"/>
        <v>0</v>
      </c>
      <c r="J1728" s="4">
        <v>31570000</v>
      </c>
      <c r="K1728" s="2">
        <f t="shared" si="144"/>
        <v>0.88530566461020754</v>
      </c>
      <c r="L1728" t="s">
        <v>10364</v>
      </c>
      <c r="M1728" t="s">
        <v>139</v>
      </c>
      <c r="N1728" t="b">
        <f t="shared" si="145"/>
        <v>0</v>
      </c>
    </row>
    <row r="1729" spans="1:14" x14ac:dyDescent="0.15">
      <c r="A1729" t="s">
        <v>13461</v>
      </c>
      <c r="B1729" t="s">
        <v>13464</v>
      </c>
      <c r="C1729" t="s">
        <v>13494</v>
      </c>
      <c r="D1729" t="s">
        <v>118</v>
      </c>
      <c r="E1729" t="s">
        <v>13495</v>
      </c>
      <c r="F1729" s="5">
        <f t="shared" si="146"/>
        <v>3863000</v>
      </c>
      <c r="G1729" s="5">
        <v>3863000</v>
      </c>
      <c r="I1729" s="2">
        <f t="shared" si="143"/>
        <v>0</v>
      </c>
      <c r="K1729" s="2">
        <f t="shared" si="144"/>
        <v>0</v>
      </c>
      <c r="M1729" t="s">
        <v>21</v>
      </c>
      <c r="N1729" t="b">
        <f t="shared" si="145"/>
        <v>0</v>
      </c>
    </row>
    <row r="1730" spans="1:14" x14ac:dyDescent="0.15">
      <c r="A1730" t="s">
        <v>13461</v>
      </c>
      <c r="B1730" t="s">
        <v>13464</v>
      </c>
      <c r="C1730" t="s">
        <v>13496</v>
      </c>
      <c r="D1730" t="s">
        <v>118</v>
      </c>
      <c r="E1730" t="s">
        <v>13497</v>
      </c>
      <c r="F1730" s="5">
        <f t="shared" si="146"/>
        <v>5260000</v>
      </c>
      <c r="G1730" s="5">
        <v>5260000</v>
      </c>
      <c r="I1730" s="2">
        <f t="shared" si="143"/>
        <v>0</v>
      </c>
      <c r="J1730" s="4">
        <v>4280000</v>
      </c>
      <c r="K1730" s="2">
        <f t="shared" si="144"/>
        <v>0.81368821292775662</v>
      </c>
      <c r="L1730" t="s">
        <v>312</v>
      </c>
      <c r="M1730" t="s">
        <v>21</v>
      </c>
      <c r="N1730" t="b">
        <f t="shared" si="145"/>
        <v>0</v>
      </c>
    </row>
    <row r="1731" spans="1:14" x14ac:dyDescent="0.15">
      <c r="A1731" t="s">
        <v>13461</v>
      </c>
      <c r="B1731" t="s">
        <v>13464</v>
      </c>
      <c r="C1731" t="s">
        <v>13498</v>
      </c>
      <c r="D1731" t="s">
        <v>118</v>
      </c>
      <c r="E1731" t="s">
        <v>13499</v>
      </c>
      <c r="F1731" s="5">
        <f t="shared" si="146"/>
        <v>10343000</v>
      </c>
      <c r="G1731" s="5">
        <v>10343000</v>
      </c>
      <c r="I1731" s="2">
        <f t="shared" si="143"/>
        <v>0</v>
      </c>
      <c r="J1731" s="4">
        <v>8311000</v>
      </c>
      <c r="K1731" s="2">
        <f t="shared" si="144"/>
        <v>0.80353862515711105</v>
      </c>
      <c r="L1731" t="s">
        <v>387</v>
      </c>
      <c r="M1731" t="s">
        <v>139</v>
      </c>
      <c r="N1731" t="b">
        <f t="shared" si="145"/>
        <v>0</v>
      </c>
    </row>
    <row r="1732" spans="1:14" x14ac:dyDescent="0.15">
      <c r="A1732" t="s">
        <v>13461</v>
      </c>
      <c r="B1732" t="s">
        <v>13464</v>
      </c>
      <c r="C1732" t="s">
        <v>13500</v>
      </c>
      <c r="D1732" t="s">
        <v>118</v>
      </c>
      <c r="E1732" t="s">
        <v>13501</v>
      </c>
      <c r="F1732" s="5">
        <f t="shared" si="146"/>
        <v>48720000</v>
      </c>
      <c r="G1732" s="5">
        <v>48720000</v>
      </c>
      <c r="I1732" s="2">
        <f t="shared" ref="I1732:I1795" si="147">H1732/G1732</f>
        <v>0</v>
      </c>
      <c r="J1732" s="4">
        <v>41000000</v>
      </c>
      <c r="K1732" s="2">
        <f t="shared" ref="K1732:K1795" si="148">J1732/G1732</f>
        <v>0.84154351395730709</v>
      </c>
      <c r="L1732" t="s">
        <v>1321</v>
      </c>
      <c r="M1732" t="s">
        <v>183</v>
      </c>
      <c r="N1732" t="b">
        <f t="shared" ref="N1732:N1795" si="149">F1732&lt;&gt;G1732</f>
        <v>0</v>
      </c>
    </row>
    <row r="1733" spans="1:14" x14ac:dyDescent="0.15">
      <c r="A1733" t="s">
        <v>13461</v>
      </c>
      <c r="B1733" t="s">
        <v>13464</v>
      </c>
      <c r="C1733" t="s">
        <v>13502</v>
      </c>
      <c r="D1733" t="s">
        <v>118</v>
      </c>
      <c r="E1733" t="s">
        <v>13503</v>
      </c>
      <c r="F1733" s="5">
        <f t="shared" si="146"/>
        <v>10518000</v>
      </c>
      <c r="G1733" s="5">
        <v>10518000</v>
      </c>
      <c r="I1733" s="2">
        <f t="shared" si="147"/>
        <v>0</v>
      </c>
      <c r="J1733" s="4">
        <v>6615000</v>
      </c>
      <c r="K1733" s="2">
        <f t="shared" si="148"/>
        <v>0.62892184826012554</v>
      </c>
      <c r="L1733" t="s">
        <v>13488</v>
      </c>
      <c r="M1733" t="s">
        <v>174</v>
      </c>
      <c r="N1733" t="b">
        <f t="shared" si="149"/>
        <v>0</v>
      </c>
    </row>
    <row r="1734" spans="1:14" x14ac:dyDescent="0.15">
      <c r="A1734" t="s">
        <v>13461</v>
      </c>
      <c r="B1734" t="s">
        <v>13464</v>
      </c>
      <c r="C1734" t="s">
        <v>13504</v>
      </c>
      <c r="D1734" t="s">
        <v>118</v>
      </c>
      <c r="E1734" t="s">
        <v>13505</v>
      </c>
      <c r="F1734" s="5">
        <f t="shared" si="146"/>
        <v>5740000</v>
      </c>
      <c r="G1734" s="5">
        <v>5740000</v>
      </c>
      <c r="I1734" s="2">
        <f t="shared" si="147"/>
        <v>0</v>
      </c>
      <c r="J1734" s="4">
        <v>4800000</v>
      </c>
      <c r="K1734" s="2">
        <f t="shared" si="148"/>
        <v>0.83623693379790942</v>
      </c>
      <c r="L1734" t="s">
        <v>10364</v>
      </c>
      <c r="M1734" t="s">
        <v>139</v>
      </c>
      <c r="N1734" t="b">
        <f t="shared" si="149"/>
        <v>0</v>
      </c>
    </row>
    <row r="1735" spans="1:14" x14ac:dyDescent="0.15">
      <c r="A1735" t="s">
        <v>13461</v>
      </c>
      <c r="B1735" t="s">
        <v>13464</v>
      </c>
      <c r="C1735" t="s">
        <v>13506</v>
      </c>
      <c r="D1735" t="s">
        <v>118</v>
      </c>
      <c r="E1735" t="s">
        <v>13507</v>
      </c>
      <c r="F1735" s="5">
        <f t="shared" si="146"/>
        <v>11503000</v>
      </c>
      <c r="G1735" s="5">
        <v>11503000</v>
      </c>
      <c r="I1735" s="2">
        <f t="shared" si="147"/>
        <v>0</v>
      </c>
      <c r="J1735" s="4">
        <v>10750000</v>
      </c>
      <c r="K1735" s="2">
        <f t="shared" si="148"/>
        <v>0.93453881596105359</v>
      </c>
      <c r="L1735" t="s">
        <v>5636</v>
      </c>
      <c r="M1735" t="s">
        <v>21</v>
      </c>
      <c r="N1735" t="b">
        <f t="shared" si="149"/>
        <v>0</v>
      </c>
    </row>
    <row r="1736" spans="1:14" x14ac:dyDescent="0.15">
      <c r="A1736" t="s">
        <v>13461</v>
      </c>
      <c r="B1736" t="s">
        <v>13464</v>
      </c>
      <c r="C1736" t="s">
        <v>13508</v>
      </c>
      <c r="D1736" t="s">
        <v>118</v>
      </c>
      <c r="E1736" t="s">
        <v>13509</v>
      </c>
      <c r="F1736" s="5">
        <f t="shared" si="146"/>
        <v>22719000</v>
      </c>
      <c r="G1736" s="5">
        <v>22719000</v>
      </c>
      <c r="I1736" s="2">
        <f t="shared" si="147"/>
        <v>0</v>
      </c>
      <c r="J1736" s="4">
        <v>20850000</v>
      </c>
      <c r="K1736" s="2">
        <f t="shared" si="148"/>
        <v>0.91773405519609141</v>
      </c>
      <c r="L1736" t="s">
        <v>312</v>
      </c>
      <c r="M1736" t="s">
        <v>183</v>
      </c>
      <c r="N1736" t="b">
        <f t="shared" si="149"/>
        <v>0</v>
      </c>
    </row>
    <row r="1737" spans="1:14" x14ac:dyDescent="0.15">
      <c r="A1737" t="s">
        <v>13461</v>
      </c>
      <c r="B1737" t="s">
        <v>13464</v>
      </c>
      <c r="C1737" t="s">
        <v>13510</v>
      </c>
      <c r="D1737" t="s">
        <v>118</v>
      </c>
      <c r="E1737" t="s">
        <v>13511</v>
      </c>
      <c r="F1737" s="5">
        <f t="shared" si="146"/>
        <v>10300000</v>
      </c>
      <c r="G1737" s="5">
        <v>10300000</v>
      </c>
      <c r="I1737" s="2">
        <f t="shared" si="147"/>
        <v>0</v>
      </c>
      <c r="J1737" s="4">
        <v>9000000</v>
      </c>
      <c r="K1737" s="2">
        <f t="shared" si="148"/>
        <v>0.87378640776699024</v>
      </c>
      <c r="L1737" t="s">
        <v>13512</v>
      </c>
      <c r="M1737" t="s">
        <v>183</v>
      </c>
      <c r="N1737" t="b">
        <f t="shared" si="149"/>
        <v>0</v>
      </c>
    </row>
    <row r="1738" spans="1:14" x14ac:dyDescent="0.15">
      <c r="A1738" t="s">
        <v>13461</v>
      </c>
      <c r="B1738" t="s">
        <v>13464</v>
      </c>
      <c r="C1738" t="s">
        <v>13513</v>
      </c>
      <c r="D1738" t="s">
        <v>118</v>
      </c>
      <c r="E1738" t="s">
        <v>13514</v>
      </c>
      <c r="F1738" s="5">
        <f t="shared" si="146"/>
        <v>6670000</v>
      </c>
      <c r="G1738" s="5">
        <v>6670000</v>
      </c>
      <c r="I1738" s="2">
        <f t="shared" si="147"/>
        <v>0</v>
      </c>
      <c r="J1738" s="4">
        <v>4500000</v>
      </c>
      <c r="K1738" s="2">
        <f t="shared" si="148"/>
        <v>0.67466266866566715</v>
      </c>
      <c r="L1738" t="s">
        <v>846</v>
      </c>
      <c r="M1738" t="s">
        <v>80</v>
      </c>
      <c r="N1738" t="b">
        <f t="shared" si="149"/>
        <v>0</v>
      </c>
    </row>
    <row r="1739" spans="1:14" x14ac:dyDescent="0.15">
      <c r="A1739" t="s">
        <v>13461</v>
      </c>
      <c r="B1739" t="s">
        <v>13464</v>
      </c>
      <c r="C1739" t="s">
        <v>13515</v>
      </c>
      <c r="D1739" t="s">
        <v>118</v>
      </c>
      <c r="E1739" t="s">
        <v>13516</v>
      </c>
      <c r="F1739" s="5">
        <f t="shared" si="146"/>
        <v>8983000</v>
      </c>
      <c r="G1739" s="5">
        <v>8983000</v>
      </c>
      <c r="I1739" s="2">
        <f t="shared" si="147"/>
        <v>0</v>
      </c>
      <c r="J1739" s="4">
        <v>8480000</v>
      </c>
      <c r="K1739" s="2">
        <f t="shared" si="148"/>
        <v>0.94400534342647224</v>
      </c>
      <c r="L1739" t="s">
        <v>5186</v>
      </c>
      <c r="M1739" t="s">
        <v>183</v>
      </c>
      <c r="N1739" t="b">
        <f t="shared" si="149"/>
        <v>0</v>
      </c>
    </row>
    <row r="1740" spans="1:14" x14ac:dyDescent="0.15">
      <c r="A1740" t="s">
        <v>13461</v>
      </c>
      <c r="B1740" t="s">
        <v>13464</v>
      </c>
      <c r="C1740" t="s">
        <v>13517</v>
      </c>
      <c r="D1740" t="s">
        <v>118</v>
      </c>
      <c r="E1740" t="s">
        <v>13518</v>
      </c>
      <c r="F1740" s="5">
        <f t="shared" si="146"/>
        <v>12257000</v>
      </c>
      <c r="G1740" s="5">
        <v>12257000</v>
      </c>
      <c r="I1740" s="2">
        <f t="shared" si="147"/>
        <v>0</v>
      </c>
      <c r="J1740" s="4">
        <v>8300000</v>
      </c>
      <c r="K1740" s="2">
        <f t="shared" si="148"/>
        <v>0.6771640695112997</v>
      </c>
      <c r="L1740" t="s">
        <v>1139</v>
      </c>
      <c r="M1740" t="s">
        <v>1015</v>
      </c>
      <c r="N1740" t="b">
        <f t="shared" si="149"/>
        <v>0</v>
      </c>
    </row>
    <row r="1741" spans="1:14" x14ac:dyDescent="0.15">
      <c r="A1741" t="s">
        <v>13461</v>
      </c>
      <c r="B1741" t="s">
        <v>13464</v>
      </c>
      <c r="C1741" t="s">
        <v>13519</v>
      </c>
      <c r="D1741" t="s">
        <v>118</v>
      </c>
      <c r="E1741" t="s">
        <v>13520</v>
      </c>
      <c r="F1741" s="5">
        <f t="shared" si="146"/>
        <v>4880000</v>
      </c>
      <c r="G1741" s="5">
        <v>4880000</v>
      </c>
      <c r="I1741" s="2">
        <f t="shared" si="147"/>
        <v>0</v>
      </c>
      <c r="J1741" s="4">
        <v>4400000</v>
      </c>
      <c r="K1741" s="2">
        <f t="shared" si="148"/>
        <v>0.90163934426229508</v>
      </c>
      <c r="L1741" t="s">
        <v>13521</v>
      </c>
      <c r="M1741" t="s">
        <v>21</v>
      </c>
      <c r="N1741" t="b">
        <f t="shared" si="149"/>
        <v>0</v>
      </c>
    </row>
    <row r="1742" spans="1:14" x14ac:dyDescent="0.15">
      <c r="A1742" t="s">
        <v>13461</v>
      </c>
      <c r="B1742" t="s">
        <v>13464</v>
      </c>
      <c r="C1742" t="s">
        <v>13522</v>
      </c>
      <c r="D1742" t="s">
        <v>118</v>
      </c>
      <c r="E1742" t="s">
        <v>13523</v>
      </c>
      <c r="F1742" s="5">
        <f t="shared" si="146"/>
        <v>24407000</v>
      </c>
      <c r="G1742" s="5">
        <v>24407000</v>
      </c>
      <c r="I1742" s="2">
        <f t="shared" si="147"/>
        <v>0</v>
      </c>
      <c r="J1742" s="4">
        <v>16800000</v>
      </c>
      <c r="K1742" s="2">
        <f t="shared" si="148"/>
        <v>0.6883271192690622</v>
      </c>
      <c r="L1742" t="s">
        <v>786</v>
      </c>
      <c r="M1742" t="s">
        <v>21</v>
      </c>
      <c r="N1742" t="b">
        <f t="shared" si="149"/>
        <v>0</v>
      </c>
    </row>
    <row r="1743" spans="1:14" x14ac:dyDescent="0.15">
      <c r="A1743" t="s">
        <v>13461</v>
      </c>
      <c r="B1743" t="s">
        <v>13464</v>
      </c>
      <c r="C1743" t="s">
        <v>13524</v>
      </c>
      <c r="D1743" t="s">
        <v>118</v>
      </c>
      <c r="E1743" t="s">
        <v>13525</v>
      </c>
      <c r="F1743" s="5">
        <f t="shared" si="146"/>
        <v>13279000</v>
      </c>
      <c r="G1743" s="5">
        <v>13279000</v>
      </c>
      <c r="I1743" s="2">
        <f t="shared" si="147"/>
        <v>0</v>
      </c>
      <c r="J1743" s="4">
        <v>3620000</v>
      </c>
      <c r="K1743" s="2">
        <f t="shared" si="148"/>
        <v>0.27261088937419986</v>
      </c>
      <c r="L1743" t="s">
        <v>12840</v>
      </c>
      <c r="M1743" t="s">
        <v>290</v>
      </c>
      <c r="N1743" t="b">
        <f t="shared" si="149"/>
        <v>0</v>
      </c>
    </row>
    <row r="1744" spans="1:14" x14ac:dyDescent="0.15">
      <c r="A1744" t="s">
        <v>13461</v>
      </c>
      <c r="B1744" t="s">
        <v>13464</v>
      </c>
      <c r="C1744" t="s">
        <v>13526</v>
      </c>
      <c r="D1744" t="s">
        <v>118</v>
      </c>
      <c r="E1744" t="s">
        <v>13527</v>
      </c>
      <c r="F1744" s="5">
        <f t="shared" si="146"/>
        <v>945000</v>
      </c>
      <c r="G1744" s="5">
        <v>945000</v>
      </c>
      <c r="I1744" s="2">
        <f t="shared" si="147"/>
        <v>0</v>
      </c>
      <c r="J1744" s="4">
        <v>430000</v>
      </c>
      <c r="K1744" s="2">
        <f t="shared" si="148"/>
        <v>0.455026455026455</v>
      </c>
      <c r="L1744" t="s">
        <v>1195</v>
      </c>
      <c r="M1744" t="s">
        <v>174</v>
      </c>
      <c r="N1744" t="b">
        <f t="shared" si="149"/>
        <v>0</v>
      </c>
    </row>
    <row r="1745" spans="1:14" x14ac:dyDescent="0.15">
      <c r="A1745" t="s">
        <v>13461</v>
      </c>
      <c r="B1745" t="s">
        <v>13464</v>
      </c>
      <c r="C1745" t="s">
        <v>13528</v>
      </c>
      <c r="D1745" t="s">
        <v>118</v>
      </c>
      <c r="E1745" t="s">
        <v>13529</v>
      </c>
      <c r="F1745" s="5">
        <f t="shared" si="146"/>
        <v>20243000</v>
      </c>
      <c r="G1745" s="5">
        <v>20243000</v>
      </c>
      <c r="I1745" s="2">
        <f t="shared" si="147"/>
        <v>0</v>
      </c>
      <c r="J1745" s="4">
        <v>17000000</v>
      </c>
      <c r="K1745" s="2">
        <f t="shared" si="148"/>
        <v>0.83979647285481396</v>
      </c>
      <c r="L1745" t="s">
        <v>5186</v>
      </c>
      <c r="M1745" t="s">
        <v>1015</v>
      </c>
      <c r="N1745" t="b">
        <f t="shared" si="149"/>
        <v>0</v>
      </c>
    </row>
    <row r="1746" spans="1:14" x14ac:dyDescent="0.15">
      <c r="A1746" t="s">
        <v>13461</v>
      </c>
      <c r="B1746" t="s">
        <v>13464</v>
      </c>
      <c r="C1746" t="s">
        <v>13466</v>
      </c>
      <c r="D1746" t="s">
        <v>118</v>
      </c>
      <c r="E1746" t="s">
        <v>13530</v>
      </c>
      <c r="F1746" s="5">
        <f t="shared" si="146"/>
        <v>927000</v>
      </c>
      <c r="G1746" s="5">
        <v>927000</v>
      </c>
      <c r="I1746" s="2">
        <f t="shared" si="147"/>
        <v>0</v>
      </c>
      <c r="J1746" s="4">
        <v>428000</v>
      </c>
      <c r="K1746" s="2">
        <f t="shared" si="148"/>
        <v>0.46170442286947139</v>
      </c>
      <c r="L1746" t="s">
        <v>1558</v>
      </c>
      <c r="M1746" t="s">
        <v>1015</v>
      </c>
      <c r="N1746" t="b">
        <f t="shared" si="149"/>
        <v>0</v>
      </c>
    </row>
    <row r="1747" spans="1:14" x14ac:dyDescent="0.15">
      <c r="A1747" t="s">
        <v>13461</v>
      </c>
      <c r="B1747" t="s">
        <v>13464</v>
      </c>
      <c r="C1747" t="s">
        <v>13531</v>
      </c>
      <c r="D1747" t="s">
        <v>118</v>
      </c>
      <c r="E1747" t="s">
        <v>13532</v>
      </c>
      <c r="F1747" s="5">
        <f t="shared" si="146"/>
        <v>2800000</v>
      </c>
      <c r="G1747" s="5">
        <v>2800000</v>
      </c>
      <c r="I1747" s="2">
        <f t="shared" si="147"/>
        <v>0</v>
      </c>
      <c r="J1747" s="4">
        <v>2400000</v>
      </c>
      <c r="K1747" s="2">
        <f t="shared" si="148"/>
        <v>0.8571428571428571</v>
      </c>
      <c r="L1747" t="s">
        <v>231</v>
      </c>
      <c r="M1747" t="s">
        <v>1015</v>
      </c>
      <c r="N1747" t="b">
        <f t="shared" si="149"/>
        <v>0</v>
      </c>
    </row>
    <row r="1748" spans="1:14" x14ac:dyDescent="0.15">
      <c r="A1748" t="s">
        <v>13461</v>
      </c>
      <c r="B1748" t="s">
        <v>13464</v>
      </c>
      <c r="C1748" t="s">
        <v>13533</v>
      </c>
      <c r="D1748" t="s">
        <v>118</v>
      </c>
      <c r="E1748" t="s">
        <v>13534</v>
      </c>
      <c r="F1748" s="5">
        <f t="shared" si="146"/>
        <v>8792000</v>
      </c>
      <c r="G1748" s="5">
        <v>8792000</v>
      </c>
      <c r="I1748" s="2">
        <f t="shared" si="147"/>
        <v>0</v>
      </c>
      <c r="J1748" s="4">
        <v>3580000</v>
      </c>
      <c r="K1748" s="2">
        <f t="shared" si="148"/>
        <v>0.40718835304822565</v>
      </c>
      <c r="L1748" t="s">
        <v>13535</v>
      </c>
      <c r="M1748" t="s">
        <v>41</v>
      </c>
      <c r="N1748" t="b">
        <f t="shared" si="149"/>
        <v>0</v>
      </c>
    </row>
    <row r="1749" spans="1:14" x14ac:dyDescent="0.15">
      <c r="A1749" t="s">
        <v>13461</v>
      </c>
      <c r="B1749" t="s">
        <v>13464</v>
      </c>
      <c r="C1749" t="s">
        <v>13536</v>
      </c>
      <c r="D1749" t="s">
        <v>118</v>
      </c>
      <c r="E1749" t="s">
        <v>13537</v>
      </c>
      <c r="F1749" s="5">
        <f t="shared" si="146"/>
        <v>18860000</v>
      </c>
      <c r="G1749" s="5">
        <v>18860000</v>
      </c>
      <c r="I1749" s="2">
        <f t="shared" si="147"/>
        <v>0</v>
      </c>
      <c r="J1749" s="4">
        <v>15300000</v>
      </c>
      <c r="K1749" s="2">
        <f t="shared" si="148"/>
        <v>0.81124072110286316</v>
      </c>
      <c r="L1749" t="s">
        <v>10364</v>
      </c>
      <c r="M1749" t="s">
        <v>139</v>
      </c>
      <c r="N1749" t="b">
        <f t="shared" si="149"/>
        <v>0</v>
      </c>
    </row>
    <row r="1750" spans="1:14" x14ac:dyDescent="0.15">
      <c r="A1750" t="s">
        <v>13461</v>
      </c>
      <c r="B1750" t="s">
        <v>13464</v>
      </c>
      <c r="C1750" t="s">
        <v>13538</v>
      </c>
      <c r="D1750" t="s">
        <v>118</v>
      </c>
      <c r="E1750" t="s">
        <v>13539</v>
      </c>
      <c r="F1750" s="5">
        <f t="shared" si="146"/>
        <v>19952000</v>
      </c>
      <c r="G1750" s="5">
        <v>19952000</v>
      </c>
      <c r="I1750" s="2">
        <f t="shared" si="147"/>
        <v>0</v>
      </c>
      <c r="J1750" s="4">
        <v>17470000</v>
      </c>
      <c r="K1750" s="2">
        <f t="shared" si="148"/>
        <v>0.87560144346431434</v>
      </c>
      <c r="L1750" t="s">
        <v>312</v>
      </c>
      <c r="M1750" t="s">
        <v>21</v>
      </c>
      <c r="N1750" t="b">
        <f t="shared" si="149"/>
        <v>0</v>
      </c>
    </row>
    <row r="1751" spans="1:14" x14ac:dyDescent="0.15">
      <c r="A1751" t="s">
        <v>13461</v>
      </c>
      <c r="B1751" t="s">
        <v>13464</v>
      </c>
      <c r="C1751" t="s">
        <v>13540</v>
      </c>
      <c r="D1751" t="s">
        <v>118</v>
      </c>
      <c r="E1751" t="s">
        <v>13541</v>
      </c>
      <c r="F1751" s="5">
        <f t="shared" si="146"/>
        <v>12475000</v>
      </c>
      <c r="G1751" s="5">
        <v>12475000</v>
      </c>
      <c r="I1751" s="2">
        <f t="shared" si="147"/>
        <v>0</v>
      </c>
      <c r="J1751" s="4">
        <v>11950000</v>
      </c>
      <c r="K1751" s="2">
        <f t="shared" si="148"/>
        <v>0.95791583166332661</v>
      </c>
      <c r="L1751" t="s">
        <v>13542</v>
      </c>
      <c r="M1751" t="s">
        <v>165</v>
      </c>
      <c r="N1751" t="b">
        <f t="shared" si="149"/>
        <v>0</v>
      </c>
    </row>
    <row r="1752" spans="1:14" x14ac:dyDescent="0.15">
      <c r="A1752" t="s">
        <v>13461</v>
      </c>
      <c r="B1752" t="s">
        <v>13464</v>
      </c>
      <c r="C1752" t="s">
        <v>13543</v>
      </c>
      <c r="D1752" t="s">
        <v>118</v>
      </c>
      <c r="E1752" t="s">
        <v>13544</v>
      </c>
      <c r="F1752" s="5">
        <f t="shared" si="146"/>
        <v>8949000</v>
      </c>
      <c r="G1752" s="5">
        <v>8949000</v>
      </c>
      <c r="I1752" s="2">
        <f t="shared" si="147"/>
        <v>0</v>
      </c>
      <c r="J1752" s="4">
        <v>8650000</v>
      </c>
      <c r="K1752" s="2">
        <f t="shared" si="148"/>
        <v>0.96658844563638391</v>
      </c>
      <c r="L1752" t="s">
        <v>1485</v>
      </c>
      <c r="M1752" t="s">
        <v>165</v>
      </c>
      <c r="N1752" t="b">
        <f t="shared" si="149"/>
        <v>0</v>
      </c>
    </row>
    <row r="1753" spans="1:14" x14ac:dyDescent="0.15">
      <c r="A1753" t="s">
        <v>13461</v>
      </c>
      <c r="B1753" t="s">
        <v>13464</v>
      </c>
      <c r="C1753" t="s">
        <v>13545</v>
      </c>
      <c r="D1753" t="s">
        <v>118</v>
      </c>
      <c r="E1753" t="s">
        <v>13546</v>
      </c>
      <c r="F1753" s="5">
        <f t="shared" si="146"/>
        <v>13223000</v>
      </c>
      <c r="G1753" s="5">
        <v>13223000</v>
      </c>
      <c r="I1753" s="2">
        <f t="shared" si="147"/>
        <v>0</v>
      </c>
      <c r="J1753" s="4">
        <v>4500000</v>
      </c>
      <c r="K1753" s="2">
        <f t="shared" si="148"/>
        <v>0.34031611585873101</v>
      </c>
      <c r="L1753" t="s">
        <v>13547</v>
      </c>
      <c r="M1753" t="s">
        <v>482</v>
      </c>
      <c r="N1753" t="b">
        <f t="shared" si="149"/>
        <v>0</v>
      </c>
    </row>
    <row r="1754" spans="1:14" x14ac:dyDescent="0.15">
      <c r="A1754" t="s">
        <v>13461</v>
      </c>
      <c r="B1754" t="s">
        <v>13464</v>
      </c>
      <c r="C1754" t="s">
        <v>13548</v>
      </c>
      <c r="D1754" t="s">
        <v>118</v>
      </c>
      <c r="E1754" t="s">
        <v>13549</v>
      </c>
      <c r="F1754" s="5">
        <f t="shared" si="146"/>
        <v>5805000</v>
      </c>
      <c r="G1754" s="5">
        <v>5805000</v>
      </c>
      <c r="I1754" s="2">
        <f t="shared" si="147"/>
        <v>0</v>
      </c>
      <c r="J1754" s="4">
        <v>5805000</v>
      </c>
      <c r="K1754" s="2">
        <f t="shared" si="148"/>
        <v>1</v>
      </c>
      <c r="L1754" t="s">
        <v>903</v>
      </c>
      <c r="M1754" t="s">
        <v>183</v>
      </c>
      <c r="N1754" t="b">
        <f t="shared" si="149"/>
        <v>0</v>
      </c>
    </row>
    <row r="1755" spans="1:14" x14ac:dyDescent="0.15">
      <c r="A1755" t="s">
        <v>13461</v>
      </c>
      <c r="B1755" t="s">
        <v>13464</v>
      </c>
      <c r="C1755" t="s">
        <v>13550</v>
      </c>
      <c r="D1755" t="s">
        <v>118</v>
      </c>
      <c r="E1755" t="s">
        <v>13551</v>
      </c>
      <c r="F1755" s="5">
        <f t="shared" si="146"/>
        <v>28817000</v>
      </c>
      <c r="G1755" s="5">
        <v>28817000</v>
      </c>
      <c r="I1755" s="2">
        <f t="shared" si="147"/>
        <v>0</v>
      </c>
      <c r="J1755" s="4">
        <v>28500000</v>
      </c>
      <c r="K1755" s="2">
        <f t="shared" si="148"/>
        <v>0.98899954887739872</v>
      </c>
      <c r="L1755" t="s">
        <v>13552</v>
      </c>
      <c r="M1755" t="s">
        <v>183</v>
      </c>
      <c r="N1755" t="b">
        <f t="shared" si="149"/>
        <v>0</v>
      </c>
    </row>
    <row r="1756" spans="1:14" x14ac:dyDescent="0.15">
      <c r="A1756" t="s">
        <v>13461</v>
      </c>
      <c r="B1756" t="s">
        <v>13464</v>
      </c>
      <c r="C1756" t="s">
        <v>13553</v>
      </c>
      <c r="D1756" t="s">
        <v>118</v>
      </c>
      <c r="E1756" t="s">
        <v>13554</v>
      </c>
      <c r="F1756" s="5">
        <f t="shared" si="146"/>
        <v>21320000</v>
      </c>
      <c r="G1756" s="5">
        <v>21320000</v>
      </c>
      <c r="I1756" s="2">
        <f t="shared" si="147"/>
        <v>0</v>
      </c>
      <c r="J1756" s="4">
        <v>17900000</v>
      </c>
      <c r="K1756" s="2">
        <f t="shared" si="148"/>
        <v>0.83958724202626644</v>
      </c>
      <c r="L1756" t="s">
        <v>10364</v>
      </c>
      <c r="M1756" t="s">
        <v>139</v>
      </c>
      <c r="N1756" t="b">
        <f t="shared" si="149"/>
        <v>0</v>
      </c>
    </row>
    <row r="1757" spans="1:14" x14ac:dyDescent="0.15">
      <c r="A1757" t="s">
        <v>13461</v>
      </c>
      <c r="B1757" t="s">
        <v>13464</v>
      </c>
      <c r="C1757" t="s">
        <v>13555</v>
      </c>
      <c r="D1757" t="s">
        <v>118</v>
      </c>
      <c r="E1757" t="s">
        <v>13556</v>
      </c>
      <c r="F1757" s="5">
        <f t="shared" si="146"/>
        <v>6017000</v>
      </c>
      <c r="G1757" s="5">
        <v>6017000</v>
      </c>
      <c r="I1757" s="2">
        <f t="shared" si="147"/>
        <v>0</v>
      </c>
      <c r="J1757" s="4">
        <v>4270000</v>
      </c>
      <c r="K1757" s="2">
        <f t="shared" si="148"/>
        <v>0.7096559747382416</v>
      </c>
      <c r="L1757" t="s">
        <v>10359</v>
      </c>
      <c r="M1757" t="s">
        <v>432</v>
      </c>
      <c r="N1757" t="b">
        <f t="shared" si="149"/>
        <v>0</v>
      </c>
    </row>
    <row r="1758" spans="1:14" x14ac:dyDescent="0.15">
      <c r="A1758" t="s">
        <v>13461</v>
      </c>
      <c r="B1758" t="s">
        <v>13464</v>
      </c>
      <c r="C1758" t="s">
        <v>13557</v>
      </c>
      <c r="D1758" t="s">
        <v>118</v>
      </c>
      <c r="E1758" t="s">
        <v>13558</v>
      </c>
      <c r="F1758" s="5">
        <f t="shared" si="146"/>
        <v>9975000</v>
      </c>
      <c r="G1758" s="5">
        <v>9975000</v>
      </c>
      <c r="I1758" s="2">
        <f t="shared" si="147"/>
        <v>0</v>
      </c>
      <c r="J1758" s="4">
        <v>7500000</v>
      </c>
      <c r="K1758" s="2">
        <f t="shared" si="148"/>
        <v>0.75187969924812026</v>
      </c>
      <c r="L1758" t="s">
        <v>312</v>
      </c>
      <c r="M1758" t="s">
        <v>21</v>
      </c>
      <c r="N1758" t="b">
        <f t="shared" si="149"/>
        <v>0</v>
      </c>
    </row>
    <row r="1759" spans="1:14" x14ac:dyDescent="0.15">
      <c r="A1759" t="s">
        <v>13461</v>
      </c>
      <c r="B1759" t="s">
        <v>13464</v>
      </c>
      <c r="C1759" t="s">
        <v>13559</v>
      </c>
      <c r="D1759" t="s">
        <v>118</v>
      </c>
      <c r="E1759" t="s">
        <v>13560</v>
      </c>
      <c r="F1759" s="5">
        <f t="shared" si="146"/>
        <v>28678000</v>
      </c>
      <c r="G1759" s="5">
        <v>28678000</v>
      </c>
      <c r="I1759" s="2">
        <f t="shared" si="147"/>
        <v>0</v>
      </c>
      <c r="J1759" s="4">
        <v>27450000</v>
      </c>
      <c r="K1759" s="2">
        <f t="shared" si="148"/>
        <v>0.95717971964572146</v>
      </c>
      <c r="L1759" t="s">
        <v>1262</v>
      </c>
      <c r="M1759" t="s">
        <v>183</v>
      </c>
      <c r="N1759" t="b">
        <f t="shared" si="149"/>
        <v>0</v>
      </c>
    </row>
    <row r="1760" spans="1:14" x14ac:dyDescent="0.15">
      <c r="A1760" t="s">
        <v>13461</v>
      </c>
      <c r="B1760" t="s">
        <v>13464</v>
      </c>
      <c r="C1760" t="s">
        <v>13561</v>
      </c>
      <c r="D1760" t="s">
        <v>118</v>
      </c>
      <c r="E1760" t="s">
        <v>13562</v>
      </c>
      <c r="F1760" s="5">
        <f t="shared" si="146"/>
        <v>31095000</v>
      </c>
      <c r="G1760" s="5">
        <v>31095000</v>
      </c>
      <c r="I1760" s="2">
        <f t="shared" si="147"/>
        <v>0</v>
      </c>
      <c r="J1760" s="4">
        <v>23000000</v>
      </c>
      <c r="K1760" s="2">
        <f t="shared" si="148"/>
        <v>0.7396687570348931</v>
      </c>
      <c r="L1760" t="s">
        <v>5186</v>
      </c>
      <c r="M1760" t="s">
        <v>183</v>
      </c>
      <c r="N1760" t="b">
        <f t="shared" si="149"/>
        <v>0</v>
      </c>
    </row>
    <row r="1761" spans="1:14" x14ac:dyDescent="0.15">
      <c r="A1761" t="s">
        <v>13461</v>
      </c>
      <c r="B1761" t="s">
        <v>13464</v>
      </c>
      <c r="C1761" t="s">
        <v>13563</v>
      </c>
      <c r="D1761" t="s">
        <v>118</v>
      </c>
      <c r="E1761" t="s">
        <v>13564</v>
      </c>
      <c r="F1761" s="5">
        <f t="shared" si="146"/>
        <v>14044000</v>
      </c>
      <c r="G1761" s="5">
        <v>14044000</v>
      </c>
      <c r="I1761" s="2">
        <f t="shared" si="147"/>
        <v>0</v>
      </c>
      <c r="J1761" s="4">
        <v>6289000</v>
      </c>
      <c r="K1761" s="2">
        <f t="shared" si="148"/>
        <v>0.44780689262318429</v>
      </c>
      <c r="L1761" t="s">
        <v>4782</v>
      </c>
      <c r="M1761" t="s">
        <v>313</v>
      </c>
      <c r="N1761" t="b">
        <f t="shared" si="149"/>
        <v>0</v>
      </c>
    </row>
    <row r="1762" spans="1:14" x14ac:dyDescent="0.15">
      <c r="A1762" t="s">
        <v>13461</v>
      </c>
      <c r="B1762" t="s">
        <v>13464</v>
      </c>
      <c r="C1762" t="s">
        <v>13565</v>
      </c>
      <c r="D1762" t="s">
        <v>118</v>
      </c>
      <c r="E1762" t="s">
        <v>11703</v>
      </c>
      <c r="F1762" s="5">
        <f t="shared" si="146"/>
        <v>31640000</v>
      </c>
      <c r="G1762" s="5">
        <v>31640000</v>
      </c>
      <c r="I1762" s="2">
        <f t="shared" si="147"/>
        <v>0</v>
      </c>
      <c r="J1762" s="4">
        <v>20890000</v>
      </c>
      <c r="K1762" s="2">
        <f t="shared" si="148"/>
        <v>0.66024020227560054</v>
      </c>
      <c r="L1762" t="s">
        <v>1078</v>
      </c>
      <c r="M1762" t="s">
        <v>139</v>
      </c>
      <c r="N1762" t="b">
        <f t="shared" si="149"/>
        <v>0</v>
      </c>
    </row>
    <row r="1763" spans="1:14" x14ac:dyDescent="0.15">
      <c r="A1763" t="s">
        <v>13461</v>
      </c>
      <c r="B1763" t="s">
        <v>13464</v>
      </c>
      <c r="C1763" t="s">
        <v>13566</v>
      </c>
      <c r="D1763" t="s">
        <v>118</v>
      </c>
      <c r="E1763" t="s">
        <v>13567</v>
      </c>
      <c r="F1763" s="5">
        <f t="shared" si="146"/>
        <v>8104000</v>
      </c>
      <c r="G1763" s="5">
        <v>8104000</v>
      </c>
      <c r="I1763" s="2">
        <f t="shared" si="147"/>
        <v>0</v>
      </c>
      <c r="J1763" s="4">
        <v>5180000</v>
      </c>
      <c r="K1763" s="2">
        <f t="shared" si="148"/>
        <v>0.63919052319842051</v>
      </c>
      <c r="L1763" t="s">
        <v>13568</v>
      </c>
      <c r="M1763" t="s">
        <v>139</v>
      </c>
      <c r="N1763" t="b">
        <f t="shared" si="149"/>
        <v>0</v>
      </c>
    </row>
    <row r="1764" spans="1:14" x14ac:dyDescent="0.15">
      <c r="A1764" t="s">
        <v>13461</v>
      </c>
      <c r="B1764" t="s">
        <v>13464</v>
      </c>
      <c r="C1764" t="s">
        <v>13569</v>
      </c>
      <c r="D1764" t="s">
        <v>118</v>
      </c>
      <c r="E1764" t="s">
        <v>13570</v>
      </c>
      <c r="F1764" s="5">
        <f t="shared" si="146"/>
        <v>28878000</v>
      </c>
      <c r="G1764" s="5">
        <v>28878000</v>
      </c>
      <c r="I1764" s="2">
        <f t="shared" si="147"/>
        <v>0</v>
      </c>
      <c r="J1764" s="4">
        <v>20000000</v>
      </c>
      <c r="K1764" s="2">
        <f t="shared" si="148"/>
        <v>0.69256873744719161</v>
      </c>
      <c r="L1764" t="s">
        <v>10364</v>
      </c>
      <c r="M1764" t="s">
        <v>1015</v>
      </c>
      <c r="N1764" t="b">
        <f t="shared" si="149"/>
        <v>0</v>
      </c>
    </row>
    <row r="1765" spans="1:14" x14ac:dyDescent="0.15">
      <c r="A1765" t="s">
        <v>13461</v>
      </c>
      <c r="B1765" t="s">
        <v>13464</v>
      </c>
      <c r="C1765" t="s">
        <v>13506</v>
      </c>
      <c r="D1765" t="s">
        <v>118</v>
      </c>
      <c r="E1765" t="s">
        <v>13571</v>
      </c>
      <c r="F1765" s="5">
        <f t="shared" si="146"/>
        <v>12671000</v>
      </c>
      <c r="G1765" s="5">
        <v>12671000</v>
      </c>
      <c r="I1765" s="2">
        <f t="shared" si="147"/>
        <v>0</v>
      </c>
      <c r="J1765" s="4">
        <v>11900000</v>
      </c>
      <c r="K1765" s="2">
        <f t="shared" si="148"/>
        <v>0.9391523952332097</v>
      </c>
      <c r="L1765" t="s">
        <v>5636</v>
      </c>
      <c r="M1765" t="s">
        <v>1015</v>
      </c>
      <c r="N1765" t="b">
        <f t="shared" si="149"/>
        <v>0</v>
      </c>
    </row>
    <row r="1766" spans="1:14" x14ac:dyDescent="0.15">
      <c r="A1766" t="s">
        <v>13461</v>
      </c>
      <c r="B1766" t="s">
        <v>13464</v>
      </c>
      <c r="C1766" t="s">
        <v>13572</v>
      </c>
      <c r="D1766" t="s">
        <v>118</v>
      </c>
      <c r="E1766" t="s">
        <v>13573</v>
      </c>
      <c r="F1766" s="5">
        <f t="shared" si="146"/>
        <v>6789000</v>
      </c>
      <c r="G1766" s="5">
        <v>6789000</v>
      </c>
      <c r="I1766" s="2">
        <f t="shared" si="147"/>
        <v>0</v>
      </c>
      <c r="J1766" s="4">
        <v>6200000</v>
      </c>
      <c r="K1766" s="2">
        <f t="shared" si="148"/>
        <v>0.91324200913242004</v>
      </c>
      <c r="L1766" t="s">
        <v>13542</v>
      </c>
      <c r="M1766" t="s">
        <v>1015</v>
      </c>
      <c r="N1766" t="b">
        <f t="shared" si="149"/>
        <v>0</v>
      </c>
    </row>
    <row r="1767" spans="1:14" x14ac:dyDescent="0.15">
      <c r="A1767" t="s">
        <v>13461</v>
      </c>
      <c r="B1767" t="s">
        <v>13464</v>
      </c>
      <c r="C1767" t="s">
        <v>13574</v>
      </c>
      <c r="D1767" t="s">
        <v>118</v>
      </c>
      <c r="E1767" t="s">
        <v>13575</v>
      </c>
      <c r="F1767" s="5">
        <f t="shared" si="146"/>
        <v>7503000</v>
      </c>
      <c r="G1767" s="5">
        <v>7503000</v>
      </c>
      <c r="I1767" s="2">
        <f t="shared" si="147"/>
        <v>0</v>
      </c>
      <c r="J1767" s="4">
        <v>7100000</v>
      </c>
      <c r="K1767" s="2">
        <f t="shared" si="148"/>
        <v>0.94628815140610423</v>
      </c>
      <c r="L1767" t="s">
        <v>312</v>
      </c>
      <c r="M1767" t="s">
        <v>183</v>
      </c>
      <c r="N1767" t="b">
        <f t="shared" si="149"/>
        <v>0</v>
      </c>
    </row>
    <row r="1768" spans="1:14" x14ac:dyDescent="0.15">
      <c r="A1768" t="s">
        <v>13461</v>
      </c>
      <c r="B1768" t="s">
        <v>13464</v>
      </c>
      <c r="C1768" t="s">
        <v>13576</v>
      </c>
      <c r="D1768" t="s">
        <v>118</v>
      </c>
      <c r="E1768" t="s">
        <v>13577</v>
      </c>
      <c r="F1768" s="5">
        <f t="shared" si="146"/>
        <v>9046000</v>
      </c>
      <c r="G1768" s="5">
        <v>9046000</v>
      </c>
      <c r="I1768" s="2">
        <f t="shared" si="147"/>
        <v>0</v>
      </c>
      <c r="J1768" s="4">
        <v>7490000</v>
      </c>
      <c r="K1768" s="2">
        <f t="shared" si="148"/>
        <v>0.82799027194340036</v>
      </c>
      <c r="L1768" t="s">
        <v>13552</v>
      </c>
      <c r="M1768" t="s">
        <v>1015</v>
      </c>
      <c r="N1768" t="b">
        <f t="shared" si="149"/>
        <v>0</v>
      </c>
    </row>
    <row r="1769" spans="1:14" x14ac:dyDescent="0.15">
      <c r="A1769" t="s">
        <v>13461</v>
      </c>
      <c r="B1769" t="s">
        <v>13464</v>
      </c>
      <c r="C1769" t="s">
        <v>13578</v>
      </c>
      <c r="D1769" t="s">
        <v>118</v>
      </c>
      <c r="E1769" t="s">
        <v>13579</v>
      </c>
      <c r="F1769" s="5">
        <f t="shared" si="146"/>
        <v>7836000</v>
      </c>
      <c r="G1769" s="5">
        <v>7836000</v>
      </c>
      <c r="I1769" s="2">
        <f t="shared" si="147"/>
        <v>0</v>
      </c>
      <c r="J1769" s="4">
        <v>4375000</v>
      </c>
      <c r="K1769" s="2">
        <f t="shared" si="148"/>
        <v>0.55832057172026539</v>
      </c>
      <c r="L1769" t="s">
        <v>173</v>
      </c>
      <c r="M1769" t="s">
        <v>165</v>
      </c>
      <c r="N1769" t="b">
        <f t="shared" si="149"/>
        <v>0</v>
      </c>
    </row>
    <row r="1770" spans="1:14" x14ac:dyDescent="0.15">
      <c r="A1770" t="s">
        <v>13461</v>
      </c>
      <c r="B1770" t="s">
        <v>13464</v>
      </c>
      <c r="C1770" t="s">
        <v>12409</v>
      </c>
      <c r="D1770" t="s">
        <v>118</v>
      </c>
      <c r="E1770" t="s">
        <v>13580</v>
      </c>
      <c r="F1770" s="5">
        <f t="shared" si="146"/>
        <v>38372000</v>
      </c>
      <c r="G1770" s="5">
        <v>38372000</v>
      </c>
      <c r="I1770" s="2">
        <f t="shared" si="147"/>
        <v>0</v>
      </c>
      <c r="J1770" s="4">
        <v>29040000</v>
      </c>
      <c r="K1770" s="2">
        <f t="shared" si="148"/>
        <v>0.75680183467111439</v>
      </c>
      <c r="L1770" t="s">
        <v>1078</v>
      </c>
      <c r="M1770" t="s">
        <v>139</v>
      </c>
      <c r="N1770" t="b">
        <f t="shared" si="149"/>
        <v>0</v>
      </c>
    </row>
    <row r="1771" spans="1:14" x14ac:dyDescent="0.15">
      <c r="A1771" t="s">
        <v>13461</v>
      </c>
      <c r="B1771" t="s">
        <v>13464</v>
      </c>
      <c r="C1771" t="s">
        <v>13581</v>
      </c>
      <c r="D1771" t="s">
        <v>118</v>
      </c>
      <c r="E1771" t="s">
        <v>13582</v>
      </c>
      <c r="F1771" s="5">
        <f t="shared" si="146"/>
        <v>15805000</v>
      </c>
      <c r="G1771" s="5">
        <v>15805000</v>
      </c>
      <c r="I1771" s="2">
        <f t="shared" si="147"/>
        <v>0</v>
      </c>
      <c r="J1771" s="4">
        <v>9500000</v>
      </c>
      <c r="K1771" s="2">
        <f t="shared" si="148"/>
        <v>0.60107560898449852</v>
      </c>
      <c r="L1771" t="s">
        <v>13568</v>
      </c>
      <c r="M1771" t="s">
        <v>183</v>
      </c>
      <c r="N1771" t="b">
        <f t="shared" si="149"/>
        <v>0</v>
      </c>
    </row>
    <row r="1772" spans="1:14" x14ac:dyDescent="0.15">
      <c r="A1772" t="s">
        <v>13461</v>
      </c>
      <c r="B1772" t="s">
        <v>13464</v>
      </c>
      <c r="C1772" t="s">
        <v>13583</v>
      </c>
      <c r="D1772" t="s">
        <v>118</v>
      </c>
      <c r="E1772" t="s">
        <v>13584</v>
      </c>
      <c r="F1772" s="5">
        <f t="shared" si="146"/>
        <v>5374000</v>
      </c>
      <c r="G1772" s="5">
        <v>5374000</v>
      </c>
      <c r="I1772" s="2">
        <f t="shared" si="147"/>
        <v>0</v>
      </c>
      <c r="J1772" s="4">
        <v>3000000</v>
      </c>
      <c r="K1772" s="2">
        <f t="shared" si="148"/>
        <v>0.55824339411983626</v>
      </c>
      <c r="L1772" t="s">
        <v>811</v>
      </c>
      <c r="M1772" t="s">
        <v>165</v>
      </c>
      <c r="N1772" t="b">
        <f t="shared" si="149"/>
        <v>0</v>
      </c>
    </row>
    <row r="1773" spans="1:14" x14ac:dyDescent="0.15">
      <c r="A1773" t="s">
        <v>13461</v>
      </c>
      <c r="B1773" t="s">
        <v>13464</v>
      </c>
      <c r="C1773" t="s">
        <v>13585</v>
      </c>
      <c r="D1773" t="s">
        <v>118</v>
      </c>
      <c r="E1773" t="s">
        <v>13586</v>
      </c>
      <c r="F1773" s="5">
        <f t="shared" si="146"/>
        <v>7821000</v>
      </c>
      <c r="G1773" s="5">
        <v>7821000</v>
      </c>
      <c r="I1773" s="2">
        <f t="shared" si="147"/>
        <v>0</v>
      </c>
      <c r="J1773" s="4">
        <v>4500000</v>
      </c>
      <c r="K1773" s="2">
        <f t="shared" si="148"/>
        <v>0.57537399309551207</v>
      </c>
      <c r="L1773" t="s">
        <v>2687</v>
      </c>
      <c r="M1773" t="s">
        <v>165</v>
      </c>
      <c r="N1773" t="b">
        <f t="shared" si="149"/>
        <v>0</v>
      </c>
    </row>
    <row r="1774" spans="1:14" x14ac:dyDescent="0.15">
      <c r="A1774" t="s">
        <v>13461</v>
      </c>
      <c r="B1774" t="s">
        <v>13464</v>
      </c>
      <c r="C1774" t="s">
        <v>13587</v>
      </c>
      <c r="D1774" t="s">
        <v>118</v>
      </c>
      <c r="E1774" t="s">
        <v>12950</v>
      </c>
      <c r="F1774" s="5">
        <f t="shared" si="146"/>
        <v>8880000</v>
      </c>
      <c r="G1774" s="5">
        <v>8880000</v>
      </c>
      <c r="I1774" s="2">
        <f t="shared" si="147"/>
        <v>0</v>
      </c>
      <c r="J1774" s="4">
        <v>8200000</v>
      </c>
      <c r="K1774" s="2">
        <f t="shared" si="148"/>
        <v>0.92342342342342343</v>
      </c>
      <c r="L1774" t="s">
        <v>312</v>
      </c>
      <c r="M1774" t="s">
        <v>183</v>
      </c>
      <c r="N1774" t="b">
        <f t="shared" si="149"/>
        <v>0</v>
      </c>
    </row>
    <row r="1775" spans="1:14" x14ac:dyDescent="0.15">
      <c r="A1775" t="s">
        <v>13461</v>
      </c>
      <c r="B1775" t="s">
        <v>13464</v>
      </c>
      <c r="C1775" t="s">
        <v>13588</v>
      </c>
      <c r="D1775" t="s">
        <v>118</v>
      </c>
      <c r="E1775" t="s">
        <v>13589</v>
      </c>
      <c r="F1775" s="5">
        <f t="shared" si="146"/>
        <v>10638000</v>
      </c>
      <c r="G1775" s="5">
        <v>10638000</v>
      </c>
      <c r="I1775" s="2">
        <f t="shared" si="147"/>
        <v>0</v>
      </c>
      <c r="J1775" s="4">
        <v>9500000</v>
      </c>
      <c r="K1775" s="2">
        <f t="shared" si="148"/>
        <v>0.89302500470013157</v>
      </c>
      <c r="L1775" t="s">
        <v>5186</v>
      </c>
      <c r="M1775" t="s">
        <v>432</v>
      </c>
      <c r="N1775" t="b">
        <f t="shared" si="149"/>
        <v>0</v>
      </c>
    </row>
    <row r="1776" spans="1:14" x14ac:dyDescent="0.15">
      <c r="A1776" t="s">
        <v>13461</v>
      </c>
      <c r="B1776" t="s">
        <v>13464</v>
      </c>
      <c r="C1776" t="s">
        <v>13466</v>
      </c>
      <c r="D1776" t="s">
        <v>118</v>
      </c>
      <c r="E1776" t="s">
        <v>13590</v>
      </c>
      <c r="F1776" s="5">
        <f t="shared" si="146"/>
        <v>886000</v>
      </c>
      <c r="G1776" s="5">
        <v>886000</v>
      </c>
      <c r="I1776" s="2">
        <f t="shared" si="147"/>
        <v>0</v>
      </c>
      <c r="J1776" s="4">
        <v>429000</v>
      </c>
      <c r="K1776" s="2">
        <f t="shared" si="148"/>
        <v>0.48419864559819414</v>
      </c>
      <c r="L1776" t="s">
        <v>173</v>
      </c>
      <c r="M1776" t="s">
        <v>432</v>
      </c>
      <c r="N1776" t="b">
        <f t="shared" si="149"/>
        <v>0</v>
      </c>
    </row>
    <row r="1777" spans="1:14" x14ac:dyDescent="0.15">
      <c r="A1777" t="s">
        <v>13461</v>
      </c>
      <c r="B1777" t="s">
        <v>13464</v>
      </c>
      <c r="C1777" t="s">
        <v>13591</v>
      </c>
      <c r="D1777" t="s">
        <v>118</v>
      </c>
      <c r="E1777" t="s">
        <v>13592</v>
      </c>
      <c r="F1777" s="5">
        <f t="shared" si="146"/>
        <v>12210000</v>
      </c>
      <c r="G1777" s="5">
        <v>12210000</v>
      </c>
      <c r="I1777" s="2">
        <f t="shared" si="147"/>
        <v>0</v>
      </c>
      <c r="J1777" s="4">
        <v>11500000</v>
      </c>
      <c r="K1777" s="2">
        <f t="shared" si="148"/>
        <v>0.94185094185094187</v>
      </c>
      <c r="L1777" t="s">
        <v>5186</v>
      </c>
      <c r="M1777" t="s">
        <v>1015</v>
      </c>
      <c r="N1777" t="b">
        <f t="shared" si="149"/>
        <v>0</v>
      </c>
    </row>
    <row r="1778" spans="1:14" x14ac:dyDescent="0.15">
      <c r="A1778" t="s">
        <v>13461</v>
      </c>
      <c r="B1778" t="s">
        <v>13464</v>
      </c>
      <c r="C1778" t="s">
        <v>13593</v>
      </c>
      <c r="D1778" t="s">
        <v>118</v>
      </c>
      <c r="E1778" t="s">
        <v>13594</v>
      </c>
      <c r="F1778" s="5">
        <f t="shared" si="146"/>
        <v>12970000</v>
      </c>
      <c r="G1778" s="5">
        <v>12970000</v>
      </c>
      <c r="I1778" s="2">
        <f t="shared" si="147"/>
        <v>0</v>
      </c>
      <c r="J1778" s="4">
        <v>11780000</v>
      </c>
      <c r="K1778" s="2">
        <f t="shared" si="148"/>
        <v>0.90824980724749427</v>
      </c>
      <c r="L1778" t="s">
        <v>5636</v>
      </c>
      <c r="M1778" t="s">
        <v>1015</v>
      </c>
      <c r="N1778" t="b">
        <f t="shared" si="149"/>
        <v>0</v>
      </c>
    </row>
    <row r="1779" spans="1:14" x14ac:dyDescent="0.15">
      <c r="A1779" t="s">
        <v>13461</v>
      </c>
      <c r="B1779" t="s">
        <v>13464</v>
      </c>
      <c r="C1779" t="s">
        <v>13595</v>
      </c>
      <c r="D1779" t="s">
        <v>118</v>
      </c>
      <c r="E1779" t="s">
        <v>13596</v>
      </c>
      <c r="F1779" s="5">
        <f t="shared" ref="F1779:F1819" si="150">G1779</f>
        <v>8503000</v>
      </c>
      <c r="G1779" s="5">
        <v>8503000</v>
      </c>
      <c r="I1779" s="2">
        <f t="shared" si="147"/>
        <v>0</v>
      </c>
      <c r="J1779" s="4">
        <v>8100000</v>
      </c>
      <c r="K1779" s="2">
        <f t="shared" si="148"/>
        <v>0.95260496295425146</v>
      </c>
      <c r="L1779" t="s">
        <v>13488</v>
      </c>
      <c r="M1779" t="s">
        <v>165</v>
      </c>
      <c r="N1779" t="b">
        <f t="shared" si="149"/>
        <v>0</v>
      </c>
    </row>
    <row r="1780" spans="1:14" x14ac:dyDescent="0.15">
      <c r="A1780" t="s">
        <v>13461</v>
      </c>
      <c r="B1780" t="s">
        <v>13464</v>
      </c>
      <c r="C1780" t="s">
        <v>13528</v>
      </c>
      <c r="D1780" t="s">
        <v>118</v>
      </c>
      <c r="E1780" t="s">
        <v>13597</v>
      </c>
      <c r="F1780" s="5">
        <f t="shared" si="150"/>
        <v>25314000</v>
      </c>
      <c r="G1780" s="5">
        <v>25314000</v>
      </c>
      <c r="I1780" s="2">
        <f t="shared" si="147"/>
        <v>0</v>
      </c>
      <c r="J1780" s="4">
        <v>23600000</v>
      </c>
      <c r="K1780" s="2">
        <f t="shared" si="148"/>
        <v>0.93229043217192065</v>
      </c>
      <c r="L1780" t="s">
        <v>5186</v>
      </c>
      <c r="M1780" t="s">
        <v>165</v>
      </c>
      <c r="N1780" t="b">
        <f t="shared" si="149"/>
        <v>0</v>
      </c>
    </row>
    <row r="1781" spans="1:14" x14ac:dyDescent="0.15">
      <c r="A1781" t="s">
        <v>13461</v>
      </c>
      <c r="B1781" t="s">
        <v>13464</v>
      </c>
      <c r="C1781" t="s">
        <v>13598</v>
      </c>
      <c r="D1781" t="s">
        <v>118</v>
      </c>
      <c r="E1781" t="s">
        <v>13599</v>
      </c>
      <c r="F1781" s="5">
        <f t="shared" si="150"/>
        <v>3584000</v>
      </c>
      <c r="G1781" s="5">
        <v>3584000</v>
      </c>
      <c r="I1781" s="2">
        <f t="shared" si="147"/>
        <v>0</v>
      </c>
      <c r="J1781" s="4">
        <v>3400000</v>
      </c>
      <c r="K1781" s="2">
        <f t="shared" si="148"/>
        <v>0.9486607142857143</v>
      </c>
      <c r="L1781" t="s">
        <v>13600</v>
      </c>
      <c r="M1781" t="s">
        <v>432</v>
      </c>
      <c r="N1781" t="b">
        <f t="shared" si="149"/>
        <v>0</v>
      </c>
    </row>
    <row r="1782" spans="1:14" x14ac:dyDescent="0.15">
      <c r="A1782" t="s">
        <v>13461</v>
      </c>
      <c r="B1782" t="s">
        <v>13464</v>
      </c>
      <c r="C1782" t="s">
        <v>13526</v>
      </c>
      <c r="D1782" t="s">
        <v>118</v>
      </c>
      <c r="E1782" t="s">
        <v>13601</v>
      </c>
      <c r="F1782" s="5">
        <f t="shared" si="150"/>
        <v>712000</v>
      </c>
      <c r="G1782" s="5">
        <v>712000</v>
      </c>
      <c r="I1782" s="2">
        <f t="shared" si="147"/>
        <v>0</v>
      </c>
      <c r="J1782" s="4">
        <v>320000</v>
      </c>
      <c r="K1782" s="2">
        <f t="shared" si="148"/>
        <v>0.449438202247191</v>
      </c>
      <c r="L1782" t="s">
        <v>10322</v>
      </c>
      <c r="M1782" t="s">
        <v>21</v>
      </c>
      <c r="N1782" t="b">
        <f t="shared" si="149"/>
        <v>0</v>
      </c>
    </row>
    <row r="1783" spans="1:14" x14ac:dyDescent="0.15">
      <c r="A1783" t="s">
        <v>13461</v>
      </c>
      <c r="B1783" t="s">
        <v>13464</v>
      </c>
      <c r="C1783" t="s">
        <v>13531</v>
      </c>
      <c r="D1783" t="s">
        <v>118</v>
      </c>
      <c r="E1783" t="s">
        <v>13602</v>
      </c>
      <c r="F1783" s="5">
        <f t="shared" si="150"/>
        <v>3180000</v>
      </c>
      <c r="G1783" s="5">
        <v>3180000</v>
      </c>
      <c r="I1783" s="2">
        <f t="shared" si="147"/>
        <v>0</v>
      </c>
      <c r="J1783" s="4">
        <v>2800000</v>
      </c>
      <c r="K1783" s="2">
        <f t="shared" si="148"/>
        <v>0.88050314465408808</v>
      </c>
      <c r="L1783" t="s">
        <v>13603</v>
      </c>
      <c r="M1783" t="s">
        <v>1015</v>
      </c>
      <c r="N1783" t="b">
        <f t="shared" si="149"/>
        <v>0</v>
      </c>
    </row>
    <row r="1784" spans="1:14" x14ac:dyDescent="0.15">
      <c r="A1784" t="s">
        <v>13461</v>
      </c>
      <c r="B1784" t="s">
        <v>13464</v>
      </c>
      <c r="C1784" t="s">
        <v>13604</v>
      </c>
      <c r="D1784" t="s">
        <v>118</v>
      </c>
      <c r="E1784" t="s">
        <v>13605</v>
      </c>
      <c r="F1784" s="5">
        <f t="shared" si="150"/>
        <v>2491000</v>
      </c>
      <c r="G1784" s="5">
        <v>2491000</v>
      </c>
      <c r="I1784" s="2">
        <f t="shared" si="147"/>
        <v>0</v>
      </c>
      <c r="J1784" s="4">
        <v>2350000</v>
      </c>
      <c r="K1784" s="2">
        <f t="shared" si="148"/>
        <v>0.94339622641509435</v>
      </c>
      <c r="L1784" t="s">
        <v>13600</v>
      </c>
      <c r="M1784" t="s">
        <v>432</v>
      </c>
      <c r="N1784" t="b">
        <f t="shared" si="149"/>
        <v>0</v>
      </c>
    </row>
    <row r="1785" spans="1:14" x14ac:dyDescent="0.15">
      <c r="A1785" t="s">
        <v>13461</v>
      </c>
      <c r="B1785" t="s">
        <v>13464</v>
      </c>
      <c r="C1785" t="s">
        <v>13462</v>
      </c>
      <c r="D1785" t="s">
        <v>118</v>
      </c>
      <c r="E1785" t="s">
        <v>13606</v>
      </c>
      <c r="F1785" s="5">
        <f t="shared" si="150"/>
        <v>3540000</v>
      </c>
      <c r="G1785" s="5">
        <v>3540000</v>
      </c>
      <c r="I1785" s="2">
        <f t="shared" si="147"/>
        <v>0</v>
      </c>
      <c r="J1785" s="4">
        <v>2840000</v>
      </c>
      <c r="K1785" s="2">
        <f t="shared" si="148"/>
        <v>0.80225988700564976</v>
      </c>
      <c r="L1785" t="s">
        <v>13607</v>
      </c>
      <c r="M1785" t="s">
        <v>21</v>
      </c>
      <c r="N1785" t="b">
        <f t="shared" si="149"/>
        <v>0</v>
      </c>
    </row>
    <row r="1786" spans="1:14" x14ac:dyDescent="0.15">
      <c r="A1786" t="s">
        <v>13608</v>
      </c>
      <c r="B1786" t="s">
        <v>13611</v>
      </c>
      <c r="C1786" t="s">
        <v>13609</v>
      </c>
      <c r="D1786" t="s">
        <v>118</v>
      </c>
      <c r="E1786" t="s">
        <v>13610</v>
      </c>
      <c r="F1786" s="5">
        <f t="shared" si="150"/>
        <v>4820000</v>
      </c>
      <c r="G1786" s="5">
        <v>4820000</v>
      </c>
      <c r="H1786" s="4">
        <v>3159000</v>
      </c>
      <c r="I1786" s="2">
        <f t="shared" si="147"/>
        <v>0.6553941908713693</v>
      </c>
      <c r="J1786" s="4">
        <v>3470000</v>
      </c>
      <c r="K1786" s="2">
        <f t="shared" si="148"/>
        <v>0.71991701244813278</v>
      </c>
      <c r="L1786" t="s">
        <v>239</v>
      </c>
      <c r="M1786" t="s">
        <v>183</v>
      </c>
      <c r="N1786" t="b">
        <f t="shared" si="149"/>
        <v>0</v>
      </c>
    </row>
    <row r="1787" spans="1:14" x14ac:dyDescent="0.15">
      <c r="A1787" t="s">
        <v>13608</v>
      </c>
      <c r="B1787" t="s">
        <v>13611</v>
      </c>
      <c r="C1787" t="s">
        <v>11560</v>
      </c>
      <c r="D1787" t="s">
        <v>118</v>
      </c>
      <c r="E1787" t="s">
        <v>13612</v>
      </c>
      <c r="F1787" s="5">
        <f t="shared" si="150"/>
        <v>4353000</v>
      </c>
      <c r="G1787" s="5">
        <v>4353000</v>
      </c>
      <c r="H1787" s="4">
        <v>3300000</v>
      </c>
      <c r="I1787" s="2">
        <f t="shared" si="147"/>
        <v>0.75809786354238451</v>
      </c>
      <c r="J1787" s="4">
        <v>3650000</v>
      </c>
      <c r="K1787" s="2">
        <f t="shared" si="148"/>
        <v>0.8385021824029405</v>
      </c>
      <c r="L1787" t="s">
        <v>1946</v>
      </c>
      <c r="M1787" t="s">
        <v>126</v>
      </c>
      <c r="N1787" t="b">
        <f t="shared" si="149"/>
        <v>0</v>
      </c>
    </row>
    <row r="1788" spans="1:14" x14ac:dyDescent="0.15">
      <c r="A1788" t="s">
        <v>13608</v>
      </c>
      <c r="B1788" t="s">
        <v>13611</v>
      </c>
      <c r="C1788" t="s">
        <v>13613</v>
      </c>
      <c r="D1788" t="s">
        <v>118</v>
      </c>
      <c r="E1788" t="s">
        <v>13614</v>
      </c>
      <c r="F1788" s="5">
        <f t="shared" si="150"/>
        <v>3078000</v>
      </c>
      <c r="G1788" s="5">
        <v>3078000</v>
      </c>
      <c r="H1788" s="4">
        <v>1501000</v>
      </c>
      <c r="I1788" s="2">
        <f t="shared" si="147"/>
        <v>0.48765432098765432</v>
      </c>
      <c r="J1788" s="4">
        <v>1668000</v>
      </c>
      <c r="K1788" s="2">
        <f t="shared" si="148"/>
        <v>0.54191033138401556</v>
      </c>
      <c r="L1788" t="s">
        <v>1195</v>
      </c>
      <c r="M1788" t="s">
        <v>21</v>
      </c>
      <c r="N1788" t="b">
        <f t="shared" si="149"/>
        <v>0</v>
      </c>
    </row>
    <row r="1789" spans="1:14" x14ac:dyDescent="0.15">
      <c r="A1789" t="s">
        <v>13608</v>
      </c>
      <c r="B1789" t="s">
        <v>13611</v>
      </c>
      <c r="C1789" t="s">
        <v>13615</v>
      </c>
      <c r="D1789" t="s">
        <v>118</v>
      </c>
      <c r="E1789" t="s">
        <v>13616</v>
      </c>
      <c r="F1789" s="5">
        <f t="shared" si="150"/>
        <v>8997000</v>
      </c>
      <c r="G1789" s="5">
        <v>8997000</v>
      </c>
      <c r="H1789" s="4">
        <v>8010000</v>
      </c>
      <c r="I1789" s="2">
        <f t="shared" si="147"/>
        <v>0.89029676558852955</v>
      </c>
      <c r="J1789" s="4">
        <v>8900000</v>
      </c>
      <c r="K1789" s="2">
        <f t="shared" si="148"/>
        <v>0.9892186284316995</v>
      </c>
      <c r="L1789" t="s">
        <v>1541</v>
      </c>
      <c r="M1789" t="s">
        <v>1015</v>
      </c>
      <c r="N1789" t="b">
        <f t="shared" si="149"/>
        <v>0</v>
      </c>
    </row>
    <row r="1790" spans="1:14" x14ac:dyDescent="0.15">
      <c r="A1790" t="s">
        <v>13608</v>
      </c>
      <c r="B1790" t="s">
        <v>13611</v>
      </c>
      <c r="C1790" t="s">
        <v>13617</v>
      </c>
      <c r="D1790" t="s">
        <v>118</v>
      </c>
      <c r="E1790" t="s">
        <v>13618</v>
      </c>
      <c r="F1790" s="5">
        <f t="shared" si="150"/>
        <v>15120000</v>
      </c>
      <c r="G1790" s="5">
        <v>15120000</v>
      </c>
      <c r="H1790" s="4">
        <v>12348000</v>
      </c>
      <c r="I1790" s="2">
        <f t="shared" si="147"/>
        <v>0.81666666666666665</v>
      </c>
      <c r="J1790" s="4">
        <v>13720000</v>
      </c>
      <c r="K1790" s="2">
        <f t="shared" si="148"/>
        <v>0.90740740740740744</v>
      </c>
      <c r="L1790" t="s">
        <v>1321</v>
      </c>
      <c r="M1790" t="s">
        <v>432</v>
      </c>
      <c r="N1790" t="b">
        <f t="shared" si="149"/>
        <v>0</v>
      </c>
    </row>
    <row r="1791" spans="1:14" x14ac:dyDescent="0.15">
      <c r="A1791" t="s">
        <v>13608</v>
      </c>
      <c r="B1791" t="s">
        <v>13611</v>
      </c>
      <c r="C1791" t="s">
        <v>13619</v>
      </c>
      <c r="D1791" t="s">
        <v>118</v>
      </c>
      <c r="E1791" t="s">
        <v>13620</v>
      </c>
      <c r="F1791" s="5">
        <f t="shared" si="150"/>
        <v>7366000</v>
      </c>
      <c r="G1791" s="5">
        <v>7366000</v>
      </c>
      <c r="H1791" s="4">
        <v>5016000</v>
      </c>
      <c r="I1791" s="2">
        <f t="shared" si="147"/>
        <v>0.68096660331251702</v>
      </c>
      <c r="J1791" s="4">
        <v>5210000</v>
      </c>
      <c r="K1791" s="2">
        <f t="shared" si="148"/>
        <v>0.70730382840076023</v>
      </c>
      <c r="L1791" t="s">
        <v>9367</v>
      </c>
      <c r="M1791" t="s">
        <v>41</v>
      </c>
      <c r="N1791" t="b">
        <f t="shared" si="149"/>
        <v>0</v>
      </c>
    </row>
    <row r="1792" spans="1:14" x14ac:dyDescent="0.15">
      <c r="A1792" t="s">
        <v>13608</v>
      </c>
      <c r="B1792" t="s">
        <v>13611</v>
      </c>
      <c r="C1792" t="s">
        <v>13621</v>
      </c>
      <c r="D1792" t="s">
        <v>118</v>
      </c>
      <c r="E1792" t="s">
        <v>13622</v>
      </c>
      <c r="F1792" s="5">
        <f t="shared" si="150"/>
        <v>35659000</v>
      </c>
      <c r="G1792" s="5">
        <v>35659000</v>
      </c>
      <c r="H1792" s="4">
        <v>31050000</v>
      </c>
      <c r="I1792" s="2">
        <f t="shared" si="147"/>
        <v>0.87074791777671834</v>
      </c>
      <c r="J1792" s="4">
        <v>34500000</v>
      </c>
      <c r="K1792" s="2">
        <f t="shared" si="148"/>
        <v>0.96749768641857592</v>
      </c>
      <c r="L1792" t="s">
        <v>2687</v>
      </c>
      <c r="M1792" t="s">
        <v>21</v>
      </c>
      <c r="N1792" t="b">
        <f t="shared" si="149"/>
        <v>0</v>
      </c>
    </row>
    <row r="1793" spans="1:14" x14ac:dyDescent="0.15">
      <c r="A1793" t="s">
        <v>13608</v>
      </c>
      <c r="B1793" t="s">
        <v>13611</v>
      </c>
      <c r="C1793" t="s">
        <v>13623</v>
      </c>
      <c r="D1793" t="s">
        <v>118</v>
      </c>
      <c r="E1793" t="s">
        <v>13624</v>
      </c>
      <c r="F1793" s="5">
        <f t="shared" si="150"/>
        <v>4361000</v>
      </c>
      <c r="G1793" s="5">
        <v>4361000</v>
      </c>
      <c r="H1793" s="4">
        <v>3798000</v>
      </c>
      <c r="I1793" s="2">
        <f t="shared" si="147"/>
        <v>0.87090116945654661</v>
      </c>
      <c r="J1793" s="4">
        <v>4220000</v>
      </c>
      <c r="K1793" s="2">
        <f t="shared" si="148"/>
        <v>0.96766796606282968</v>
      </c>
      <c r="L1793" t="s">
        <v>1321</v>
      </c>
      <c r="M1793" t="s">
        <v>183</v>
      </c>
      <c r="N1793" t="b">
        <f t="shared" si="149"/>
        <v>0</v>
      </c>
    </row>
    <row r="1794" spans="1:14" x14ac:dyDescent="0.15">
      <c r="A1794" t="s">
        <v>13608</v>
      </c>
      <c r="B1794" t="s">
        <v>13611</v>
      </c>
      <c r="C1794" t="s">
        <v>13625</v>
      </c>
      <c r="D1794" t="s">
        <v>118</v>
      </c>
      <c r="E1794" t="s">
        <v>13626</v>
      </c>
      <c r="F1794" s="5">
        <f t="shared" si="150"/>
        <v>26025000</v>
      </c>
      <c r="G1794" s="5">
        <v>26025000</v>
      </c>
      <c r="H1794" s="4">
        <v>18083000</v>
      </c>
      <c r="I1794" s="2">
        <f t="shared" si="147"/>
        <v>0.69483189241114318</v>
      </c>
      <c r="J1794" s="4">
        <v>18578000</v>
      </c>
      <c r="K1794" s="2">
        <f t="shared" si="148"/>
        <v>0.71385206532180601</v>
      </c>
      <c r="L1794" t="s">
        <v>190</v>
      </c>
      <c r="M1794" t="s">
        <v>104</v>
      </c>
      <c r="N1794" t="b">
        <f t="shared" si="149"/>
        <v>0</v>
      </c>
    </row>
    <row r="1795" spans="1:14" x14ac:dyDescent="0.15">
      <c r="A1795" t="s">
        <v>13608</v>
      </c>
      <c r="B1795" t="s">
        <v>13611</v>
      </c>
      <c r="C1795" t="s">
        <v>13627</v>
      </c>
      <c r="D1795" t="s">
        <v>118</v>
      </c>
      <c r="E1795" t="s">
        <v>13628</v>
      </c>
      <c r="F1795" s="5">
        <f t="shared" si="150"/>
        <v>9807000</v>
      </c>
      <c r="G1795" s="5">
        <v>9807000</v>
      </c>
      <c r="H1795" s="4">
        <v>8212000</v>
      </c>
      <c r="I1795" s="2">
        <f t="shared" si="147"/>
        <v>0.83736106862445192</v>
      </c>
      <c r="J1795" s="4">
        <v>8500000</v>
      </c>
      <c r="K1795" s="2">
        <f t="shared" si="148"/>
        <v>0.86672784745589881</v>
      </c>
      <c r="L1795" t="s">
        <v>1321</v>
      </c>
      <c r="M1795" t="s">
        <v>432</v>
      </c>
      <c r="N1795" t="b">
        <f t="shared" si="149"/>
        <v>0</v>
      </c>
    </row>
    <row r="1796" spans="1:14" x14ac:dyDescent="0.15">
      <c r="A1796" t="s">
        <v>13608</v>
      </c>
      <c r="B1796" t="s">
        <v>13611</v>
      </c>
      <c r="C1796" t="s">
        <v>13629</v>
      </c>
      <c r="D1796" t="s">
        <v>118</v>
      </c>
      <c r="E1796" t="s">
        <v>13630</v>
      </c>
      <c r="F1796" s="5">
        <f t="shared" si="150"/>
        <v>15305000</v>
      </c>
      <c r="G1796" s="5">
        <v>15305000</v>
      </c>
      <c r="H1796" s="4">
        <v>11459000</v>
      </c>
      <c r="I1796" s="2">
        <f t="shared" ref="I1796:I1859" si="151">H1796/G1796</f>
        <v>0.74870957203528254</v>
      </c>
      <c r="J1796" s="4">
        <v>11465000</v>
      </c>
      <c r="K1796" s="2">
        <f t="shared" ref="K1796:K1859" si="152">J1796/G1796</f>
        <v>0.74910160078405752</v>
      </c>
      <c r="L1796" t="s">
        <v>271</v>
      </c>
      <c r="M1796" t="s">
        <v>174</v>
      </c>
      <c r="N1796" t="b">
        <f t="shared" ref="N1796:N1859" si="153">F1796&lt;&gt;G1796</f>
        <v>0</v>
      </c>
    </row>
    <row r="1797" spans="1:14" x14ac:dyDescent="0.15">
      <c r="A1797" t="s">
        <v>13608</v>
      </c>
      <c r="B1797" t="s">
        <v>13611</v>
      </c>
      <c r="C1797" t="s">
        <v>13631</v>
      </c>
      <c r="D1797" t="s">
        <v>118</v>
      </c>
      <c r="E1797" t="s">
        <v>13632</v>
      </c>
      <c r="F1797" s="5">
        <f t="shared" si="150"/>
        <v>26068000</v>
      </c>
      <c r="G1797" s="5">
        <v>26068000</v>
      </c>
      <c r="H1797" s="4">
        <v>18270000</v>
      </c>
      <c r="I1797" s="2">
        <f t="shared" si="151"/>
        <v>0.70085929108485501</v>
      </c>
      <c r="J1797" s="4">
        <v>20300000</v>
      </c>
      <c r="K1797" s="2">
        <f t="shared" si="152"/>
        <v>0.77873254564983885</v>
      </c>
      <c r="L1797" t="s">
        <v>1541</v>
      </c>
      <c r="M1797" t="s">
        <v>1015</v>
      </c>
      <c r="N1797" t="b">
        <f t="shared" si="153"/>
        <v>0</v>
      </c>
    </row>
    <row r="1798" spans="1:14" x14ac:dyDescent="0.15">
      <c r="A1798" t="s">
        <v>13608</v>
      </c>
      <c r="B1798" t="s">
        <v>13611</v>
      </c>
      <c r="C1798" t="s">
        <v>13633</v>
      </c>
      <c r="D1798" t="s">
        <v>118</v>
      </c>
      <c r="E1798" t="s">
        <v>13634</v>
      </c>
      <c r="F1798" s="5">
        <f t="shared" si="150"/>
        <v>43028000</v>
      </c>
      <c r="G1798" s="5">
        <v>43028000</v>
      </c>
      <c r="H1798" s="4">
        <v>27486000</v>
      </c>
      <c r="I1798" s="2">
        <f t="shared" si="151"/>
        <v>0.63879334386910847</v>
      </c>
      <c r="J1798" s="4">
        <v>28494000</v>
      </c>
      <c r="K1798" s="2">
        <f t="shared" si="152"/>
        <v>0.6622199498001301</v>
      </c>
      <c r="L1798" t="s">
        <v>13512</v>
      </c>
      <c r="M1798" t="s">
        <v>174</v>
      </c>
      <c r="N1798" t="b">
        <f t="shared" si="153"/>
        <v>0</v>
      </c>
    </row>
    <row r="1799" spans="1:14" x14ac:dyDescent="0.15">
      <c r="A1799" t="s">
        <v>13608</v>
      </c>
      <c r="B1799" t="s">
        <v>13611</v>
      </c>
      <c r="C1799" t="s">
        <v>13635</v>
      </c>
      <c r="D1799" t="s">
        <v>118</v>
      </c>
      <c r="E1799" t="s">
        <v>13636</v>
      </c>
      <c r="F1799" s="5">
        <f t="shared" si="150"/>
        <v>12756000</v>
      </c>
      <c r="G1799" s="5">
        <v>12756000</v>
      </c>
      <c r="H1799" s="4">
        <v>8507000</v>
      </c>
      <c r="I1799" s="2">
        <f t="shared" si="151"/>
        <v>0.66690185010975223</v>
      </c>
      <c r="J1799" s="4">
        <v>8888000</v>
      </c>
      <c r="K1799" s="2">
        <f t="shared" si="152"/>
        <v>0.69677014738162435</v>
      </c>
      <c r="L1799" t="s">
        <v>48</v>
      </c>
      <c r="M1799" t="s">
        <v>2579</v>
      </c>
      <c r="N1799" t="b">
        <f t="shared" si="153"/>
        <v>0</v>
      </c>
    </row>
    <row r="1800" spans="1:14" x14ac:dyDescent="0.15">
      <c r="A1800" t="s">
        <v>13608</v>
      </c>
      <c r="B1800" t="s">
        <v>13611</v>
      </c>
      <c r="C1800" t="s">
        <v>13637</v>
      </c>
      <c r="D1800" t="s">
        <v>118</v>
      </c>
      <c r="E1800" t="s">
        <v>13638</v>
      </c>
      <c r="F1800" s="5">
        <f t="shared" si="150"/>
        <v>10844000</v>
      </c>
      <c r="G1800" s="5">
        <v>10844000</v>
      </c>
      <c r="H1800" s="4">
        <v>8043000</v>
      </c>
      <c r="I1800" s="2">
        <f t="shared" si="151"/>
        <v>0.74170047952784945</v>
      </c>
      <c r="J1800" s="4">
        <v>8610000</v>
      </c>
      <c r="K1800" s="2">
        <f t="shared" si="152"/>
        <v>0.7939874585023976</v>
      </c>
      <c r="L1800" t="s">
        <v>305</v>
      </c>
      <c r="M1800" t="s">
        <v>279</v>
      </c>
      <c r="N1800" t="b">
        <f t="shared" si="153"/>
        <v>0</v>
      </c>
    </row>
    <row r="1801" spans="1:14" x14ac:dyDescent="0.15">
      <c r="A1801" t="s">
        <v>13608</v>
      </c>
      <c r="B1801" t="s">
        <v>13611</v>
      </c>
      <c r="C1801" t="s">
        <v>13639</v>
      </c>
      <c r="D1801" t="s">
        <v>118</v>
      </c>
      <c r="E1801" t="s">
        <v>13640</v>
      </c>
      <c r="F1801" s="5">
        <f t="shared" si="150"/>
        <v>25655000</v>
      </c>
      <c r="G1801" s="5">
        <v>25655000</v>
      </c>
      <c r="H1801" s="4">
        <v>16378000</v>
      </c>
      <c r="I1801" s="2">
        <f t="shared" si="151"/>
        <v>0.63839407522900016</v>
      </c>
      <c r="J1801" s="4">
        <v>16396160</v>
      </c>
      <c r="K1801" s="2">
        <f t="shared" si="152"/>
        <v>0.63910192944845057</v>
      </c>
      <c r="L1801" t="s">
        <v>506</v>
      </c>
      <c r="M1801" t="s">
        <v>3396</v>
      </c>
      <c r="N1801" t="b">
        <f t="shared" si="153"/>
        <v>0</v>
      </c>
    </row>
    <row r="1802" spans="1:14" x14ac:dyDescent="0.15">
      <c r="A1802" t="s">
        <v>13608</v>
      </c>
      <c r="B1802" t="s">
        <v>13611</v>
      </c>
      <c r="C1802" t="s">
        <v>13641</v>
      </c>
      <c r="D1802" t="s">
        <v>118</v>
      </c>
      <c r="E1802" t="s">
        <v>13642</v>
      </c>
      <c r="F1802" s="5">
        <f t="shared" si="150"/>
        <v>45150000</v>
      </c>
      <c r="G1802" s="5">
        <v>45150000</v>
      </c>
      <c r="H1802" s="4">
        <v>29736000</v>
      </c>
      <c r="I1802" s="2">
        <f t="shared" si="151"/>
        <v>0.65860465116279066</v>
      </c>
      <c r="J1802" s="4">
        <v>32000000</v>
      </c>
      <c r="K1802" s="2">
        <f t="shared" si="152"/>
        <v>0.70874861572535997</v>
      </c>
      <c r="L1802" t="s">
        <v>2598</v>
      </c>
      <c r="M1802" t="s">
        <v>165</v>
      </c>
      <c r="N1802" t="b">
        <f t="shared" si="153"/>
        <v>0</v>
      </c>
    </row>
    <row r="1803" spans="1:14" x14ac:dyDescent="0.15">
      <c r="A1803" t="s">
        <v>13608</v>
      </c>
      <c r="B1803" t="s">
        <v>13611</v>
      </c>
      <c r="C1803" t="s">
        <v>13643</v>
      </c>
      <c r="D1803" t="s">
        <v>118</v>
      </c>
      <c r="E1803" t="s">
        <v>13644</v>
      </c>
      <c r="F1803" s="5">
        <f t="shared" si="150"/>
        <v>1751000</v>
      </c>
      <c r="G1803" s="5">
        <v>1751000</v>
      </c>
      <c r="H1803" s="4">
        <v>1107000</v>
      </c>
      <c r="I1803" s="2">
        <f t="shared" si="151"/>
        <v>0.63221016561964594</v>
      </c>
      <c r="J1803" s="4">
        <v>1230000</v>
      </c>
      <c r="K1803" s="2">
        <f t="shared" si="152"/>
        <v>0.70245573957738439</v>
      </c>
      <c r="L1803" t="s">
        <v>574</v>
      </c>
      <c r="M1803" t="s">
        <v>1015</v>
      </c>
      <c r="N1803" t="b">
        <f t="shared" si="153"/>
        <v>0</v>
      </c>
    </row>
    <row r="1804" spans="1:14" x14ac:dyDescent="0.15">
      <c r="A1804" t="s">
        <v>13608</v>
      </c>
      <c r="B1804" t="s">
        <v>13611</v>
      </c>
      <c r="C1804" t="s">
        <v>13645</v>
      </c>
      <c r="D1804" t="s">
        <v>118</v>
      </c>
      <c r="E1804" t="s">
        <v>13646</v>
      </c>
      <c r="F1804" s="5">
        <f t="shared" si="150"/>
        <v>49700000</v>
      </c>
      <c r="G1804" s="5">
        <v>49700000</v>
      </c>
      <c r="H1804" s="4">
        <v>35091000</v>
      </c>
      <c r="I1804" s="2">
        <f t="shared" si="151"/>
        <v>0.70605633802816903</v>
      </c>
      <c r="J1804" s="4">
        <v>38990000</v>
      </c>
      <c r="K1804" s="2">
        <f t="shared" si="152"/>
        <v>0.78450704225352108</v>
      </c>
      <c r="L1804" t="s">
        <v>540</v>
      </c>
      <c r="M1804" t="s">
        <v>21</v>
      </c>
      <c r="N1804" t="b">
        <f t="shared" si="153"/>
        <v>0</v>
      </c>
    </row>
    <row r="1805" spans="1:14" x14ac:dyDescent="0.15">
      <c r="A1805" t="s">
        <v>13608</v>
      </c>
      <c r="B1805" t="s">
        <v>13611</v>
      </c>
      <c r="C1805" t="s">
        <v>13647</v>
      </c>
      <c r="D1805" t="s">
        <v>118</v>
      </c>
      <c r="E1805" t="s">
        <v>13648</v>
      </c>
      <c r="F1805" s="5">
        <f t="shared" si="150"/>
        <v>28533000</v>
      </c>
      <c r="G1805" s="5">
        <v>28533000</v>
      </c>
      <c r="H1805" s="4">
        <v>17862000</v>
      </c>
      <c r="I1805" s="2">
        <f t="shared" si="151"/>
        <v>0.62601198612133324</v>
      </c>
      <c r="J1805" s="4">
        <v>18500000</v>
      </c>
      <c r="K1805" s="2">
        <f t="shared" si="152"/>
        <v>0.6483720604212666</v>
      </c>
      <c r="L1805" t="s">
        <v>298</v>
      </c>
      <c r="M1805" t="s">
        <v>165</v>
      </c>
      <c r="N1805" t="b">
        <f t="shared" si="153"/>
        <v>0</v>
      </c>
    </row>
    <row r="1806" spans="1:14" x14ac:dyDescent="0.15">
      <c r="A1806" t="s">
        <v>13608</v>
      </c>
      <c r="B1806" t="s">
        <v>13611</v>
      </c>
      <c r="C1806" t="s">
        <v>13649</v>
      </c>
      <c r="D1806" t="s">
        <v>118</v>
      </c>
      <c r="E1806" t="s">
        <v>13650</v>
      </c>
      <c r="F1806" s="5">
        <f t="shared" si="150"/>
        <v>3365000</v>
      </c>
      <c r="G1806" s="5">
        <v>3365000</v>
      </c>
      <c r="H1806" s="4">
        <v>2708000</v>
      </c>
      <c r="I1806" s="2">
        <f t="shared" si="151"/>
        <v>0.80475482912332841</v>
      </c>
      <c r="J1806" s="4">
        <v>2800000</v>
      </c>
      <c r="K1806" s="2">
        <f t="shared" si="152"/>
        <v>0.83209509658246661</v>
      </c>
      <c r="L1806" t="s">
        <v>2598</v>
      </c>
      <c r="M1806" t="s">
        <v>31</v>
      </c>
      <c r="N1806" t="b">
        <f t="shared" si="153"/>
        <v>0</v>
      </c>
    </row>
    <row r="1807" spans="1:14" x14ac:dyDescent="0.15">
      <c r="A1807" t="s">
        <v>13608</v>
      </c>
      <c r="B1807" t="s">
        <v>13611</v>
      </c>
      <c r="C1807" t="s">
        <v>13651</v>
      </c>
      <c r="D1807" t="s">
        <v>118</v>
      </c>
      <c r="E1807" t="s">
        <v>13652</v>
      </c>
      <c r="F1807" s="5">
        <f t="shared" si="150"/>
        <v>6900000</v>
      </c>
      <c r="G1807" s="5">
        <v>6900000</v>
      </c>
      <c r="H1807" s="4">
        <v>4924000</v>
      </c>
      <c r="I1807" s="2">
        <f t="shared" si="151"/>
        <v>0.71362318840579708</v>
      </c>
      <c r="J1807" s="4">
        <v>5000000</v>
      </c>
      <c r="K1807" s="2">
        <f t="shared" si="152"/>
        <v>0.72463768115942029</v>
      </c>
      <c r="L1807" t="s">
        <v>64</v>
      </c>
      <c r="M1807" t="s">
        <v>41</v>
      </c>
      <c r="N1807" t="b">
        <f t="shared" si="153"/>
        <v>0</v>
      </c>
    </row>
    <row r="1808" spans="1:14" x14ac:dyDescent="0.15">
      <c r="A1808" t="s">
        <v>13608</v>
      </c>
      <c r="B1808" t="s">
        <v>13611</v>
      </c>
      <c r="C1808" t="s">
        <v>13653</v>
      </c>
      <c r="D1808" t="s">
        <v>118</v>
      </c>
      <c r="E1808" t="s">
        <v>13654</v>
      </c>
      <c r="F1808" s="5">
        <f t="shared" si="150"/>
        <v>10842000</v>
      </c>
      <c r="G1808" s="5">
        <v>10842000</v>
      </c>
      <c r="H1808" s="4">
        <v>7759000</v>
      </c>
      <c r="I1808" s="2">
        <f t="shared" si="151"/>
        <v>0.71564287031912932</v>
      </c>
      <c r="J1808" s="4">
        <v>7855000</v>
      </c>
      <c r="K1808" s="2">
        <f t="shared" si="152"/>
        <v>0.7244973252167497</v>
      </c>
      <c r="L1808" t="s">
        <v>13655</v>
      </c>
      <c r="M1808" t="s">
        <v>126</v>
      </c>
      <c r="N1808" t="b">
        <f t="shared" si="153"/>
        <v>0</v>
      </c>
    </row>
    <row r="1809" spans="1:14" x14ac:dyDescent="0.15">
      <c r="A1809" t="s">
        <v>13608</v>
      </c>
      <c r="B1809" t="s">
        <v>13611</v>
      </c>
      <c r="C1809" t="s">
        <v>13656</v>
      </c>
      <c r="D1809" t="s">
        <v>118</v>
      </c>
      <c r="E1809" t="s">
        <v>13657</v>
      </c>
      <c r="F1809" s="5">
        <f t="shared" si="150"/>
        <v>26272000</v>
      </c>
      <c r="G1809" s="5">
        <v>26272000</v>
      </c>
      <c r="H1809" s="4">
        <v>19976000</v>
      </c>
      <c r="I1809" s="2">
        <f t="shared" si="151"/>
        <v>0.760353227771011</v>
      </c>
      <c r="J1809" s="4">
        <v>21392000</v>
      </c>
      <c r="K1809" s="2">
        <f t="shared" si="152"/>
        <v>0.81425091352009749</v>
      </c>
      <c r="L1809" t="s">
        <v>1045</v>
      </c>
      <c r="M1809" t="s">
        <v>192</v>
      </c>
      <c r="N1809" t="b">
        <f t="shared" si="153"/>
        <v>0</v>
      </c>
    </row>
    <row r="1810" spans="1:14" x14ac:dyDescent="0.15">
      <c r="A1810" t="s">
        <v>13608</v>
      </c>
      <c r="B1810" t="s">
        <v>13611</v>
      </c>
      <c r="C1810" t="s">
        <v>13658</v>
      </c>
      <c r="D1810" t="s">
        <v>118</v>
      </c>
      <c r="E1810" t="s">
        <v>13659</v>
      </c>
      <c r="F1810" s="5">
        <f t="shared" si="150"/>
        <v>12082000</v>
      </c>
      <c r="G1810" s="5">
        <v>12082000</v>
      </c>
      <c r="H1810" s="4">
        <v>10290000</v>
      </c>
      <c r="I1810" s="2">
        <f t="shared" si="151"/>
        <v>0.8516801853997682</v>
      </c>
      <c r="J1810" s="4">
        <v>10500000</v>
      </c>
      <c r="K1810" s="2">
        <f t="shared" si="152"/>
        <v>0.86906141367323286</v>
      </c>
      <c r="L1810" t="s">
        <v>1045</v>
      </c>
      <c r="M1810" t="s">
        <v>432</v>
      </c>
      <c r="N1810" t="b">
        <f t="shared" si="153"/>
        <v>0</v>
      </c>
    </row>
    <row r="1811" spans="1:14" x14ac:dyDescent="0.15">
      <c r="A1811" t="s">
        <v>13608</v>
      </c>
      <c r="B1811" t="s">
        <v>13611</v>
      </c>
      <c r="C1811" t="s">
        <v>13660</v>
      </c>
      <c r="D1811" t="s">
        <v>118</v>
      </c>
      <c r="E1811" t="s">
        <v>13661</v>
      </c>
      <c r="F1811" s="5">
        <f t="shared" si="150"/>
        <v>12202000</v>
      </c>
      <c r="G1811" s="5">
        <v>12202000</v>
      </c>
      <c r="H1811" s="4">
        <v>10170000</v>
      </c>
      <c r="I1811" s="2">
        <f t="shared" si="151"/>
        <v>0.83346992296344857</v>
      </c>
      <c r="J1811" s="4">
        <v>11300000</v>
      </c>
      <c r="K1811" s="2">
        <f t="shared" si="152"/>
        <v>0.92607769218160962</v>
      </c>
      <c r="L1811" t="s">
        <v>10194</v>
      </c>
      <c r="M1811" t="s">
        <v>21</v>
      </c>
      <c r="N1811" t="b">
        <f t="shared" si="153"/>
        <v>0</v>
      </c>
    </row>
    <row r="1812" spans="1:14" x14ac:dyDescent="0.15">
      <c r="A1812" t="s">
        <v>13608</v>
      </c>
      <c r="B1812" t="s">
        <v>13611</v>
      </c>
      <c r="C1812" t="s">
        <v>13662</v>
      </c>
      <c r="D1812" t="s">
        <v>118</v>
      </c>
      <c r="E1812" t="s">
        <v>13663</v>
      </c>
      <c r="F1812" s="5">
        <f t="shared" si="150"/>
        <v>7563000</v>
      </c>
      <c r="G1812" s="5">
        <v>7563000</v>
      </c>
      <c r="H1812" s="4">
        <v>4878000</v>
      </c>
      <c r="I1812" s="2">
        <f t="shared" si="151"/>
        <v>0.64498214994049985</v>
      </c>
      <c r="J1812" s="4">
        <v>4960000</v>
      </c>
      <c r="K1812" s="2">
        <f t="shared" si="152"/>
        <v>0.65582440830358324</v>
      </c>
      <c r="L1812" t="s">
        <v>64</v>
      </c>
      <c r="M1812" t="s">
        <v>773</v>
      </c>
      <c r="N1812" t="b">
        <f t="shared" si="153"/>
        <v>0</v>
      </c>
    </row>
    <row r="1813" spans="1:14" x14ac:dyDescent="0.15">
      <c r="A1813" t="s">
        <v>13608</v>
      </c>
      <c r="B1813" t="s">
        <v>13611</v>
      </c>
      <c r="C1813" t="s">
        <v>11560</v>
      </c>
      <c r="D1813" t="s">
        <v>118</v>
      </c>
      <c r="E1813" t="s">
        <v>13664</v>
      </c>
      <c r="F1813" s="5">
        <f t="shared" si="150"/>
        <v>5078000</v>
      </c>
      <c r="G1813" s="5">
        <v>5078000</v>
      </c>
      <c r="H1813" s="4">
        <v>3515000</v>
      </c>
      <c r="I1813" s="2">
        <f t="shared" si="151"/>
        <v>0.69220165419456481</v>
      </c>
      <c r="J1813" s="4">
        <v>3900000</v>
      </c>
      <c r="K1813" s="2">
        <f t="shared" si="152"/>
        <v>0.76801890508074044</v>
      </c>
      <c r="L1813" t="s">
        <v>5205</v>
      </c>
      <c r="M1813" t="s">
        <v>174</v>
      </c>
      <c r="N1813" t="b">
        <f t="shared" si="153"/>
        <v>0</v>
      </c>
    </row>
    <row r="1814" spans="1:14" x14ac:dyDescent="0.15">
      <c r="A1814" t="s">
        <v>13608</v>
      </c>
      <c r="B1814" t="s">
        <v>13611</v>
      </c>
      <c r="C1814" t="s">
        <v>13660</v>
      </c>
      <c r="D1814" t="s">
        <v>118</v>
      </c>
      <c r="E1814" t="s">
        <v>13665</v>
      </c>
      <c r="M1814" t="s">
        <v>432</v>
      </c>
      <c r="N1814" t="b">
        <f t="shared" si="153"/>
        <v>0</v>
      </c>
    </row>
    <row r="1815" spans="1:14" x14ac:dyDescent="0.15">
      <c r="A1815" t="s">
        <v>13608</v>
      </c>
      <c r="B1815" t="s">
        <v>13611</v>
      </c>
      <c r="C1815" t="s">
        <v>13666</v>
      </c>
      <c r="D1815" t="s">
        <v>118</v>
      </c>
      <c r="E1815" t="s">
        <v>13667</v>
      </c>
      <c r="F1815" s="5">
        <f t="shared" si="150"/>
        <v>10150000</v>
      </c>
      <c r="G1815" s="5">
        <v>10150000</v>
      </c>
      <c r="H1815" s="4">
        <v>6854000</v>
      </c>
      <c r="I1815" s="2">
        <f t="shared" si="151"/>
        <v>0.67527093596059118</v>
      </c>
      <c r="J1815" s="4">
        <v>8000000</v>
      </c>
      <c r="K1815" s="2">
        <f t="shared" si="152"/>
        <v>0.78817733990147787</v>
      </c>
      <c r="L1815" t="s">
        <v>239</v>
      </c>
      <c r="M1815" t="s">
        <v>1015</v>
      </c>
      <c r="N1815" t="b">
        <f t="shared" si="153"/>
        <v>0</v>
      </c>
    </row>
    <row r="1816" spans="1:14" x14ac:dyDescent="0.15">
      <c r="A1816" t="s">
        <v>13608</v>
      </c>
      <c r="B1816" t="s">
        <v>13611</v>
      </c>
      <c r="C1816" t="s">
        <v>13668</v>
      </c>
      <c r="D1816" t="s">
        <v>118</v>
      </c>
      <c r="E1816" t="s">
        <v>13669</v>
      </c>
      <c r="F1816" s="5">
        <f t="shared" si="150"/>
        <v>1794000</v>
      </c>
      <c r="G1816" s="5">
        <v>1794000</v>
      </c>
      <c r="H1816" s="4">
        <v>1408000</v>
      </c>
      <c r="I1816" s="2">
        <f t="shared" si="151"/>
        <v>0.78483835005574132</v>
      </c>
      <c r="J1816" s="4">
        <v>1500000</v>
      </c>
      <c r="K1816" s="2">
        <f t="shared" si="152"/>
        <v>0.83612040133779264</v>
      </c>
      <c r="L1816" t="s">
        <v>574</v>
      </c>
      <c r="M1816" t="s">
        <v>1015</v>
      </c>
      <c r="N1816" t="b">
        <f t="shared" si="153"/>
        <v>0</v>
      </c>
    </row>
    <row r="1817" spans="1:14" x14ac:dyDescent="0.15">
      <c r="A1817" t="s">
        <v>13608</v>
      </c>
      <c r="B1817" t="s">
        <v>13611</v>
      </c>
      <c r="C1817" t="s">
        <v>13670</v>
      </c>
      <c r="D1817" t="s">
        <v>118</v>
      </c>
      <c r="E1817" t="s">
        <v>13671</v>
      </c>
      <c r="F1817" s="5">
        <f t="shared" si="150"/>
        <v>8058000</v>
      </c>
      <c r="G1817" s="5">
        <v>8058000</v>
      </c>
      <c r="H1817" s="4">
        <v>5016000</v>
      </c>
      <c r="I1817" s="2">
        <f t="shared" si="151"/>
        <v>0.62248696947133286</v>
      </c>
      <c r="J1817" s="4">
        <v>5103000</v>
      </c>
      <c r="K1817" s="2">
        <f t="shared" si="152"/>
        <v>0.63328369322412514</v>
      </c>
      <c r="L1817" t="s">
        <v>10639</v>
      </c>
      <c r="M1817" t="s">
        <v>290</v>
      </c>
      <c r="N1817" t="b">
        <f t="shared" si="153"/>
        <v>0</v>
      </c>
    </row>
    <row r="1818" spans="1:14" x14ac:dyDescent="0.15">
      <c r="A1818" t="s">
        <v>13608</v>
      </c>
      <c r="B1818" t="s">
        <v>13611</v>
      </c>
      <c r="C1818" t="s">
        <v>13672</v>
      </c>
      <c r="D1818" t="s">
        <v>118</v>
      </c>
      <c r="E1818" t="s">
        <v>13673</v>
      </c>
      <c r="F1818" s="5">
        <f t="shared" si="150"/>
        <v>10416000</v>
      </c>
      <c r="G1818" s="5">
        <v>10416000</v>
      </c>
      <c r="H1818" s="4">
        <v>6947000</v>
      </c>
      <c r="I1818" s="2">
        <f t="shared" si="151"/>
        <v>0.66695468509984634</v>
      </c>
      <c r="J1818" s="4">
        <v>6977000</v>
      </c>
      <c r="K1818" s="2">
        <f t="shared" si="152"/>
        <v>0.66983486943164361</v>
      </c>
      <c r="L1818" t="s">
        <v>4557</v>
      </c>
      <c r="M1818" t="s">
        <v>2486</v>
      </c>
      <c r="N1818" t="b">
        <f t="shared" si="153"/>
        <v>0</v>
      </c>
    </row>
    <row r="1819" spans="1:14" x14ac:dyDescent="0.15">
      <c r="A1819" t="s">
        <v>13608</v>
      </c>
      <c r="B1819" t="s">
        <v>13611</v>
      </c>
      <c r="C1819" t="s">
        <v>13674</v>
      </c>
      <c r="D1819" t="s">
        <v>118</v>
      </c>
      <c r="E1819" t="s">
        <v>13675</v>
      </c>
      <c r="F1819" s="5">
        <f t="shared" si="150"/>
        <v>1711000</v>
      </c>
      <c r="G1819" s="5">
        <v>1711000</v>
      </c>
      <c r="H1819" s="4">
        <v>1395000</v>
      </c>
      <c r="I1819" s="2">
        <f t="shared" si="151"/>
        <v>0.81531268264172996</v>
      </c>
      <c r="J1819" s="4">
        <v>1550000</v>
      </c>
      <c r="K1819" s="2">
        <f t="shared" si="152"/>
        <v>0.90590298071303332</v>
      </c>
      <c r="L1819" t="s">
        <v>980</v>
      </c>
      <c r="M1819" t="s">
        <v>432</v>
      </c>
      <c r="N1819" t="b">
        <f t="shared" si="153"/>
        <v>0</v>
      </c>
    </row>
    <row r="1820" spans="1:14" x14ac:dyDescent="0.15">
      <c r="A1820" t="s">
        <v>13676</v>
      </c>
      <c r="B1820" t="s">
        <v>13679</v>
      </c>
      <c r="C1820" t="s">
        <v>13677</v>
      </c>
      <c r="D1820" t="s">
        <v>23</v>
      </c>
      <c r="E1820" t="s">
        <v>13678</v>
      </c>
      <c r="F1820" s="5">
        <v>16495000</v>
      </c>
      <c r="G1820" s="5">
        <v>16495000</v>
      </c>
      <c r="H1820" s="4">
        <v>12371250</v>
      </c>
      <c r="I1820" s="2">
        <f t="shared" si="151"/>
        <v>0.75</v>
      </c>
      <c r="J1820" s="4">
        <v>16000000</v>
      </c>
      <c r="K1820" s="2">
        <f t="shared" si="152"/>
        <v>0.96999090633525309</v>
      </c>
      <c r="L1820" t="s">
        <v>1104</v>
      </c>
      <c r="M1820" t="s">
        <v>174</v>
      </c>
      <c r="N1820" t="b">
        <f t="shared" si="153"/>
        <v>0</v>
      </c>
    </row>
    <row r="1821" spans="1:14" x14ac:dyDescent="0.15">
      <c r="A1821" t="s">
        <v>13676</v>
      </c>
      <c r="B1821" t="s">
        <v>13679</v>
      </c>
      <c r="C1821" t="s">
        <v>13680</v>
      </c>
      <c r="D1821" t="s">
        <v>23</v>
      </c>
      <c r="E1821" t="s">
        <v>13681</v>
      </c>
      <c r="F1821" s="5">
        <v>17885000</v>
      </c>
      <c r="G1821" s="5">
        <v>17885000</v>
      </c>
      <c r="H1821" t="s">
        <v>145</v>
      </c>
      <c r="I1821" s="2" t="e">
        <f t="shared" si="151"/>
        <v>#VALUE!</v>
      </c>
      <c r="J1821" s="4">
        <v>16700000</v>
      </c>
      <c r="K1821" s="2">
        <f t="shared" si="152"/>
        <v>0.93374336035784178</v>
      </c>
      <c r="L1821" t="s">
        <v>1541</v>
      </c>
      <c r="M1821" t="s">
        <v>174</v>
      </c>
      <c r="N1821" t="b">
        <f t="shared" si="153"/>
        <v>0</v>
      </c>
    </row>
    <row r="1822" spans="1:14" x14ac:dyDescent="0.15">
      <c r="A1822" t="s">
        <v>13676</v>
      </c>
      <c r="B1822" t="s">
        <v>13679</v>
      </c>
      <c r="C1822" t="s">
        <v>13682</v>
      </c>
      <c r="D1822" t="s">
        <v>23</v>
      </c>
      <c r="E1822" t="s">
        <v>13683</v>
      </c>
      <c r="F1822" s="5">
        <v>25522000</v>
      </c>
      <c r="G1822" s="5">
        <v>25522000</v>
      </c>
      <c r="H1822" t="s">
        <v>145</v>
      </c>
      <c r="I1822" s="2" t="e">
        <f t="shared" si="151"/>
        <v>#VALUE!</v>
      </c>
      <c r="J1822" s="4">
        <v>19141500</v>
      </c>
      <c r="K1822" s="2">
        <f t="shared" si="152"/>
        <v>0.75</v>
      </c>
      <c r="L1822" t="s">
        <v>1078</v>
      </c>
      <c r="M1822" t="s">
        <v>174</v>
      </c>
      <c r="N1822" t="b">
        <f t="shared" si="153"/>
        <v>0</v>
      </c>
    </row>
    <row r="1823" spans="1:14" x14ac:dyDescent="0.15">
      <c r="A1823" t="s">
        <v>13676</v>
      </c>
      <c r="B1823" t="s">
        <v>13679</v>
      </c>
      <c r="C1823" t="s">
        <v>13684</v>
      </c>
      <c r="D1823" t="s">
        <v>23</v>
      </c>
      <c r="E1823" t="s">
        <v>13685</v>
      </c>
      <c r="F1823" s="5">
        <v>3090000</v>
      </c>
      <c r="G1823" s="5">
        <v>3090000</v>
      </c>
      <c r="H1823" s="4">
        <v>2317500</v>
      </c>
      <c r="I1823" s="2">
        <f t="shared" si="151"/>
        <v>0.75</v>
      </c>
      <c r="J1823" s="4">
        <v>2950000</v>
      </c>
      <c r="K1823" s="2">
        <f t="shared" si="152"/>
        <v>0.95469255663430419</v>
      </c>
      <c r="L1823" t="s">
        <v>2674</v>
      </c>
      <c r="M1823" t="s">
        <v>165</v>
      </c>
      <c r="N1823" t="b">
        <f t="shared" si="153"/>
        <v>0</v>
      </c>
    </row>
    <row r="1824" spans="1:14" x14ac:dyDescent="0.15">
      <c r="A1824" t="s">
        <v>13676</v>
      </c>
      <c r="B1824" t="s">
        <v>13679</v>
      </c>
      <c r="C1824" t="s">
        <v>13686</v>
      </c>
      <c r="D1824" t="s">
        <v>23</v>
      </c>
      <c r="E1824" t="s">
        <v>13687</v>
      </c>
      <c r="F1824" s="5">
        <v>14616000</v>
      </c>
      <c r="G1824" s="5">
        <v>14616000</v>
      </c>
      <c r="H1824" s="4">
        <v>10962000</v>
      </c>
      <c r="I1824" s="2">
        <f t="shared" si="151"/>
        <v>0.75</v>
      </c>
      <c r="J1824" s="4">
        <v>10962000</v>
      </c>
      <c r="K1824" s="2">
        <f t="shared" si="152"/>
        <v>0.75</v>
      </c>
      <c r="L1824" t="s">
        <v>2037</v>
      </c>
      <c r="M1824" t="s">
        <v>165</v>
      </c>
      <c r="N1824" t="b">
        <f t="shared" si="153"/>
        <v>0</v>
      </c>
    </row>
    <row r="1825" spans="1:14" x14ac:dyDescent="0.15">
      <c r="A1825" t="s">
        <v>13676</v>
      </c>
      <c r="B1825" t="s">
        <v>13679</v>
      </c>
      <c r="C1825" t="s">
        <v>13688</v>
      </c>
      <c r="D1825" t="s">
        <v>23</v>
      </c>
      <c r="E1825" t="s">
        <v>13689</v>
      </c>
      <c r="F1825" s="5">
        <v>9790000</v>
      </c>
      <c r="G1825" s="5">
        <v>9790000</v>
      </c>
      <c r="H1825" s="4">
        <v>7342500</v>
      </c>
      <c r="I1825" s="2">
        <f t="shared" si="151"/>
        <v>0.75</v>
      </c>
      <c r="J1825" s="4">
        <v>9300000</v>
      </c>
      <c r="K1825" s="2">
        <f t="shared" si="152"/>
        <v>0.94994892747701731</v>
      </c>
      <c r="L1825" t="s">
        <v>1541</v>
      </c>
      <c r="M1825" t="s">
        <v>165</v>
      </c>
      <c r="N1825" t="b">
        <f t="shared" si="153"/>
        <v>0</v>
      </c>
    </row>
    <row r="1826" spans="1:14" x14ac:dyDescent="0.15">
      <c r="A1826" t="s">
        <v>13676</v>
      </c>
      <c r="B1826" t="s">
        <v>13679</v>
      </c>
      <c r="C1826" t="s">
        <v>13690</v>
      </c>
      <c r="D1826" t="s">
        <v>23</v>
      </c>
      <c r="E1826" t="s">
        <v>13691</v>
      </c>
      <c r="F1826" s="5">
        <v>2081000</v>
      </c>
      <c r="G1826" s="5">
        <v>2081000</v>
      </c>
      <c r="H1826" s="4">
        <v>1560750</v>
      </c>
      <c r="I1826" s="2">
        <f t="shared" si="151"/>
        <v>0.75</v>
      </c>
      <c r="J1826" s="4">
        <v>2081000</v>
      </c>
      <c r="K1826" s="2">
        <f t="shared" si="152"/>
        <v>1</v>
      </c>
      <c r="L1826" t="s">
        <v>2499</v>
      </c>
      <c r="M1826" t="s">
        <v>126</v>
      </c>
      <c r="N1826" t="b">
        <f t="shared" si="153"/>
        <v>0</v>
      </c>
    </row>
    <row r="1827" spans="1:14" x14ac:dyDescent="0.15">
      <c r="A1827" t="s">
        <v>13676</v>
      </c>
      <c r="B1827" t="s">
        <v>13679</v>
      </c>
      <c r="C1827" t="s">
        <v>13692</v>
      </c>
      <c r="D1827" t="s">
        <v>23</v>
      </c>
      <c r="E1827" t="s">
        <v>3917</v>
      </c>
      <c r="F1827" s="5">
        <v>3150000</v>
      </c>
      <c r="G1827" s="5">
        <v>3150000</v>
      </c>
      <c r="H1827" s="4">
        <v>2362500</v>
      </c>
      <c r="I1827" s="2">
        <f t="shared" si="151"/>
        <v>0.75</v>
      </c>
      <c r="J1827" s="4">
        <v>2362500</v>
      </c>
      <c r="K1827" s="2">
        <f t="shared" si="152"/>
        <v>0.75</v>
      </c>
      <c r="L1827" t="s">
        <v>1030</v>
      </c>
      <c r="M1827" t="s">
        <v>165</v>
      </c>
      <c r="N1827" t="b">
        <f t="shared" si="153"/>
        <v>0</v>
      </c>
    </row>
    <row r="1828" spans="1:14" x14ac:dyDescent="0.15">
      <c r="A1828" t="s">
        <v>13676</v>
      </c>
      <c r="B1828" t="s">
        <v>13695</v>
      </c>
      <c r="C1828" t="s">
        <v>13693</v>
      </c>
      <c r="D1828" t="s">
        <v>23</v>
      </c>
      <c r="E1828" t="s">
        <v>13694</v>
      </c>
      <c r="F1828" s="5">
        <v>16650000</v>
      </c>
      <c r="G1828" s="5">
        <v>16650000</v>
      </c>
      <c r="H1828" s="4">
        <v>12487500</v>
      </c>
      <c r="I1828" s="2">
        <f t="shared" si="151"/>
        <v>0.75</v>
      </c>
      <c r="J1828" s="4">
        <v>14200000</v>
      </c>
      <c r="K1828" s="2">
        <f t="shared" si="152"/>
        <v>0.85285285285285284</v>
      </c>
      <c r="L1828" t="s">
        <v>12016</v>
      </c>
      <c r="M1828" t="s">
        <v>432</v>
      </c>
      <c r="N1828" t="b">
        <f t="shared" si="153"/>
        <v>0</v>
      </c>
    </row>
    <row r="1829" spans="1:14" x14ac:dyDescent="0.15">
      <c r="A1829" t="s">
        <v>13676</v>
      </c>
      <c r="B1829" t="s">
        <v>13679</v>
      </c>
      <c r="C1829" t="s">
        <v>13696</v>
      </c>
      <c r="D1829" t="s">
        <v>23</v>
      </c>
      <c r="E1829" t="s">
        <v>12604</v>
      </c>
      <c r="F1829" s="5">
        <v>8686364</v>
      </c>
      <c r="G1829" s="5">
        <v>8686364</v>
      </c>
      <c r="H1829" s="4">
        <v>6514773</v>
      </c>
      <c r="I1829" s="2">
        <f t="shared" si="151"/>
        <v>0.75</v>
      </c>
      <c r="J1829" s="4">
        <v>6514773</v>
      </c>
      <c r="K1829" s="2">
        <f t="shared" si="152"/>
        <v>0.75</v>
      </c>
      <c r="L1829" t="s">
        <v>207</v>
      </c>
      <c r="M1829" t="s">
        <v>174</v>
      </c>
      <c r="N1829" t="b">
        <f t="shared" si="153"/>
        <v>0</v>
      </c>
    </row>
    <row r="1830" spans="1:14" x14ac:dyDescent="0.15">
      <c r="A1830" t="s">
        <v>13676</v>
      </c>
      <c r="B1830" t="s">
        <v>13679</v>
      </c>
      <c r="C1830" t="s">
        <v>13697</v>
      </c>
      <c r="D1830" t="s">
        <v>23</v>
      </c>
      <c r="E1830" t="s">
        <v>13698</v>
      </c>
      <c r="F1830" s="5">
        <v>4915000</v>
      </c>
      <c r="G1830" s="5">
        <v>4915000</v>
      </c>
      <c r="H1830" s="4">
        <v>3686250</v>
      </c>
      <c r="I1830" s="2">
        <f t="shared" si="151"/>
        <v>0.75</v>
      </c>
      <c r="J1830" s="4">
        <v>4150000</v>
      </c>
      <c r="K1830" s="2">
        <f t="shared" si="152"/>
        <v>0.84435401831129198</v>
      </c>
      <c r="L1830" t="s">
        <v>5186</v>
      </c>
      <c r="M1830" t="s">
        <v>165</v>
      </c>
      <c r="N1830" t="b">
        <f t="shared" si="153"/>
        <v>0</v>
      </c>
    </row>
    <row r="1831" spans="1:14" x14ac:dyDescent="0.15">
      <c r="A1831" t="s">
        <v>13676</v>
      </c>
      <c r="B1831" t="s">
        <v>13679</v>
      </c>
      <c r="C1831" t="s">
        <v>13699</v>
      </c>
      <c r="D1831" t="s">
        <v>23</v>
      </c>
      <c r="E1831" t="s">
        <v>4590</v>
      </c>
      <c r="F1831" s="5">
        <v>7720000</v>
      </c>
      <c r="G1831" s="5">
        <v>7720000</v>
      </c>
      <c r="H1831" s="4">
        <v>5790000</v>
      </c>
      <c r="I1831" s="2">
        <f t="shared" si="151"/>
        <v>0.75</v>
      </c>
      <c r="J1831" s="4">
        <v>5790000</v>
      </c>
      <c r="K1831" s="2">
        <f t="shared" si="152"/>
        <v>0.75</v>
      </c>
      <c r="L1831" t="s">
        <v>215</v>
      </c>
      <c r="M1831" t="s">
        <v>165</v>
      </c>
      <c r="N1831" t="b">
        <f t="shared" si="153"/>
        <v>0</v>
      </c>
    </row>
    <row r="1832" spans="1:14" x14ac:dyDescent="0.15">
      <c r="A1832" t="s">
        <v>13676</v>
      </c>
      <c r="B1832" t="s">
        <v>13679</v>
      </c>
      <c r="C1832" t="s">
        <v>13700</v>
      </c>
      <c r="D1832" t="s">
        <v>23</v>
      </c>
      <c r="E1832" t="s">
        <v>13701</v>
      </c>
      <c r="F1832" s="5">
        <v>3130000</v>
      </c>
      <c r="G1832" s="5">
        <v>3130000</v>
      </c>
      <c r="H1832" s="4">
        <v>2347500</v>
      </c>
      <c r="I1832" s="2">
        <f t="shared" si="151"/>
        <v>0.75</v>
      </c>
      <c r="J1832" s="4">
        <v>2347500</v>
      </c>
      <c r="K1832" s="2">
        <f t="shared" si="152"/>
        <v>0.75</v>
      </c>
      <c r="L1832" t="s">
        <v>13384</v>
      </c>
      <c r="M1832" t="s">
        <v>165</v>
      </c>
      <c r="N1832" t="b">
        <f t="shared" si="153"/>
        <v>0</v>
      </c>
    </row>
    <row r="1833" spans="1:14" x14ac:dyDescent="0.15">
      <c r="A1833" t="s">
        <v>13676</v>
      </c>
      <c r="B1833" t="s">
        <v>13679</v>
      </c>
      <c r="C1833" t="s">
        <v>13702</v>
      </c>
      <c r="D1833" t="s">
        <v>23</v>
      </c>
      <c r="E1833" t="s">
        <v>4863</v>
      </c>
      <c r="F1833" s="5">
        <v>11140000</v>
      </c>
      <c r="G1833" s="5">
        <v>11140000</v>
      </c>
      <c r="H1833" s="4">
        <v>8355000</v>
      </c>
      <c r="I1833" s="2">
        <f t="shared" si="151"/>
        <v>0.75</v>
      </c>
      <c r="J1833" s="4">
        <v>8355000</v>
      </c>
      <c r="K1833" s="2">
        <f t="shared" si="152"/>
        <v>0.75</v>
      </c>
      <c r="L1833" t="s">
        <v>231</v>
      </c>
      <c r="M1833" t="s">
        <v>165</v>
      </c>
      <c r="N1833" t="b">
        <f t="shared" si="153"/>
        <v>0</v>
      </c>
    </row>
    <row r="1834" spans="1:14" x14ac:dyDescent="0.15">
      <c r="A1834" t="s">
        <v>13676</v>
      </c>
      <c r="B1834" t="s">
        <v>13679</v>
      </c>
      <c r="C1834" t="s">
        <v>13703</v>
      </c>
      <c r="D1834" t="s">
        <v>23</v>
      </c>
      <c r="E1834" t="s">
        <v>13704</v>
      </c>
      <c r="F1834" s="5">
        <v>32068000</v>
      </c>
      <c r="G1834" s="5">
        <v>32068000</v>
      </c>
      <c r="H1834" s="4">
        <v>24051000</v>
      </c>
      <c r="I1834" s="2">
        <f t="shared" si="151"/>
        <v>0.75</v>
      </c>
      <c r="J1834" s="4">
        <v>24051000</v>
      </c>
      <c r="K1834" s="2">
        <f t="shared" si="152"/>
        <v>0.75</v>
      </c>
      <c r="L1834" t="s">
        <v>1078</v>
      </c>
      <c r="M1834" t="s">
        <v>192</v>
      </c>
      <c r="N1834" t="b">
        <f t="shared" si="153"/>
        <v>0</v>
      </c>
    </row>
    <row r="1835" spans="1:14" x14ac:dyDescent="0.15">
      <c r="A1835" t="s">
        <v>13676</v>
      </c>
      <c r="B1835" t="s">
        <v>13679</v>
      </c>
      <c r="C1835" t="s">
        <v>13705</v>
      </c>
      <c r="D1835" t="s">
        <v>23</v>
      </c>
      <c r="E1835" t="s">
        <v>13706</v>
      </c>
      <c r="F1835" s="5">
        <v>9556000</v>
      </c>
      <c r="G1835" s="5">
        <v>9556000</v>
      </c>
      <c r="H1835" s="4">
        <v>7167000</v>
      </c>
      <c r="I1835" s="2">
        <f t="shared" si="151"/>
        <v>0.75</v>
      </c>
      <c r="J1835" s="4">
        <v>7950000</v>
      </c>
      <c r="K1835" s="2">
        <f t="shared" si="152"/>
        <v>0.83193804939305149</v>
      </c>
      <c r="L1835" t="s">
        <v>11906</v>
      </c>
      <c r="M1835" t="s">
        <v>165</v>
      </c>
      <c r="N1835" t="b">
        <f t="shared" si="153"/>
        <v>0</v>
      </c>
    </row>
    <row r="1836" spans="1:14" x14ac:dyDescent="0.15">
      <c r="A1836" t="s">
        <v>13676</v>
      </c>
      <c r="B1836" t="s">
        <v>13679</v>
      </c>
      <c r="C1836" t="s">
        <v>13707</v>
      </c>
      <c r="D1836" t="s">
        <v>23</v>
      </c>
      <c r="E1836" t="s">
        <v>13708</v>
      </c>
      <c r="F1836" s="5">
        <v>35288000</v>
      </c>
      <c r="G1836" s="5">
        <v>35288000</v>
      </c>
      <c r="H1836" s="4">
        <v>26466000</v>
      </c>
      <c r="I1836" s="2">
        <f t="shared" si="151"/>
        <v>0.75</v>
      </c>
      <c r="J1836" s="4">
        <v>28500000</v>
      </c>
      <c r="K1836" s="2">
        <f t="shared" si="152"/>
        <v>0.80763999093176153</v>
      </c>
      <c r="L1836" t="s">
        <v>2037</v>
      </c>
      <c r="M1836" t="s">
        <v>192</v>
      </c>
      <c r="N1836" t="b">
        <f t="shared" si="153"/>
        <v>0</v>
      </c>
    </row>
    <row r="1837" spans="1:14" x14ac:dyDescent="0.15">
      <c r="A1837" t="s">
        <v>13676</v>
      </c>
      <c r="B1837" t="s">
        <v>13695</v>
      </c>
      <c r="C1837" t="s">
        <v>13709</v>
      </c>
      <c r="D1837" t="s">
        <v>23</v>
      </c>
      <c r="E1837" t="s">
        <v>13710</v>
      </c>
      <c r="F1837" s="5">
        <v>1950000</v>
      </c>
      <c r="G1837" s="5">
        <v>1950000</v>
      </c>
      <c r="H1837" s="4">
        <v>1462500</v>
      </c>
      <c r="I1837" s="2">
        <f t="shared" si="151"/>
        <v>0.75</v>
      </c>
      <c r="J1837" s="4">
        <v>1850000</v>
      </c>
      <c r="K1837" s="2">
        <f t="shared" si="152"/>
        <v>0.94871794871794868</v>
      </c>
      <c r="L1837" t="s">
        <v>10326</v>
      </c>
      <c r="M1837" t="s">
        <v>1015</v>
      </c>
      <c r="N1837" t="b">
        <f t="shared" si="153"/>
        <v>0</v>
      </c>
    </row>
    <row r="1838" spans="1:14" x14ac:dyDescent="0.15">
      <c r="A1838" t="s">
        <v>13676</v>
      </c>
      <c r="B1838" t="s">
        <v>13679</v>
      </c>
      <c r="C1838" t="s">
        <v>13711</v>
      </c>
      <c r="D1838" t="s">
        <v>23</v>
      </c>
      <c r="E1838" t="s">
        <v>13712</v>
      </c>
      <c r="F1838" s="5">
        <v>7550000</v>
      </c>
      <c r="G1838" s="5">
        <v>7550000</v>
      </c>
      <c r="H1838" s="4">
        <v>5662500</v>
      </c>
      <c r="I1838" s="2">
        <f t="shared" si="151"/>
        <v>0.75</v>
      </c>
      <c r="J1838" s="4">
        <v>7000000</v>
      </c>
      <c r="K1838" s="2">
        <f t="shared" si="152"/>
        <v>0.92715231788079466</v>
      </c>
      <c r="L1838" t="s">
        <v>263</v>
      </c>
      <c r="M1838" t="s">
        <v>165</v>
      </c>
      <c r="N1838" t="b">
        <f t="shared" si="153"/>
        <v>0</v>
      </c>
    </row>
    <row r="1839" spans="1:14" x14ac:dyDescent="0.15">
      <c r="A1839" t="s">
        <v>13676</v>
      </c>
      <c r="B1839" t="s">
        <v>13679</v>
      </c>
      <c r="C1839" t="s">
        <v>13713</v>
      </c>
      <c r="D1839" t="s">
        <v>23</v>
      </c>
      <c r="E1839" t="s">
        <v>13714</v>
      </c>
      <c r="F1839" s="5">
        <v>14744000</v>
      </c>
      <c r="G1839" s="5">
        <v>14744000</v>
      </c>
      <c r="H1839" s="4">
        <v>11058000</v>
      </c>
      <c r="I1839" s="2">
        <f t="shared" si="151"/>
        <v>0.75</v>
      </c>
      <c r="J1839" s="4">
        <v>14000000</v>
      </c>
      <c r="K1839" s="2">
        <f t="shared" si="152"/>
        <v>0.94953879544221376</v>
      </c>
      <c r="L1839" t="s">
        <v>1541</v>
      </c>
      <c r="M1839" t="s">
        <v>165</v>
      </c>
      <c r="N1839" t="b">
        <f t="shared" si="153"/>
        <v>0</v>
      </c>
    </row>
    <row r="1840" spans="1:14" x14ac:dyDescent="0.15">
      <c r="A1840" t="s">
        <v>13676</v>
      </c>
      <c r="B1840" t="s">
        <v>13679</v>
      </c>
      <c r="C1840" t="s">
        <v>13715</v>
      </c>
      <c r="D1840" t="s">
        <v>23</v>
      </c>
      <c r="E1840" t="s">
        <v>13716</v>
      </c>
      <c r="F1840" s="5">
        <v>36770000</v>
      </c>
      <c r="G1840" s="5">
        <v>36770000</v>
      </c>
      <c r="H1840" s="4">
        <v>27577500</v>
      </c>
      <c r="I1840" s="2">
        <f t="shared" si="151"/>
        <v>0.75</v>
      </c>
      <c r="J1840" s="4">
        <v>33000000</v>
      </c>
      <c r="K1840" s="2">
        <f t="shared" si="152"/>
        <v>0.89747076420995375</v>
      </c>
      <c r="L1840" t="s">
        <v>1078</v>
      </c>
      <c r="M1840" t="s">
        <v>192</v>
      </c>
      <c r="N1840" t="b">
        <f t="shared" si="153"/>
        <v>0</v>
      </c>
    </row>
    <row r="1841" spans="1:14" x14ac:dyDescent="0.15">
      <c r="A1841" t="s">
        <v>13676</v>
      </c>
      <c r="B1841" t="s">
        <v>13679</v>
      </c>
      <c r="C1841" t="s">
        <v>13717</v>
      </c>
      <c r="D1841" t="s">
        <v>23</v>
      </c>
      <c r="E1841" t="s">
        <v>13718</v>
      </c>
      <c r="F1841" s="5">
        <v>8977000</v>
      </c>
      <c r="G1841" s="5">
        <v>8977000</v>
      </c>
      <c r="H1841" s="4">
        <v>6732750</v>
      </c>
      <c r="I1841" s="2">
        <f t="shared" si="151"/>
        <v>0.75</v>
      </c>
      <c r="J1841" s="4">
        <v>6732750</v>
      </c>
      <c r="K1841" s="2">
        <f t="shared" si="152"/>
        <v>0.75</v>
      </c>
      <c r="L1841" t="s">
        <v>13384</v>
      </c>
      <c r="M1841" t="s">
        <v>165</v>
      </c>
      <c r="N1841" t="b">
        <f t="shared" si="153"/>
        <v>0</v>
      </c>
    </row>
    <row r="1842" spans="1:14" x14ac:dyDescent="0.15">
      <c r="A1842" t="s">
        <v>13676</v>
      </c>
      <c r="B1842" t="s">
        <v>13695</v>
      </c>
      <c r="C1842" t="s">
        <v>13693</v>
      </c>
      <c r="D1842" t="s">
        <v>23</v>
      </c>
      <c r="E1842" t="s">
        <v>12656</v>
      </c>
      <c r="F1842" s="5">
        <v>6340000</v>
      </c>
      <c r="G1842" s="5">
        <v>6340000</v>
      </c>
      <c r="H1842" s="4">
        <v>4755000</v>
      </c>
      <c r="I1842" s="2">
        <f t="shared" si="151"/>
        <v>0.75</v>
      </c>
      <c r="J1842" s="4">
        <v>4755000</v>
      </c>
      <c r="K1842" s="2">
        <f t="shared" si="152"/>
        <v>0.75</v>
      </c>
      <c r="L1842" t="s">
        <v>12016</v>
      </c>
      <c r="M1842" t="s">
        <v>432</v>
      </c>
      <c r="N1842" t="b">
        <f t="shared" si="153"/>
        <v>0</v>
      </c>
    </row>
    <row r="1843" spans="1:14" x14ac:dyDescent="0.15">
      <c r="A1843" t="s">
        <v>13676</v>
      </c>
      <c r="B1843" t="s">
        <v>13679</v>
      </c>
      <c r="C1843" t="s">
        <v>13719</v>
      </c>
      <c r="D1843" t="s">
        <v>23</v>
      </c>
      <c r="E1843" t="s">
        <v>13720</v>
      </c>
      <c r="F1843" s="5">
        <v>3410000</v>
      </c>
      <c r="G1843" s="5">
        <v>3410000</v>
      </c>
      <c r="H1843" s="4">
        <v>2557500</v>
      </c>
      <c r="I1843" s="2">
        <f t="shared" si="151"/>
        <v>0.75</v>
      </c>
      <c r="J1843" s="4">
        <v>3000000</v>
      </c>
      <c r="K1843" s="2">
        <f t="shared" si="152"/>
        <v>0.87976539589442815</v>
      </c>
      <c r="L1843" t="s">
        <v>1078</v>
      </c>
      <c r="M1843" t="s">
        <v>165</v>
      </c>
      <c r="N1843" t="b">
        <f t="shared" si="153"/>
        <v>0</v>
      </c>
    </row>
    <row r="1844" spans="1:14" x14ac:dyDescent="0.15">
      <c r="A1844" t="s">
        <v>13676</v>
      </c>
      <c r="B1844" t="s">
        <v>13679</v>
      </c>
      <c r="C1844" t="s">
        <v>13680</v>
      </c>
      <c r="D1844" t="s">
        <v>23</v>
      </c>
      <c r="E1844" t="s">
        <v>13721</v>
      </c>
      <c r="F1844" s="5">
        <v>8838000</v>
      </c>
      <c r="G1844" s="5">
        <v>8838000</v>
      </c>
      <c r="H1844" s="4">
        <v>6628500</v>
      </c>
      <c r="I1844" s="2">
        <f t="shared" si="151"/>
        <v>0.75</v>
      </c>
      <c r="J1844" s="4">
        <v>8350000</v>
      </c>
      <c r="K1844" s="2">
        <f t="shared" si="152"/>
        <v>0.94478388775741118</v>
      </c>
      <c r="L1844" t="s">
        <v>2674</v>
      </c>
      <c r="M1844" t="s">
        <v>174</v>
      </c>
      <c r="N1844" t="b">
        <f t="shared" si="153"/>
        <v>0</v>
      </c>
    </row>
    <row r="1845" spans="1:14" x14ac:dyDescent="0.15">
      <c r="A1845" t="s">
        <v>13676</v>
      </c>
      <c r="B1845" t="s">
        <v>13679</v>
      </c>
      <c r="C1845" t="s">
        <v>13705</v>
      </c>
      <c r="D1845" t="s">
        <v>23</v>
      </c>
      <c r="E1845" t="s">
        <v>13722</v>
      </c>
      <c r="F1845" s="5">
        <v>8648000</v>
      </c>
      <c r="G1845" s="5">
        <v>8648000</v>
      </c>
      <c r="H1845" s="4">
        <v>6486000</v>
      </c>
      <c r="I1845" s="2">
        <f t="shared" si="151"/>
        <v>0.75</v>
      </c>
      <c r="J1845" s="4">
        <v>7780000</v>
      </c>
      <c r="K1845" s="2">
        <f t="shared" si="152"/>
        <v>0.89962997224791863</v>
      </c>
      <c r="L1845" t="s">
        <v>633</v>
      </c>
      <c r="M1845" t="s">
        <v>174</v>
      </c>
      <c r="N1845" t="b">
        <f t="shared" si="153"/>
        <v>0</v>
      </c>
    </row>
    <row r="1846" spans="1:14" x14ac:dyDescent="0.15">
      <c r="A1846" t="s">
        <v>13676</v>
      </c>
      <c r="B1846" t="s">
        <v>13695</v>
      </c>
      <c r="C1846" t="s">
        <v>13723</v>
      </c>
      <c r="D1846" t="s">
        <v>23</v>
      </c>
      <c r="E1846" t="s">
        <v>13724</v>
      </c>
      <c r="F1846" s="5">
        <v>3020000</v>
      </c>
      <c r="G1846" s="5">
        <v>3020000</v>
      </c>
      <c r="H1846" s="4">
        <v>2265000</v>
      </c>
      <c r="I1846" s="2">
        <f t="shared" si="151"/>
        <v>0.75</v>
      </c>
      <c r="J1846" s="4">
        <v>3000000</v>
      </c>
      <c r="K1846" s="2">
        <f t="shared" si="152"/>
        <v>0.99337748344370858</v>
      </c>
      <c r="L1846" t="s">
        <v>4797</v>
      </c>
      <c r="M1846" t="s">
        <v>1015</v>
      </c>
      <c r="N1846" t="b">
        <f t="shared" si="153"/>
        <v>0</v>
      </c>
    </row>
    <row r="1847" spans="1:14" x14ac:dyDescent="0.15">
      <c r="A1847" t="s">
        <v>13676</v>
      </c>
      <c r="B1847" t="s">
        <v>13695</v>
      </c>
      <c r="C1847" t="s">
        <v>13725</v>
      </c>
      <c r="D1847" t="s">
        <v>23</v>
      </c>
      <c r="E1847" t="s">
        <v>9540</v>
      </c>
      <c r="F1847" s="5">
        <v>4340000</v>
      </c>
      <c r="G1847" s="5">
        <v>4340000</v>
      </c>
      <c r="H1847" s="4">
        <v>3255000</v>
      </c>
      <c r="I1847" s="2">
        <f t="shared" si="151"/>
        <v>0.75</v>
      </c>
      <c r="J1847" s="4">
        <v>3950000</v>
      </c>
      <c r="K1847" s="2">
        <f t="shared" si="152"/>
        <v>0.91013824884792627</v>
      </c>
      <c r="L1847" t="s">
        <v>10326</v>
      </c>
      <c r="M1847" t="s">
        <v>1015</v>
      </c>
      <c r="N1847" t="b">
        <f t="shared" si="153"/>
        <v>0</v>
      </c>
    </row>
    <row r="1848" spans="1:14" x14ac:dyDescent="0.15">
      <c r="A1848" t="s">
        <v>13676</v>
      </c>
      <c r="B1848" t="s">
        <v>13679</v>
      </c>
      <c r="C1848" t="s">
        <v>13726</v>
      </c>
      <c r="D1848" t="s">
        <v>23</v>
      </c>
      <c r="E1848" t="s">
        <v>13727</v>
      </c>
      <c r="F1848" s="5">
        <v>6217000</v>
      </c>
      <c r="G1848" s="5">
        <v>6217000</v>
      </c>
      <c r="H1848" s="4">
        <v>4662750</v>
      </c>
      <c r="I1848" s="2">
        <f t="shared" si="151"/>
        <v>0.75</v>
      </c>
      <c r="J1848" s="4">
        <v>4662750</v>
      </c>
      <c r="K1848" s="2">
        <f t="shared" si="152"/>
        <v>0.75</v>
      </c>
      <c r="L1848" t="s">
        <v>231</v>
      </c>
      <c r="M1848" t="s">
        <v>165</v>
      </c>
      <c r="N1848" t="b">
        <f t="shared" si="153"/>
        <v>0</v>
      </c>
    </row>
    <row r="1849" spans="1:14" x14ac:dyDescent="0.15">
      <c r="A1849" t="s">
        <v>13676</v>
      </c>
      <c r="B1849" t="s">
        <v>13679</v>
      </c>
      <c r="C1849" t="s">
        <v>13728</v>
      </c>
      <c r="D1849" t="s">
        <v>23</v>
      </c>
      <c r="E1849" t="s">
        <v>13729</v>
      </c>
      <c r="F1849" s="5">
        <v>23319000</v>
      </c>
      <c r="G1849" s="5">
        <v>23319000</v>
      </c>
      <c r="H1849" s="4">
        <v>17489250</v>
      </c>
      <c r="I1849" s="2">
        <f t="shared" si="151"/>
        <v>0.75</v>
      </c>
      <c r="J1849" s="4">
        <v>17489250</v>
      </c>
      <c r="K1849" s="2">
        <f t="shared" si="152"/>
        <v>0.75</v>
      </c>
      <c r="L1849" t="s">
        <v>2037</v>
      </c>
      <c r="M1849" t="s">
        <v>174</v>
      </c>
      <c r="N1849" t="b">
        <f t="shared" si="153"/>
        <v>0</v>
      </c>
    </row>
    <row r="1850" spans="1:14" x14ac:dyDescent="0.15">
      <c r="A1850" t="s">
        <v>13676</v>
      </c>
      <c r="B1850" t="s">
        <v>13695</v>
      </c>
      <c r="C1850" t="s">
        <v>13730</v>
      </c>
      <c r="D1850" t="s">
        <v>23</v>
      </c>
      <c r="E1850" t="s">
        <v>13731</v>
      </c>
      <c r="F1850" s="5">
        <v>1270000</v>
      </c>
      <c r="G1850" s="5">
        <v>1270000</v>
      </c>
      <c r="H1850" s="4">
        <v>952500</v>
      </c>
      <c r="I1850" s="2">
        <f t="shared" si="151"/>
        <v>0.75</v>
      </c>
      <c r="J1850" s="4">
        <v>1250000</v>
      </c>
      <c r="K1850" s="2">
        <f t="shared" si="152"/>
        <v>0.98425196850393704</v>
      </c>
      <c r="L1850" t="s">
        <v>4797</v>
      </c>
      <c r="M1850" t="s">
        <v>1015</v>
      </c>
      <c r="N1850" t="b">
        <f t="shared" si="153"/>
        <v>0</v>
      </c>
    </row>
    <row r="1851" spans="1:14" x14ac:dyDescent="0.15">
      <c r="A1851" t="s">
        <v>13676</v>
      </c>
      <c r="B1851" t="s">
        <v>13679</v>
      </c>
      <c r="C1851" t="s">
        <v>13732</v>
      </c>
      <c r="D1851" t="s">
        <v>23</v>
      </c>
      <c r="E1851" t="s">
        <v>13733</v>
      </c>
      <c r="F1851" s="5">
        <v>3998000</v>
      </c>
      <c r="G1851" s="5">
        <v>3998000</v>
      </c>
      <c r="H1851" s="4">
        <v>2998500</v>
      </c>
      <c r="I1851" s="2">
        <f t="shared" si="151"/>
        <v>0.75</v>
      </c>
      <c r="J1851" s="4">
        <v>3600000</v>
      </c>
      <c r="K1851" s="2">
        <f t="shared" si="152"/>
        <v>0.90045022511255624</v>
      </c>
      <c r="L1851" t="s">
        <v>13384</v>
      </c>
      <c r="M1851" t="s">
        <v>432</v>
      </c>
      <c r="N1851" t="b">
        <f t="shared" si="153"/>
        <v>0</v>
      </c>
    </row>
    <row r="1852" spans="1:14" x14ac:dyDescent="0.15">
      <c r="A1852" t="s">
        <v>13676</v>
      </c>
      <c r="B1852" t="s">
        <v>13679</v>
      </c>
      <c r="C1852" t="s">
        <v>13734</v>
      </c>
      <c r="D1852" t="s">
        <v>23</v>
      </c>
      <c r="E1852" t="s">
        <v>13735</v>
      </c>
      <c r="F1852" s="5">
        <v>20167000</v>
      </c>
      <c r="G1852" s="5">
        <v>20167000</v>
      </c>
      <c r="H1852" s="4">
        <v>15125250</v>
      </c>
      <c r="I1852" s="2">
        <f t="shared" si="151"/>
        <v>0.75</v>
      </c>
      <c r="J1852" s="4">
        <v>17500000</v>
      </c>
      <c r="K1852" s="2">
        <f t="shared" si="152"/>
        <v>0.86775425199583478</v>
      </c>
      <c r="L1852" t="s">
        <v>173</v>
      </c>
      <c r="M1852" t="s">
        <v>174</v>
      </c>
      <c r="N1852" t="b">
        <f t="shared" si="153"/>
        <v>0</v>
      </c>
    </row>
    <row r="1853" spans="1:14" x14ac:dyDescent="0.15">
      <c r="A1853" t="s">
        <v>13676</v>
      </c>
      <c r="B1853" t="s">
        <v>13679</v>
      </c>
      <c r="C1853" t="s">
        <v>13736</v>
      </c>
      <c r="D1853" t="s">
        <v>23</v>
      </c>
      <c r="E1853" t="s">
        <v>13737</v>
      </c>
      <c r="F1853" s="5">
        <v>5897000</v>
      </c>
      <c r="G1853" s="5">
        <v>5897000</v>
      </c>
      <c r="H1853" s="4">
        <v>4422750</v>
      </c>
      <c r="I1853" s="2">
        <f t="shared" si="151"/>
        <v>0.75</v>
      </c>
      <c r="J1853" s="4">
        <v>5600000</v>
      </c>
      <c r="K1853" s="2">
        <f t="shared" si="152"/>
        <v>0.94963540783449207</v>
      </c>
      <c r="L1853" t="s">
        <v>1541</v>
      </c>
      <c r="M1853" t="s">
        <v>165</v>
      </c>
      <c r="N1853" t="b">
        <f t="shared" si="153"/>
        <v>0</v>
      </c>
    </row>
    <row r="1854" spans="1:14" x14ac:dyDescent="0.15">
      <c r="A1854" t="s">
        <v>13676</v>
      </c>
      <c r="B1854" t="s">
        <v>13679</v>
      </c>
      <c r="C1854" t="s">
        <v>13738</v>
      </c>
      <c r="D1854" t="s">
        <v>23</v>
      </c>
      <c r="E1854" t="s">
        <v>9801</v>
      </c>
      <c r="F1854" s="5">
        <v>6490000</v>
      </c>
      <c r="G1854" s="5">
        <v>6490000</v>
      </c>
      <c r="H1854" s="4">
        <v>4867500</v>
      </c>
      <c r="I1854" s="2">
        <f t="shared" si="151"/>
        <v>0.75</v>
      </c>
      <c r="J1854" s="4">
        <v>5840000</v>
      </c>
      <c r="K1854" s="2">
        <f t="shared" si="152"/>
        <v>0.89984591679506931</v>
      </c>
      <c r="L1854" t="s">
        <v>1078</v>
      </c>
      <c r="M1854" t="s">
        <v>165</v>
      </c>
      <c r="N1854" t="b">
        <f t="shared" si="153"/>
        <v>0</v>
      </c>
    </row>
    <row r="1855" spans="1:14" x14ac:dyDescent="0.15">
      <c r="A1855" t="s">
        <v>13739</v>
      </c>
      <c r="B1855" t="s">
        <v>13742</v>
      </c>
      <c r="C1855" t="s">
        <v>13740</v>
      </c>
      <c r="D1855" t="s">
        <v>118</v>
      </c>
      <c r="E1855" t="s">
        <v>13741</v>
      </c>
      <c r="F1855" s="5">
        <v>5052000</v>
      </c>
      <c r="G1855" s="5">
        <v>5052000</v>
      </c>
      <c r="H1855" s="4">
        <v>4062000</v>
      </c>
      <c r="I1855" s="2">
        <f t="shared" si="151"/>
        <v>0.80403800475059384</v>
      </c>
      <c r="J1855" s="4">
        <v>4062000</v>
      </c>
      <c r="K1855" s="2">
        <f t="shared" si="152"/>
        <v>0.80403800475059384</v>
      </c>
      <c r="L1855" t="s">
        <v>13743</v>
      </c>
      <c r="M1855" t="s">
        <v>482</v>
      </c>
      <c r="N1855" t="b">
        <f t="shared" si="153"/>
        <v>0</v>
      </c>
    </row>
    <row r="1856" spans="1:14" x14ac:dyDescent="0.15">
      <c r="A1856" t="s">
        <v>13739</v>
      </c>
      <c r="B1856" t="s">
        <v>13742</v>
      </c>
      <c r="C1856" t="s">
        <v>13744</v>
      </c>
      <c r="D1856" t="s">
        <v>118</v>
      </c>
      <c r="E1856" t="s">
        <v>13745</v>
      </c>
      <c r="F1856" s="5">
        <v>5937800</v>
      </c>
      <c r="G1856" s="5">
        <v>5937800</v>
      </c>
      <c r="I1856" s="2">
        <f t="shared" si="151"/>
        <v>0</v>
      </c>
      <c r="J1856" s="4">
        <v>5246400</v>
      </c>
      <c r="K1856" s="2">
        <f t="shared" si="152"/>
        <v>0.8835595675165886</v>
      </c>
      <c r="L1856" t="s">
        <v>13054</v>
      </c>
      <c r="M1856" t="s">
        <v>1015</v>
      </c>
      <c r="N1856" t="b">
        <f t="shared" si="153"/>
        <v>0</v>
      </c>
    </row>
    <row r="1857" spans="1:14" x14ac:dyDescent="0.15">
      <c r="A1857" t="s">
        <v>13739</v>
      </c>
      <c r="B1857" t="s">
        <v>13742</v>
      </c>
      <c r="C1857" t="s">
        <v>13746</v>
      </c>
      <c r="D1857" t="s">
        <v>118</v>
      </c>
      <c r="E1857" t="s">
        <v>13747</v>
      </c>
      <c r="F1857" s="5">
        <v>6660600</v>
      </c>
      <c r="G1857" s="5">
        <v>6660600</v>
      </c>
      <c r="I1857" s="2">
        <f t="shared" si="151"/>
        <v>0</v>
      </c>
      <c r="J1857" s="4">
        <v>6105900</v>
      </c>
      <c r="K1857" s="2">
        <f t="shared" si="152"/>
        <v>0.91671921448518157</v>
      </c>
      <c r="L1857" t="s">
        <v>12415</v>
      </c>
      <c r="M1857" t="s">
        <v>1015</v>
      </c>
      <c r="N1857" t="b">
        <f t="shared" si="153"/>
        <v>0</v>
      </c>
    </row>
    <row r="1858" spans="1:14" x14ac:dyDescent="0.15">
      <c r="A1858" t="s">
        <v>13739</v>
      </c>
      <c r="B1858" t="s">
        <v>13750</v>
      </c>
      <c r="C1858" t="s">
        <v>13748</v>
      </c>
      <c r="D1858" t="s">
        <v>118</v>
      </c>
      <c r="E1858" t="s">
        <v>13749</v>
      </c>
      <c r="F1858" s="5">
        <v>2445000</v>
      </c>
      <c r="G1858" s="5">
        <v>2445000</v>
      </c>
      <c r="H1858" s="4">
        <v>1654400</v>
      </c>
      <c r="I1858" s="2">
        <f t="shared" si="151"/>
        <v>0.67664621676891612</v>
      </c>
      <c r="J1858" s="4">
        <v>1840000</v>
      </c>
      <c r="K1858" s="2">
        <f t="shared" si="152"/>
        <v>0.75255623721881393</v>
      </c>
      <c r="L1858" t="s">
        <v>125</v>
      </c>
      <c r="M1858" t="s">
        <v>192</v>
      </c>
      <c r="N1858" t="b">
        <f t="shared" si="153"/>
        <v>0</v>
      </c>
    </row>
    <row r="1859" spans="1:14" x14ac:dyDescent="0.15">
      <c r="A1859" t="s">
        <v>13739</v>
      </c>
      <c r="B1859" t="s">
        <v>13750</v>
      </c>
      <c r="C1859" t="s">
        <v>13751</v>
      </c>
      <c r="D1859" t="s">
        <v>118</v>
      </c>
      <c r="E1859" t="s">
        <v>13752</v>
      </c>
      <c r="F1859" s="5">
        <v>18718100</v>
      </c>
      <c r="G1859" s="5">
        <v>18718100</v>
      </c>
      <c r="I1859" s="2">
        <f t="shared" si="151"/>
        <v>0</v>
      </c>
      <c r="J1859" s="4">
        <v>17768000</v>
      </c>
      <c r="K1859" s="2">
        <f t="shared" si="152"/>
        <v>0.9492416431154872</v>
      </c>
      <c r="L1859" t="s">
        <v>13753</v>
      </c>
      <c r="M1859" t="s">
        <v>21</v>
      </c>
      <c r="N1859" t="b">
        <f t="shared" si="153"/>
        <v>0</v>
      </c>
    </row>
    <row r="1860" spans="1:14" x14ac:dyDescent="0.15">
      <c r="A1860" t="s">
        <v>13739</v>
      </c>
      <c r="B1860" t="s">
        <v>13750</v>
      </c>
      <c r="C1860" t="s">
        <v>13754</v>
      </c>
      <c r="D1860" t="s">
        <v>118</v>
      </c>
      <c r="E1860" t="s">
        <v>13755</v>
      </c>
      <c r="F1860" s="5">
        <v>38719500</v>
      </c>
      <c r="G1860" s="5">
        <v>38719500</v>
      </c>
      <c r="I1860" s="2">
        <f t="shared" ref="I1860:I1923" si="154">H1860/G1860</f>
        <v>0</v>
      </c>
      <c r="J1860" s="4">
        <v>34240000</v>
      </c>
      <c r="K1860" s="2">
        <f t="shared" ref="K1860:K1923" si="155">J1860/G1860</f>
        <v>0.88430893993982362</v>
      </c>
      <c r="L1860" t="s">
        <v>5636</v>
      </c>
      <c r="M1860" t="s">
        <v>1015</v>
      </c>
      <c r="N1860" t="b">
        <f t="shared" ref="N1860:N1923" si="156">F1860&lt;&gt;G1860</f>
        <v>0</v>
      </c>
    </row>
    <row r="1861" spans="1:14" x14ac:dyDescent="0.15">
      <c r="A1861" t="s">
        <v>13739</v>
      </c>
      <c r="B1861" t="s">
        <v>13750</v>
      </c>
      <c r="C1861" t="s">
        <v>13756</v>
      </c>
      <c r="D1861" t="s">
        <v>118</v>
      </c>
      <c r="E1861" t="s">
        <v>13757</v>
      </c>
      <c r="F1861" s="5">
        <v>3295000</v>
      </c>
      <c r="G1861" s="5">
        <v>3295000</v>
      </c>
      <c r="H1861" s="4">
        <v>2292800</v>
      </c>
      <c r="I1861" s="2">
        <f t="shared" si="154"/>
        <v>0.69584218512898333</v>
      </c>
      <c r="J1861" s="4">
        <v>2650000</v>
      </c>
      <c r="K1861" s="2">
        <f t="shared" si="155"/>
        <v>0.80424886191198786</v>
      </c>
      <c r="L1861" t="s">
        <v>231</v>
      </c>
      <c r="M1861" t="s">
        <v>432</v>
      </c>
      <c r="N1861" t="b">
        <f t="shared" si="156"/>
        <v>0</v>
      </c>
    </row>
    <row r="1862" spans="1:14" x14ac:dyDescent="0.15">
      <c r="A1862" t="s">
        <v>13739</v>
      </c>
      <c r="B1862" t="s">
        <v>13742</v>
      </c>
      <c r="C1862" t="s">
        <v>13758</v>
      </c>
      <c r="D1862" t="s">
        <v>118</v>
      </c>
      <c r="E1862" t="s">
        <v>13759</v>
      </c>
      <c r="F1862" s="5">
        <v>1523000</v>
      </c>
      <c r="G1862" s="5">
        <v>1523000</v>
      </c>
      <c r="H1862" s="4">
        <v>1222000</v>
      </c>
      <c r="I1862" s="2">
        <f t="shared" si="154"/>
        <v>0.80236375574523966</v>
      </c>
      <c r="J1862" s="4">
        <v>1222000</v>
      </c>
      <c r="K1862" s="2">
        <f t="shared" si="155"/>
        <v>0.80236375574523966</v>
      </c>
      <c r="L1862" t="s">
        <v>1195</v>
      </c>
      <c r="M1862" t="s">
        <v>165</v>
      </c>
      <c r="N1862" t="b">
        <f t="shared" si="156"/>
        <v>0</v>
      </c>
    </row>
    <row r="1863" spans="1:14" x14ac:dyDescent="0.15">
      <c r="A1863" t="s">
        <v>13739</v>
      </c>
      <c r="B1863" t="s">
        <v>13742</v>
      </c>
      <c r="C1863" t="s">
        <v>13760</v>
      </c>
      <c r="D1863" t="s">
        <v>118</v>
      </c>
      <c r="E1863" t="s">
        <v>13761</v>
      </c>
      <c r="F1863" s="5">
        <v>3396000</v>
      </c>
      <c r="G1863" s="5">
        <v>3396000</v>
      </c>
      <c r="I1863" s="2">
        <f t="shared" si="154"/>
        <v>0</v>
      </c>
      <c r="J1863" s="4">
        <v>3390000</v>
      </c>
      <c r="K1863" s="2">
        <f t="shared" si="155"/>
        <v>0.99823321554770317</v>
      </c>
      <c r="L1863" t="s">
        <v>12415</v>
      </c>
      <c r="M1863" t="s">
        <v>183</v>
      </c>
      <c r="N1863" t="b">
        <f t="shared" si="156"/>
        <v>0</v>
      </c>
    </row>
    <row r="1864" spans="1:14" x14ac:dyDescent="0.15">
      <c r="A1864" t="s">
        <v>13739</v>
      </c>
      <c r="B1864" t="s">
        <v>13742</v>
      </c>
      <c r="C1864" t="s">
        <v>13762</v>
      </c>
      <c r="D1864" t="s">
        <v>118</v>
      </c>
      <c r="E1864" t="s">
        <v>13763</v>
      </c>
      <c r="F1864" s="5">
        <v>3973000</v>
      </c>
      <c r="G1864" s="5">
        <v>3973000</v>
      </c>
      <c r="H1864" s="4">
        <v>3187000</v>
      </c>
      <c r="I1864" s="2">
        <f t="shared" si="154"/>
        <v>0.80216461112509441</v>
      </c>
      <c r="J1864" s="4">
        <v>3570000</v>
      </c>
      <c r="K1864" s="2">
        <f t="shared" si="155"/>
        <v>0.8985653158822049</v>
      </c>
      <c r="L1864" t="s">
        <v>13764</v>
      </c>
      <c r="M1864" t="s">
        <v>313</v>
      </c>
      <c r="N1864" t="b">
        <f t="shared" si="156"/>
        <v>0</v>
      </c>
    </row>
    <row r="1865" spans="1:14" x14ac:dyDescent="0.15">
      <c r="A1865" t="s">
        <v>13739</v>
      </c>
      <c r="B1865" t="s">
        <v>13742</v>
      </c>
      <c r="C1865" t="s">
        <v>13765</v>
      </c>
      <c r="D1865" t="s">
        <v>118</v>
      </c>
      <c r="E1865" t="s">
        <v>13766</v>
      </c>
      <c r="F1865" s="5">
        <v>5801000</v>
      </c>
      <c r="G1865" s="5">
        <v>5801000</v>
      </c>
      <c r="H1865" s="4">
        <v>4654000</v>
      </c>
      <c r="I1865" s="2">
        <f t="shared" si="154"/>
        <v>0.80227546974659536</v>
      </c>
      <c r="J1865" s="4">
        <v>5200000</v>
      </c>
      <c r="K1865" s="2">
        <f t="shared" si="155"/>
        <v>0.89639717290122389</v>
      </c>
      <c r="L1865" t="s">
        <v>13767</v>
      </c>
      <c r="M1865" t="s">
        <v>313</v>
      </c>
      <c r="N1865" t="b">
        <f t="shared" si="156"/>
        <v>0</v>
      </c>
    </row>
    <row r="1866" spans="1:14" x14ac:dyDescent="0.15">
      <c r="A1866" t="s">
        <v>13739</v>
      </c>
      <c r="B1866" t="s">
        <v>13750</v>
      </c>
      <c r="C1866" t="s">
        <v>13768</v>
      </c>
      <c r="D1866" t="s">
        <v>118</v>
      </c>
      <c r="E1866" t="s">
        <v>13769</v>
      </c>
      <c r="F1866" s="5">
        <v>10410000</v>
      </c>
      <c r="G1866" s="5">
        <v>10410000</v>
      </c>
      <c r="H1866" s="4">
        <v>6255200</v>
      </c>
      <c r="I1866" s="2">
        <f t="shared" si="154"/>
        <v>0.60088376560999035</v>
      </c>
      <c r="J1866" s="4">
        <v>6900000</v>
      </c>
      <c r="K1866" s="2">
        <f t="shared" si="155"/>
        <v>0.66282420749279536</v>
      </c>
      <c r="L1866" t="s">
        <v>4042</v>
      </c>
      <c r="M1866" t="s">
        <v>21</v>
      </c>
      <c r="N1866" t="b">
        <f t="shared" si="156"/>
        <v>0</v>
      </c>
    </row>
    <row r="1867" spans="1:14" x14ac:dyDescent="0.15">
      <c r="A1867" t="s">
        <v>13739</v>
      </c>
      <c r="B1867" t="s">
        <v>13742</v>
      </c>
      <c r="C1867" t="s">
        <v>13770</v>
      </c>
      <c r="D1867" t="s">
        <v>118</v>
      </c>
      <c r="E1867" t="s">
        <v>13771</v>
      </c>
      <c r="F1867" s="5">
        <v>5853000</v>
      </c>
      <c r="G1867" s="5">
        <v>5853000</v>
      </c>
      <c r="H1867" s="4">
        <v>4676000</v>
      </c>
      <c r="I1867" s="2">
        <f t="shared" si="154"/>
        <v>0.79890654365282765</v>
      </c>
      <c r="J1867" s="4">
        <v>5400000</v>
      </c>
      <c r="K1867" s="2">
        <f t="shared" si="155"/>
        <v>0.92260379292670425</v>
      </c>
      <c r="L1867" t="s">
        <v>13767</v>
      </c>
      <c r="M1867" t="s">
        <v>482</v>
      </c>
      <c r="N1867" t="b">
        <f t="shared" si="156"/>
        <v>0</v>
      </c>
    </row>
    <row r="1868" spans="1:14" x14ac:dyDescent="0.15">
      <c r="A1868" t="s">
        <v>13739</v>
      </c>
      <c r="B1868" t="s">
        <v>13742</v>
      </c>
      <c r="C1868" t="s">
        <v>13772</v>
      </c>
      <c r="D1868" t="s">
        <v>118</v>
      </c>
      <c r="E1868" t="s">
        <v>13773</v>
      </c>
      <c r="F1868" s="5">
        <v>10950000</v>
      </c>
      <c r="G1868" s="5">
        <v>10950000</v>
      </c>
      <c r="H1868" s="4">
        <v>8798000</v>
      </c>
      <c r="I1868" s="2">
        <f t="shared" si="154"/>
        <v>0.80347031963470317</v>
      </c>
      <c r="J1868" s="4">
        <v>9200000</v>
      </c>
      <c r="K1868" s="2">
        <f t="shared" si="155"/>
        <v>0.84018264840182644</v>
      </c>
      <c r="L1868" t="s">
        <v>903</v>
      </c>
      <c r="M1868" t="s">
        <v>139</v>
      </c>
      <c r="N1868" t="b">
        <f t="shared" si="156"/>
        <v>0</v>
      </c>
    </row>
    <row r="1869" spans="1:14" x14ac:dyDescent="0.15">
      <c r="A1869" t="s">
        <v>13739</v>
      </c>
      <c r="B1869" t="s">
        <v>13750</v>
      </c>
      <c r="C1869" t="s">
        <v>13774</v>
      </c>
      <c r="D1869" t="s">
        <v>118</v>
      </c>
      <c r="E1869" t="s">
        <v>13775</v>
      </c>
      <c r="F1869" s="5">
        <v>6358000</v>
      </c>
      <c r="G1869" s="5">
        <v>6358000</v>
      </c>
      <c r="H1869" s="4">
        <v>4121600</v>
      </c>
      <c r="I1869" s="2">
        <f t="shared" si="154"/>
        <v>0.64825416797735136</v>
      </c>
      <c r="J1869" s="4">
        <v>4500000</v>
      </c>
      <c r="K1869" s="2">
        <f t="shared" si="155"/>
        <v>0.70776973891160744</v>
      </c>
      <c r="L1869" t="s">
        <v>2729</v>
      </c>
      <c r="M1869" t="s">
        <v>3852</v>
      </c>
      <c r="N1869" t="b">
        <f t="shared" si="156"/>
        <v>0</v>
      </c>
    </row>
    <row r="1870" spans="1:14" x14ac:dyDescent="0.15">
      <c r="A1870" t="s">
        <v>13739</v>
      </c>
      <c r="B1870" t="s">
        <v>13750</v>
      </c>
      <c r="C1870" t="s">
        <v>13776</v>
      </c>
      <c r="D1870" t="s">
        <v>118</v>
      </c>
      <c r="E1870" t="s">
        <v>13777</v>
      </c>
      <c r="F1870" s="5">
        <v>11145000</v>
      </c>
      <c r="G1870" s="5">
        <v>11145000</v>
      </c>
      <c r="H1870" s="4">
        <v>7449600</v>
      </c>
      <c r="I1870" s="2">
        <f t="shared" si="154"/>
        <v>0.66842530282637957</v>
      </c>
      <c r="J1870" s="4">
        <v>8900000</v>
      </c>
      <c r="K1870" s="2">
        <f t="shared" si="155"/>
        <v>0.7985643786451323</v>
      </c>
      <c r="L1870" t="s">
        <v>2729</v>
      </c>
      <c r="M1870" t="s">
        <v>192</v>
      </c>
      <c r="N1870" t="b">
        <f t="shared" si="156"/>
        <v>0</v>
      </c>
    </row>
    <row r="1871" spans="1:14" x14ac:dyDescent="0.15">
      <c r="A1871" t="s">
        <v>13739</v>
      </c>
      <c r="B1871" t="s">
        <v>13750</v>
      </c>
      <c r="C1871" t="s">
        <v>13778</v>
      </c>
      <c r="D1871" t="s">
        <v>118</v>
      </c>
      <c r="E1871" t="s">
        <v>13779</v>
      </c>
      <c r="F1871" s="5">
        <v>1844000</v>
      </c>
      <c r="G1871" s="5">
        <v>1844000</v>
      </c>
      <c r="I1871" s="2">
        <f t="shared" si="154"/>
        <v>0</v>
      </c>
      <c r="J1871" s="4">
        <v>1240000</v>
      </c>
      <c r="K1871" s="2">
        <f t="shared" si="155"/>
        <v>0.67245119305856837</v>
      </c>
      <c r="L1871" t="s">
        <v>574</v>
      </c>
      <c r="M1871" t="s">
        <v>183</v>
      </c>
      <c r="N1871" t="b">
        <f t="shared" si="156"/>
        <v>0</v>
      </c>
    </row>
    <row r="1872" spans="1:14" x14ac:dyDescent="0.15">
      <c r="A1872" t="s">
        <v>13739</v>
      </c>
      <c r="B1872" t="s">
        <v>13750</v>
      </c>
      <c r="C1872" t="s">
        <v>13780</v>
      </c>
      <c r="D1872" t="s">
        <v>118</v>
      </c>
      <c r="E1872" t="s">
        <v>13781</v>
      </c>
      <c r="F1872" s="5">
        <v>970000</v>
      </c>
      <c r="G1872" s="5">
        <v>970000</v>
      </c>
      <c r="H1872" s="4">
        <v>602400</v>
      </c>
      <c r="I1872" s="2">
        <f t="shared" si="154"/>
        <v>0.62103092783505154</v>
      </c>
      <c r="J1872" s="4">
        <v>778000</v>
      </c>
      <c r="K1872" s="2">
        <f t="shared" si="155"/>
        <v>0.80206185567010313</v>
      </c>
      <c r="L1872" t="s">
        <v>1558</v>
      </c>
      <c r="M1872" t="s">
        <v>432</v>
      </c>
      <c r="N1872" t="b">
        <f t="shared" si="156"/>
        <v>0</v>
      </c>
    </row>
    <row r="1873" spans="1:14" x14ac:dyDescent="0.15">
      <c r="A1873" t="s">
        <v>13739</v>
      </c>
      <c r="B1873" t="s">
        <v>13742</v>
      </c>
      <c r="C1873" t="s">
        <v>13782</v>
      </c>
      <c r="D1873" t="s">
        <v>118</v>
      </c>
      <c r="E1873" t="s">
        <v>13783</v>
      </c>
      <c r="F1873" s="5">
        <v>23744000</v>
      </c>
      <c r="G1873" s="5">
        <v>23744000</v>
      </c>
      <c r="H1873" s="4">
        <v>19051000</v>
      </c>
      <c r="I1873" s="2">
        <f t="shared" si="154"/>
        <v>0.80235006738544479</v>
      </c>
      <c r="J1873" s="4">
        <v>19051000</v>
      </c>
      <c r="K1873" s="2">
        <f t="shared" si="155"/>
        <v>0.80235006738544479</v>
      </c>
      <c r="L1873" t="s">
        <v>13784</v>
      </c>
      <c r="M1873" t="s">
        <v>313</v>
      </c>
      <c r="N1873" t="b">
        <f t="shared" si="156"/>
        <v>0</v>
      </c>
    </row>
    <row r="1874" spans="1:14" x14ac:dyDescent="0.15">
      <c r="A1874" t="s">
        <v>13739</v>
      </c>
      <c r="B1874" t="s">
        <v>13742</v>
      </c>
      <c r="C1874" t="s">
        <v>13785</v>
      </c>
      <c r="D1874" t="s">
        <v>118</v>
      </c>
      <c r="E1874" t="s">
        <v>13786</v>
      </c>
      <c r="F1874" s="5">
        <v>40849000</v>
      </c>
      <c r="G1874" s="5">
        <v>40849000</v>
      </c>
      <c r="H1874" s="4">
        <v>32780000</v>
      </c>
      <c r="I1874" s="2">
        <f t="shared" si="154"/>
        <v>0.80246762466645449</v>
      </c>
      <c r="J1874" s="4">
        <v>32780000</v>
      </c>
      <c r="K1874" s="2">
        <f t="shared" si="155"/>
        <v>0.80246762466645449</v>
      </c>
      <c r="L1874" t="s">
        <v>2332</v>
      </c>
      <c r="M1874" t="s">
        <v>41</v>
      </c>
      <c r="N1874" t="b">
        <f t="shared" si="156"/>
        <v>0</v>
      </c>
    </row>
    <row r="1875" spans="1:14" x14ac:dyDescent="0.15">
      <c r="A1875" t="s">
        <v>13739</v>
      </c>
      <c r="B1875" t="s">
        <v>13742</v>
      </c>
      <c r="C1875" t="s">
        <v>13787</v>
      </c>
      <c r="D1875" t="s">
        <v>118</v>
      </c>
      <c r="E1875" t="s">
        <v>13788</v>
      </c>
      <c r="F1875" s="5">
        <v>40530000</v>
      </c>
      <c r="G1875" s="5">
        <v>40530000</v>
      </c>
      <c r="H1875" s="4">
        <v>32597000</v>
      </c>
      <c r="I1875" s="2">
        <f t="shared" si="154"/>
        <v>0.80426844312854673</v>
      </c>
      <c r="J1875" s="4">
        <v>40000000</v>
      </c>
      <c r="K1875" s="2">
        <f t="shared" si="155"/>
        <v>0.98692326671601283</v>
      </c>
      <c r="L1875" t="s">
        <v>5415</v>
      </c>
      <c r="M1875" t="s">
        <v>183</v>
      </c>
      <c r="N1875" t="b">
        <f t="shared" si="156"/>
        <v>0</v>
      </c>
    </row>
    <row r="1876" spans="1:14" x14ac:dyDescent="0.15">
      <c r="A1876" t="s">
        <v>13739</v>
      </c>
      <c r="B1876" t="s">
        <v>13750</v>
      </c>
      <c r="C1876" t="s">
        <v>13789</v>
      </c>
      <c r="D1876" t="s">
        <v>118</v>
      </c>
      <c r="E1876" t="s">
        <v>13790</v>
      </c>
      <c r="F1876" s="5">
        <v>16976000</v>
      </c>
      <c r="G1876" s="5">
        <v>16976000</v>
      </c>
      <c r="H1876" s="4">
        <v>12060000</v>
      </c>
      <c r="I1876" s="2">
        <f t="shared" si="154"/>
        <v>0.71041470311027333</v>
      </c>
      <c r="J1876" s="4">
        <v>13700000</v>
      </c>
      <c r="K1876" s="2">
        <f t="shared" si="155"/>
        <v>0.80702167766258248</v>
      </c>
      <c r="L1876" t="s">
        <v>5636</v>
      </c>
      <c r="M1876" t="s">
        <v>21</v>
      </c>
      <c r="N1876" t="b">
        <f t="shared" si="156"/>
        <v>0</v>
      </c>
    </row>
    <row r="1877" spans="1:14" x14ac:dyDescent="0.15">
      <c r="A1877" t="s">
        <v>13739</v>
      </c>
      <c r="B1877" t="s">
        <v>13750</v>
      </c>
      <c r="C1877" t="s">
        <v>13791</v>
      </c>
      <c r="D1877" t="s">
        <v>118</v>
      </c>
      <c r="E1877" t="s">
        <v>13792</v>
      </c>
      <c r="F1877" s="5">
        <v>8439000</v>
      </c>
      <c r="G1877" s="5">
        <v>8439000</v>
      </c>
      <c r="H1877" s="4">
        <v>6744000</v>
      </c>
      <c r="I1877" s="2">
        <f t="shared" si="154"/>
        <v>0.79914681834340562</v>
      </c>
      <c r="J1877" s="4">
        <v>6760000</v>
      </c>
      <c r="K1877" s="2">
        <f t="shared" si="155"/>
        <v>0.80104277758028197</v>
      </c>
      <c r="L1877" t="s">
        <v>13767</v>
      </c>
      <c r="M1877" t="s">
        <v>353</v>
      </c>
      <c r="N1877" t="b">
        <f t="shared" si="156"/>
        <v>0</v>
      </c>
    </row>
    <row r="1878" spans="1:14" x14ac:dyDescent="0.15">
      <c r="A1878" t="s">
        <v>13739</v>
      </c>
      <c r="B1878" t="s">
        <v>13742</v>
      </c>
      <c r="C1878" t="s">
        <v>13793</v>
      </c>
      <c r="D1878" t="s">
        <v>118</v>
      </c>
      <c r="E1878" t="s">
        <v>13794</v>
      </c>
      <c r="F1878" s="5">
        <v>642000</v>
      </c>
      <c r="G1878" s="5">
        <v>642000</v>
      </c>
      <c r="H1878" s="4">
        <v>338400</v>
      </c>
      <c r="I1878" s="2">
        <f t="shared" si="154"/>
        <v>0.52710280373831775</v>
      </c>
      <c r="J1878" s="4">
        <v>355000</v>
      </c>
      <c r="K1878" s="2">
        <f t="shared" si="155"/>
        <v>0.5529595015576324</v>
      </c>
      <c r="L1878" t="s">
        <v>12415</v>
      </c>
      <c r="M1878" t="s">
        <v>432</v>
      </c>
      <c r="N1878" t="b">
        <f t="shared" si="156"/>
        <v>0</v>
      </c>
    </row>
    <row r="1879" spans="1:14" x14ac:dyDescent="0.15">
      <c r="A1879" t="s">
        <v>13739</v>
      </c>
      <c r="B1879" t="s">
        <v>13742</v>
      </c>
      <c r="C1879" t="s">
        <v>13795</v>
      </c>
      <c r="D1879" t="s">
        <v>118</v>
      </c>
      <c r="E1879" t="s">
        <v>13796</v>
      </c>
      <c r="F1879" s="5">
        <v>18145000</v>
      </c>
      <c r="G1879" s="5">
        <v>18145000</v>
      </c>
      <c r="H1879" s="4">
        <v>14556000</v>
      </c>
      <c r="I1879" s="2">
        <f t="shared" si="154"/>
        <v>0.80220446403968038</v>
      </c>
      <c r="J1879" s="4">
        <v>14556000</v>
      </c>
      <c r="K1879" s="2">
        <f t="shared" si="155"/>
        <v>0.80220446403968038</v>
      </c>
      <c r="L1879" t="s">
        <v>13797</v>
      </c>
      <c r="M1879" t="s">
        <v>353</v>
      </c>
      <c r="N1879" t="b">
        <f t="shared" si="156"/>
        <v>0</v>
      </c>
    </row>
    <row r="1880" spans="1:14" x14ac:dyDescent="0.15">
      <c r="A1880" t="s">
        <v>13739</v>
      </c>
      <c r="B1880" t="s">
        <v>13750</v>
      </c>
      <c r="C1880" t="s">
        <v>13798</v>
      </c>
      <c r="D1880" t="s">
        <v>118</v>
      </c>
      <c r="E1880" t="s">
        <v>13799</v>
      </c>
      <c r="F1880" s="5">
        <v>6153000</v>
      </c>
      <c r="G1880" s="5">
        <v>6153000</v>
      </c>
      <c r="H1880" s="4">
        <v>4856000</v>
      </c>
      <c r="I1880" s="2">
        <f t="shared" si="154"/>
        <v>0.78920851617097354</v>
      </c>
      <c r="J1880" s="4">
        <v>4856000</v>
      </c>
      <c r="K1880" s="2">
        <f t="shared" si="155"/>
        <v>0.78920851617097354</v>
      </c>
      <c r="L1880" t="s">
        <v>13797</v>
      </c>
      <c r="M1880" t="s">
        <v>773</v>
      </c>
      <c r="N1880" t="b">
        <f t="shared" si="156"/>
        <v>0</v>
      </c>
    </row>
    <row r="1881" spans="1:14" x14ac:dyDescent="0.15">
      <c r="A1881" t="s">
        <v>13739</v>
      </c>
      <c r="B1881" t="s">
        <v>13750</v>
      </c>
      <c r="C1881" t="s">
        <v>13800</v>
      </c>
      <c r="D1881" t="s">
        <v>118</v>
      </c>
      <c r="E1881" t="s">
        <v>13801</v>
      </c>
      <c r="F1881" s="5">
        <v>17580000</v>
      </c>
      <c r="G1881" s="5">
        <v>17580000</v>
      </c>
      <c r="H1881" s="4">
        <v>11604000</v>
      </c>
      <c r="I1881" s="2">
        <f t="shared" si="154"/>
        <v>0.66006825938566549</v>
      </c>
      <c r="J1881" s="4">
        <v>13010000</v>
      </c>
      <c r="K1881" s="2">
        <f t="shared" si="155"/>
        <v>0.74004550625711041</v>
      </c>
      <c r="L1881" t="s">
        <v>4042</v>
      </c>
      <c r="M1881" t="s">
        <v>174</v>
      </c>
      <c r="N1881" t="b">
        <f t="shared" si="156"/>
        <v>0</v>
      </c>
    </row>
    <row r="1882" spans="1:14" x14ac:dyDescent="0.15">
      <c r="A1882" t="s">
        <v>13739</v>
      </c>
      <c r="B1882" t="s">
        <v>13750</v>
      </c>
      <c r="C1882" t="s">
        <v>13802</v>
      </c>
      <c r="D1882" t="s">
        <v>118</v>
      </c>
      <c r="E1882" t="s">
        <v>13803</v>
      </c>
      <c r="F1882" s="5">
        <v>17580000</v>
      </c>
      <c r="G1882" s="5">
        <v>17580000</v>
      </c>
      <c r="H1882" s="4">
        <v>11713600</v>
      </c>
      <c r="I1882" s="2">
        <f t="shared" si="154"/>
        <v>0.66630261660978385</v>
      </c>
      <c r="J1882" s="4">
        <v>13980000</v>
      </c>
      <c r="K1882" s="2">
        <f t="shared" si="155"/>
        <v>0.79522184300341292</v>
      </c>
      <c r="L1882" t="s">
        <v>4042</v>
      </c>
      <c r="M1882" t="s">
        <v>174</v>
      </c>
      <c r="N1882" t="b">
        <f t="shared" si="156"/>
        <v>0</v>
      </c>
    </row>
    <row r="1883" spans="1:14" x14ac:dyDescent="0.15">
      <c r="A1883" t="s">
        <v>13739</v>
      </c>
      <c r="B1883" t="s">
        <v>13750</v>
      </c>
      <c r="C1883" t="s">
        <v>13804</v>
      </c>
      <c r="D1883" t="s">
        <v>118</v>
      </c>
      <c r="E1883" t="s">
        <v>4946</v>
      </c>
      <c r="F1883" s="5">
        <v>27780000</v>
      </c>
      <c r="G1883" s="5">
        <v>27780000</v>
      </c>
      <c r="H1883" s="4">
        <v>22059000</v>
      </c>
      <c r="I1883" s="2">
        <f t="shared" si="154"/>
        <v>0.79406047516198708</v>
      </c>
      <c r="J1883" s="4">
        <v>26000000</v>
      </c>
      <c r="K1883" s="2">
        <f t="shared" si="155"/>
        <v>0.93592512598992084</v>
      </c>
      <c r="L1883" t="s">
        <v>13767</v>
      </c>
      <c r="M1883" t="s">
        <v>482</v>
      </c>
      <c r="N1883" t="b">
        <f t="shared" si="156"/>
        <v>0</v>
      </c>
    </row>
    <row r="1884" spans="1:14" x14ac:dyDescent="0.15">
      <c r="A1884" t="s">
        <v>13739</v>
      </c>
      <c r="B1884" t="s">
        <v>13750</v>
      </c>
      <c r="C1884" t="s">
        <v>13805</v>
      </c>
      <c r="D1884" t="s">
        <v>118</v>
      </c>
      <c r="E1884" t="s">
        <v>13806</v>
      </c>
      <c r="F1884" s="5">
        <v>11116000</v>
      </c>
      <c r="G1884" s="5">
        <v>11116000</v>
      </c>
      <c r="H1884" s="4">
        <v>8928000</v>
      </c>
      <c r="I1884" s="2">
        <f t="shared" si="154"/>
        <v>0.80316660669305506</v>
      </c>
      <c r="J1884" s="4">
        <v>8929000</v>
      </c>
      <c r="K1884" s="2">
        <f t="shared" si="155"/>
        <v>0.80325656711047144</v>
      </c>
      <c r="L1884" t="s">
        <v>13655</v>
      </c>
      <c r="M1884" t="s">
        <v>104</v>
      </c>
      <c r="N1884" t="b">
        <f t="shared" si="156"/>
        <v>0</v>
      </c>
    </row>
    <row r="1885" spans="1:14" x14ac:dyDescent="0.15">
      <c r="A1885" t="s">
        <v>13739</v>
      </c>
      <c r="B1885" t="s">
        <v>13750</v>
      </c>
      <c r="C1885" t="s">
        <v>13807</v>
      </c>
      <c r="D1885" t="s">
        <v>118</v>
      </c>
      <c r="E1885" t="s">
        <v>13808</v>
      </c>
      <c r="F1885" s="5">
        <v>22040000</v>
      </c>
      <c r="G1885" s="5">
        <v>22040000</v>
      </c>
      <c r="H1885" s="4">
        <v>15187200</v>
      </c>
      <c r="I1885" s="2">
        <f t="shared" si="154"/>
        <v>0.68907441016333937</v>
      </c>
      <c r="J1885" s="4">
        <v>17521000</v>
      </c>
      <c r="K1885" s="2">
        <f t="shared" si="155"/>
        <v>0.79496370235934666</v>
      </c>
      <c r="L1885" t="s">
        <v>1718</v>
      </c>
      <c r="M1885" t="s">
        <v>1015</v>
      </c>
      <c r="N1885" t="b">
        <f t="shared" si="156"/>
        <v>0</v>
      </c>
    </row>
    <row r="1886" spans="1:14" x14ac:dyDescent="0.15">
      <c r="A1886" t="s">
        <v>13739</v>
      </c>
      <c r="B1886" t="s">
        <v>13742</v>
      </c>
      <c r="C1886" t="s">
        <v>13809</v>
      </c>
      <c r="D1886" t="s">
        <v>118</v>
      </c>
      <c r="E1886" t="s">
        <v>13810</v>
      </c>
      <c r="F1886" s="5">
        <v>7082000</v>
      </c>
      <c r="G1886" s="5">
        <v>7082000</v>
      </c>
      <c r="H1886" s="4">
        <v>5681000</v>
      </c>
      <c r="I1886" s="2">
        <f t="shared" si="154"/>
        <v>0.80217452696978253</v>
      </c>
      <c r="J1886" s="4">
        <v>6300000</v>
      </c>
      <c r="K1886" s="2">
        <f t="shared" si="155"/>
        <v>0.88957921491104208</v>
      </c>
      <c r="L1886" t="s">
        <v>13767</v>
      </c>
      <c r="M1886" t="s">
        <v>248</v>
      </c>
      <c r="N1886" t="b">
        <f t="shared" si="156"/>
        <v>0</v>
      </c>
    </row>
    <row r="1887" spans="1:14" x14ac:dyDescent="0.15">
      <c r="A1887" t="s">
        <v>13739</v>
      </c>
      <c r="B1887" t="s">
        <v>13742</v>
      </c>
      <c r="C1887" t="s">
        <v>13811</v>
      </c>
      <c r="D1887" t="s">
        <v>118</v>
      </c>
      <c r="E1887" t="s">
        <v>13812</v>
      </c>
      <c r="F1887" s="5">
        <v>9613000</v>
      </c>
      <c r="G1887" s="5">
        <v>9613000</v>
      </c>
      <c r="H1887" s="4">
        <v>7714000</v>
      </c>
      <c r="I1887" s="2">
        <f t="shared" si="154"/>
        <v>0.8024550088421929</v>
      </c>
      <c r="J1887" s="4">
        <v>7714000</v>
      </c>
      <c r="K1887" s="2">
        <f t="shared" si="155"/>
        <v>0.8024550088421929</v>
      </c>
      <c r="L1887" t="s">
        <v>13813</v>
      </c>
      <c r="M1887" t="s">
        <v>248</v>
      </c>
      <c r="N1887" t="b">
        <f t="shared" si="156"/>
        <v>0</v>
      </c>
    </row>
    <row r="1888" spans="1:14" x14ac:dyDescent="0.15">
      <c r="A1888" t="s">
        <v>13739</v>
      </c>
      <c r="B1888" t="s">
        <v>13742</v>
      </c>
      <c r="C1888" t="s">
        <v>13814</v>
      </c>
      <c r="D1888" t="s">
        <v>118</v>
      </c>
      <c r="E1888" t="s">
        <v>13815</v>
      </c>
      <c r="F1888" s="5">
        <v>22470000</v>
      </c>
      <c r="G1888" s="5">
        <v>22470000</v>
      </c>
      <c r="H1888" s="4">
        <v>18046000</v>
      </c>
      <c r="I1888" s="2">
        <f t="shared" si="154"/>
        <v>0.80311526479750783</v>
      </c>
      <c r="J1888" s="4">
        <v>20500000</v>
      </c>
      <c r="K1888" s="2">
        <f t="shared" si="155"/>
        <v>0.91232754784156656</v>
      </c>
      <c r="L1888" t="s">
        <v>903</v>
      </c>
      <c r="M1888" t="s">
        <v>139</v>
      </c>
      <c r="N1888" t="b">
        <f t="shared" si="156"/>
        <v>0</v>
      </c>
    </row>
    <row r="1889" spans="1:14" x14ac:dyDescent="0.15">
      <c r="A1889" t="s">
        <v>13739</v>
      </c>
      <c r="B1889" t="s">
        <v>13742</v>
      </c>
      <c r="C1889" t="s">
        <v>13816</v>
      </c>
      <c r="D1889" t="s">
        <v>118</v>
      </c>
      <c r="E1889" t="s">
        <v>13817</v>
      </c>
      <c r="F1889" s="5">
        <v>23834000</v>
      </c>
      <c r="G1889" s="5">
        <v>23834000</v>
      </c>
      <c r="H1889" s="4">
        <v>18883000</v>
      </c>
      <c r="I1889" s="2">
        <f t="shared" si="154"/>
        <v>0.79227154485189222</v>
      </c>
      <c r="J1889" s="4">
        <v>18915000</v>
      </c>
      <c r="K1889" s="2">
        <f t="shared" si="155"/>
        <v>0.79361416463875134</v>
      </c>
      <c r="L1889" t="s">
        <v>13743</v>
      </c>
      <c r="M1889" t="s">
        <v>482</v>
      </c>
      <c r="N1889" t="b">
        <f t="shared" si="156"/>
        <v>0</v>
      </c>
    </row>
    <row r="1890" spans="1:14" x14ac:dyDescent="0.15">
      <c r="A1890" t="s">
        <v>13739</v>
      </c>
      <c r="B1890" t="s">
        <v>13742</v>
      </c>
      <c r="C1890" t="s">
        <v>13818</v>
      </c>
      <c r="D1890" t="s">
        <v>118</v>
      </c>
      <c r="E1890" t="s">
        <v>13819</v>
      </c>
      <c r="F1890" s="5">
        <v>27806000</v>
      </c>
      <c r="G1890" s="5">
        <v>27806000</v>
      </c>
      <c r="H1890" s="4">
        <v>22121000</v>
      </c>
      <c r="I1890" s="2">
        <f t="shared" si="154"/>
        <v>0.79554772351291092</v>
      </c>
      <c r="J1890" s="4">
        <v>22155000</v>
      </c>
      <c r="K1890" s="2">
        <f t="shared" si="155"/>
        <v>0.79677048119110983</v>
      </c>
      <c r="L1890" t="s">
        <v>13743</v>
      </c>
      <c r="M1890" t="s">
        <v>313</v>
      </c>
      <c r="N1890" t="b">
        <f t="shared" si="156"/>
        <v>0</v>
      </c>
    </row>
    <row r="1891" spans="1:14" x14ac:dyDescent="0.15">
      <c r="A1891" t="s">
        <v>13739</v>
      </c>
      <c r="B1891" t="s">
        <v>13742</v>
      </c>
      <c r="C1891" t="s">
        <v>13820</v>
      </c>
      <c r="D1891" t="s">
        <v>118</v>
      </c>
      <c r="E1891" t="s">
        <v>13821</v>
      </c>
      <c r="F1891" s="5">
        <v>28310000</v>
      </c>
      <c r="G1891" s="5">
        <v>28310000</v>
      </c>
      <c r="H1891" s="4">
        <v>22433000</v>
      </c>
      <c r="I1891" s="2">
        <f t="shared" si="154"/>
        <v>0.79240551042034613</v>
      </c>
      <c r="J1891" s="4">
        <v>22455000</v>
      </c>
      <c r="K1891" s="2">
        <f t="shared" si="155"/>
        <v>0.79318262098198511</v>
      </c>
      <c r="L1891" t="s">
        <v>13822</v>
      </c>
      <c r="M1891" t="s">
        <v>353</v>
      </c>
      <c r="N1891" t="b">
        <f t="shared" si="156"/>
        <v>0</v>
      </c>
    </row>
    <row r="1892" spans="1:14" x14ac:dyDescent="0.15">
      <c r="A1892" t="s">
        <v>13739</v>
      </c>
      <c r="B1892" t="s">
        <v>13742</v>
      </c>
      <c r="C1892" t="s">
        <v>13823</v>
      </c>
      <c r="D1892" t="s">
        <v>118</v>
      </c>
      <c r="E1892" t="s">
        <v>13824</v>
      </c>
      <c r="F1892" s="5">
        <v>4958800</v>
      </c>
      <c r="G1892" s="5">
        <v>4958800</v>
      </c>
      <c r="I1892" s="2">
        <f t="shared" si="154"/>
        <v>0</v>
      </c>
      <c r="J1892" s="4">
        <v>4950000</v>
      </c>
      <c r="K1892" s="2">
        <f t="shared" si="155"/>
        <v>0.9982253771073647</v>
      </c>
      <c r="L1892" t="s">
        <v>12646</v>
      </c>
      <c r="M1892" t="s">
        <v>432</v>
      </c>
      <c r="N1892" t="b">
        <f t="shared" si="156"/>
        <v>0</v>
      </c>
    </row>
    <row r="1893" spans="1:14" x14ac:dyDescent="0.15">
      <c r="A1893" t="s">
        <v>13739</v>
      </c>
      <c r="B1893" t="s">
        <v>13750</v>
      </c>
      <c r="C1893" t="s">
        <v>13825</v>
      </c>
      <c r="D1893" t="s">
        <v>118</v>
      </c>
      <c r="E1893" t="s">
        <v>13826</v>
      </c>
      <c r="F1893" s="5">
        <v>20724250</v>
      </c>
      <c r="G1893" s="5">
        <v>20724250</v>
      </c>
      <c r="I1893" s="2">
        <f t="shared" si="154"/>
        <v>0</v>
      </c>
      <c r="J1893" s="4">
        <v>19600000</v>
      </c>
      <c r="K1893" s="2">
        <f t="shared" si="155"/>
        <v>0.94575195724815131</v>
      </c>
      <c r="L1893" t="s">
        <v>13753</v>
      </c>
      <c r="M1893" t="s">
        <v>1015</v>
      </c>
      <c r="N1893" t="b">
        <f t="shared" si="156"/>
        <v>0</v>
      </c>
    </row>
    <row r="1894" spans="1:14" x14ac:dyDescent="0.15">
      <c r="A1894" t="s">
        <v>13739</v>
      </c>
      <c r="B1894" t="s">
        <v>13750</v>
      </c>
      <c r="C1894" t="s">
        <v>13827</v>
      </c>
      <c r="D1894" t="s">
        <v>118</v>
      </c>
      <c r="E1894" t="s">
        <v>13828</v>
      </c>
      <c r="F1894" s="5">
        <v>31081500</v>
      </c>
      <c r="G1894" s="5">
        <v>31081500</v>
      </c>
      <c r="I1894" s="2">
        <f t="shared" si="154"/>
        <v>0</v>
      </c>
      <c r="J1894" s="4">
        <v>27780000</v>
      </c>
      <c r="K1894" s="2">
        <f t="shared" si="155"/>
        <v>0.89377925775783018</v>
      </c>
      <c r="L1894" t="s">
        <v>5636</v>
      </c>
      <c r="M1894" t="s">
        <v>432</v>
      </c>
      <c r="N1894" t="b">
        <f t="shared" si="156"/>
        <v>0</v>
      </c>
    </row>
    <row r="1895" spans="1:14" x14ac:dyDescent="0.15">
      <c r="A1895" t="s">
        <v>13739</v>
      </c>
      <c r="B1895" t="s">
        <v>13742</v>
      </c>
      <c r="C1895" t="s">
        <v>13829</v>
      </c>
      <c r="D1895" t="s">
        <v>118</v>
      </c>
      <c r="E1895" t="s">
        <v>13830</v>
      </c>
      <c r="F1895" s="5">
        <v>29120000</v>
      </c>
      <c r="G1895" s="5">
        <v>29120000</v>
      </c>
      <c r="H1895" s="4">
        <v>18806400</v>
      </c>
      <c r="I1895" s="2">
        <f t="shared" si="154"/>
        <v>0.64582417582417584</v>
      </c>
      <c r="J1895" s="4">
        <v>21780000</v>
      </c>
      <c r="K1895" s="2">
        <f t="shared" si="155"/>
        <v>0.74793956043956045</v>
      </c>
      <c r="L1895" t="s">
        <v>256</v>
      </c>
      <c r="M1895" t="s">
        <v>80</v>
      </c>
      <c r="N1895" t="b">
        <f t="shared" si="156"/>
        <v>0</v>
      </c>
    </row>
    <row r="1896" spans="1:14" x14ac:dyDescent="0.15">
      <c r="A1896" t="s">
        <v>13739</v>
      </c>
      <c r="B1896" t="s">
        <v>13742</v>
      </c>
      <c r="C1896" t="s">
        <v>13831</v>
      </c>
      <c r="D1896" t="s">
        <v>118</v>
      </c>
      <c r="E1896" t="s">
        <v>13832</v>
      </c>
      <c r="F1896" s="5">
        <v>4114000</v>
      </c>
      <c r="G1896" s="5">
        <v>4114000</v>
      </c>
      <c r="H1896" s="4">
        <v>3208000</v>
      </c>
      <c r="I1896" s="2">
        <f t="shared" si="154"/>
        <v>0.77977637335926109</v>
      </c>
      <c r="J1896" s="4">
        <v>3650000</v>
      </c>
      <c r="K1896" s="2">
        <f t="shared" si="155"/>
        <v>0.88721438988818668</v>
      </c>
      <c r="L1896" t="s">
        <v>13767</v>
      </c>
      <c r="M1896" t="s">
        <v>248</v>
      </c>
      <c r="N1896" t="b">
        <f t="shared" si="156"/>
        <v>0</v>
      </c>
    </row>
    <row r="1897" spans="1:14" x14ac:dyDescent="0.15">
      <c r="A1897" t="s">
        <v>13739</v>
      </c>
      <c r="B1897" t="s">
        <v>13742</v>
      </c>
      <c r="C1897" t="s">
        <v>13833</v>
      </c>
      <c r="D1897" t="s">
        <v>118</v>
      </c>
      <c r="E1897" t="s">
        <v>13834</v>
      </c>
      <c r="F1897" s="5">
        <v>4152000</v>
      </c>
      <c r="G1897" s="5">
        <v>4152000</v>
      </c>
      <c r="H1897" s="4">
        <v>3205600</v>
      </c>
      <c r="I1897" s="2">
        <f t="shared" si="154"/>
        <v>0.77206165703275531</v>
      </c>
      <c r="J1897" s="4">
        <v>3700000</v>
      </c>
      <c r="K1897" s="2">
        <f t="shared" si="155"/>
        <v>0.89113680154142583</v>
      </c>
      <c r="L1897" t="s">
        <v>13835</v>
      </c>
      <c r="M1897" t="s">
        <v>353</v>
      </c>
      <c r="N1897" t="b">
        <f t="shared" si="156"/>
        <v>0</v>
      </c>
    </row>
    <row r="1898" spans="1:14" x14ac:dyDescent="0.15">
      <c r="A1898" t="s">
        <v>13739</v>
      </c>
      <c r="B1898" t="s">
        <v>13742</v>
      </c>
      <c r="C1898" t="s">
        <v>13746</v>
      </c>
      <c r="D1898" t="s">
        <v>118</v>
      </c>
      <c r="E1898" t="s">
        <v>13836</v>
      </c>
      <c r="F1898" s="5">
        <v>6330200</v>
      </c>
      <c r="G1898" s="5">
        <v>6330200</v>
      </c>
      <c r="I1898" s="2">
        <f t="shared" si="154"/>
        <v>0</v>
      </c>
      <c r="J1898" s="4">
        <v>5600000</v>
      </c>
      <c r="K1898" s="2">
        <f t="shared" si="155"/>
        <v>0.8846481943698461</v>
      </c>
      <c r="L1898" t="s">
        <v>125</v>
      </c>
      <c r="M1898" t="s">
        <v>165</v>
      </c>
      <c r="N1898" t="b">
        <f t="shared" si="156"/>
        <v>0</v>
      </c>
    </row>
    <row r="1899" spans="1:14" x14ac:dyDescent="0.15">
      <c r="A1899" t="s">
        <v>13739</v>
      </c>
      <c r="B1899" t="s">
        <v>13750</v>
      </c>
      <c r="C1899" t="s">
        <v>13837</v>
      </c>
      <c r="D1899" t="s">
        <v>118</v>
      </c>
      <c r="E1899" t="s">
        <v>13838</v>
      </c>
      <c r="F1899" s="5">
        <v>3070000</v>
      </c>
      <c r="G1899" s="5">
        <v>3070000</v>
      </c>
      <c r="I1899" s="2">
        <f t="shared" si="154"/>
        <v>0</v>
      </c>
      <c r="J1899" s="4">
        <v>2910400</v>
      </c>
      <c r="K1899" s="2">
        <f t="shared" si="155"/>
        <v>0.94801302931596088</v>
      </c>
      <c r="L1899" t="s">
        <v>13839</v>
      </c>
      <c r="M1899" t="s">
        <v>216</v>
      </c>
      <c r="N1899" t="b">
        <f t="shared" si="156"/>
        <v>0</v>
      </c>
    </row>
    <row r="1900" spans="1:14" x14ac:dyDescent="0.15">
      <c r="A1900" t="s">
        <v>13739</v>
      </c>
      <c r="B1900" t="s">
        <v>13742</v>
      </c>
      <c r="C1900" t="s">
        <v>13840</v>
      </c>
      <c r="D1900" t="s">
        <v>118</v>
      </c>
      <c r="E1900" t="s">
        <v>13841</v>
      </c>
      <c r="F1900" s="5">
        <v>2592000</v>
      </c>
      <c r="G1900" s="5">
        <v>2592000</v>
      </c>
      <c r="H1900" s="4">
        <v>2022400</v>
      </c>
      <c r="I1900" s="2">
        <f t="shared" si="154"/>
        <v>0.78024691358024689</v>
      </c>
      <c r="J1900" s="4">
        <v>2400000</v>
      </c>
      <c r="K1900" s="2">
        <f t="shared" si="155"/>
        <v>0.92592592592592593</v>
      </c>
      <c r="L1900" t="s">
        <v>13767</v>
      </c>
      <c r="M1900" t="s">
        <v>482</v>
      </c>
      <c r="N1900" t="b">
        <f t="shared" si="156"/>
        <v>0</v>
      </c>
    </row>
    <row r="1901" spans="1:14" x14ac:dyDescent="0.15">
      <c r="A1901" t="s">
        <v>13739</v>
      </c>
      <c r="B1901" t="s">
        <v>13742</v>
      </c>
      <c r="C1901" t="s">
        <v>13842</v>
      </c>
      <c r="D1901" t="s">
        <v>118</v>
      </c>
      <c r="E1901" t="s">
        <v>13843</v>
      </c>
      <c r="F1901" s="5">
        <v>3891000</v>
      </c>
      <c r="G1901" s="5">
        <v>3891000</v>
      </c>
      <c r="H1901" s="4">
        <v>3038400</v>
      </c>
      <c r="I1901" s="2">
        <f t="shared" si="154"/>
        <v>0.78087895142636854</v>
      </c>
      <c r="J1901" s="4">
        <v>3600000</v>
      </c>
      <c r="K1901" s="2">
        <f t="shared" si="155"/>
        <v>0.9252120277563608</v>
      </c>
      <c r="L1901" t="s">
        <v>13767</v>
      </c>
      <c r="M1901" t="s">
        <v>482</v>
      </c>
      <c r="N1901" t="b">
        <f t="shared" si="156"/>
        <v>0</v>
      </c>
    </row>
    <row r="1902" spans="1:14" x14ac:dyDescent="0.15">
      <c r="A1902" t="s">
        <v>13739</v>
      </c>
      <c r="B1902" t="s">
        <v>13750</v>
      </c>
      <c r="C1902" t="s">
        <v>13844</v>
      </c>
      <c r="D1902" t="s">
        <v>118</v>
      </c>
      <c r="E1902" t="s">
        <v>13845</v>
      </c>
      <c r="F1902" s="5">
        <v>12278000</v>
      </c>
      <c r="G1902" s="5">
        <v>12278000</v>
      </c>
      <c r="H1902" s="4">
        <v>7744000</v>
      </c>
      <c r="I1902" s="2">
        <f t="shared" si="154"/>
        <v>0.63072161589835474</v>
      </c>
      <c r="J1902" s="4">
        <v>9680000</v>
      </c>
      <c r="K1902" s="2">
        <f t="shared" si="155"/>
        <v>0.78840201987294345</v>
      </c>
      <c r="L1902" t="s">
        <v>30</v>
      </c>
      <c r="M1902" t="s">
        <v>139</v>
      </c>
      <c r="N1902" t="b">
        <f t="shared" si="156"/>
        <v>0</v>
      </c>
    </row>
    <row r="1903" spans="1:14" x14ac:dyDescent="0.15">
      <c r="A1903" t="s">
        <v>13739</v>
      </c>
      <c r="B1903" t="s">
        <v>13742</v>
      </c>
      <c r="C1903" t="s">
        <v>13846</v>
      </c>
      <c r="D1903" t="s">
        <v>118</v>
      </c>
      <c r="E1903" t="s">
        <v>13847</v>
      </c>
      <c r="F1903" s="5">
        <v>6410000</v>
      </c>
      <c r="G1903" s="5">
        <v>6410000</v>
      </c>
      <c r="H1903" s="4">
        <v>4864000</v>
      </c>
      <c r="I1903" s="2">
        <f t="shared" si="154"/>
        <v>0.75881435257410301</v>
      </c>
      <c r="J1903" s="4">
        <v>4880000</v>
      </c>
      <c r="K1903" s="2">
        <f t="shared" si="155"/>
        <v>0.76131045241809669</v>
      </c>
      <c r="L1903" t="s">
        <v>13848</v>
      </c>
      <c r="M1903" t="s">
        <v>31</v>
      </c>
      <c r="N1903" t="b">
        <f t="shared" si="156"/>
        <v>0</v>
      </c>
    </row>
    <row r="1904" spans="1:14" x14ac:dyDescent="0.15">
      <c r="A1904" t="s">
        <v>13739</v>
      </c>
      <c r="B1904" t="s">
        <v>13750</v>
      </c>
      <c r="C1904" t="s">
        <v>13849</v>
      </c>
      <c r="D1904" t="s">
        <v>118</v>
      </c>
      <c r="E1904" t="s">
        <v>13850</v>
      </c>
      <c r="F1904" s="5">
        <v>5366000</v>
      </c>
      <c r="G1904" s="5">
        <v>5366000</v>
      </c>
      <c r="H1904" s="4">
        <v>4198400</v>
      </c>
      <c r="I1904" s="2">
        <f t="shared" si="154"/>
        <v>0.78240775251584049</v>
      </c>
      <c r="J1904" s="4">
        <v>4950000</v>
      </c>
      <c r="K1904" s="2">
        <f t="shared" si="155"/>
        <v>0.92247484159522919</v>
      </c>
      <c r="L1904" t="s">
        <v>13767</v>
      </c>
      <c r="M1904" t="s">
        <v>248</v>
      </c>
      <c r="N1904" t="b">
        <f t="shared" si="156"/>
        <v>0</v>
      </c>
    </row>
    <row r="1905" spans="1:14" x14ac:dyDescent="0.15">
      <c r="A1905" t="s">
        <v>13739</v>
      </c>
      <c r="B1905" t="s">
        <v>13750</v>
      </c>
      <c r="C1905" t="s">
        <v>13851</v>
      </c>
      <c r="D1905" t="s">
        <v>118</v>
      </c>
      <c r="E1905" t="s">
        <v>13852</v>
      </c>
      <c r="F1905" s="5">
        <v>3092000</v>
      </c>
      <c r="G1905" s="5">
        <v>3092000</v>
      </c>
      <c r="H1905" s="4">
        <v>2419200</v>
      </c>
      <c r="I1905" s="2">
        <f t="shared" si="154"/>
        <v>0.78240620957309182</v>
      </c>
      <c r="J1905" s="4">
        <v>2900000</v>
      </c>
      <c r="K1905" s="2">
        <f t="shared" si="155"/>
        <v>0.9379042690815006</v>
      </c>
      <c r="L1905" t="s">
        <v>13753</v>
      </c>
      <c r="M1905" t="s">
        <v>248</v>
      </c>
      <c r="N1905" t="b">
        <f t="shared" si="156"/>
        <v>0</v>
      </c>
    </row>
    <row r="1906" spans="1:14" x14ac:dyDescent="0.15">
      <c r="A1906" t="s">
        <v>13739</v>
      </c>
      <c r="B1906" t="s">
        <v>13742</v>
      </c>
      <c r="C1906" t="s">
        <v>13760</v>
      </c>
      <c r="D1906" t="s">
        <v>118</v>
      </c>
      <c r="E1906" t="s">
        <v>13853</v>
      </c>
      <c r="F1906" s="5">
        <v>3268100</v>
      </c>
      <c r="G1906" s="5">
        <v>3268100</v>
      </c>
      <c r="I1906" s="2">
        <f t="shared" si="154"/>
        <v>0</v>
      </c>
      <c r="J1906" s="4">
        <v>3150000</v>
      </c>
      <c r="K1906" s="2">
        <f t="shared" si="155"/>
        <v>0.96386279489611704</v>
      </c>
      <c r="L1906" t="s">
        <v>12415</v>
      </c>
      <c r="M1906" t="s">
        <v>183</v>
      </c>
      <c r="N1906" t="b">
        <f t="shared" si="156"/>
        <v>0</v>
      </c>
    </row>
    <row r="1907" spans="1:14" x14ac:dyDescent="0.15">
      <c r="A1907" t="s">
        <v>13739</v>
      </c>
      <c r="B1907" t="s">
        <v>13750</v>
      </c>
      <c r="C1907" t="s">
        <v>13854</v>
      </c>
      <c r="D1907" t="s">
        <v>118</v>
      </c>
      <c r="E1907" t="s">
        <v>13855</v>
      </c>
      <c r="F1907" s="5">
        <v>10352000</v>
      </c>
      <c r="G1907" s="5">
        <v>10352000</v>
      </c>
      <c r="H1907" s="4">
        <v>6446400</v>
      </c>
      <c r="I1907" s="2">
        <f t="shared" si="154"/>
        <v>0.6227202472952087</v>
      </c>
      <c r="J1907" s="4">
        <v>7474000</v>
      </c>
      <c r="K1907" s="2">
        <f t="shared" si="155"/>
        <v>0.72198608964451316</v>
      </c>
      <c r="L1907" t="s">
        <v>811</v>
      </c>
      <c r="M1907" t="s">
        <v>126</v>
      </c>
      <c r="N1907" t="b">
        <f t="shared" si="156"/>
        <v>0</v>
      </c>
    </row>
    <row r="1908" spans="1:14" x14ac:dyDescent="0.15">
      <c r="A1908" t="s">
        <v>13739</v>
      </c>
      <c r="B1908" t="s">
        <v>13750</v>
      </c>
      <c r="C1908" t="s">
        <v>13856</v>
      </c>
      <c r="D1908" t="s">
        <v>118</v>
      </c>
      <c r="E1908" t="s">
        <v>13857</v>
      </c>
      <c r="F1908" s="5">
        <v>8595000</v>
      </c>
      <c r="G1908" s="5">
        <v>8595000</v>
      </c>
      <c r="H1908" s="4">
        <v>6453600</v>
      </c>
      <c r="I1908" s="2">
        <f t="shared" si="154"/>
        <v>0.75085514834205935</v>
      </c>
      <c r="J1908" s="4">
        <v>6900000</v>
      </c>
      <c r="K1908" s="2">
        <f t="shared" si="155"/>
        <v>0.80279232111692844</v>
      </c>
      <c r="L1908" t="s">
        <v>2729</v>
      </c>
      <c r="M1908" t="s">
        <v>80</v>
      </c>
      <c r="N1908" t="b">
        <f t="shared" si="156"/>
        <v>0</v>
      </c>
    </row>
    <row r="1909" spans="1:14" x14ac:dyDescent="0.15">
      <c r="A1909" t="s">
        <v>13739</v>
      </c>
      <c r="B1909" t="s">
        <v>13742</v>
      </c>
      <c r="C1909" t="s">
        <v>13858</v>
      </c>
      <c r="D1909" t="s">
        <v>118</v>
      </c>
      <c r="E1909" t="s">
        <v>13859</v>
      </c>
      <c r="F1909" s="5">
        <v>21334000</v>
      </c>
      <c r="G1909" s="5">
        <v>21334000</v>
      </c>
      <c r="H1909" s="4">
        <v>15734400</v>
      </c>
      <c r="I1909" s="2">
        <f t="shared" si="154"/>
        <v>0.73752695228274112</v>
      </c>
      <c r="J1909" s="4">
        <v>16670000</v>
      </c>
      <c r="K1909" s="2">
        <f t="shared" si="155"/>
        <v>0.78138183181775567</v>
      </c>
      <c r="L1909" t="s">
        <v>2037</v>
      </c>
      <c r="M1909" t="s">
        <v>432</v>
      </c>
      <c r="N1909" t="b">
        <f t="shared" si="156"/>
        <v>0</v>
      </c>
    </row>
    <row r="1910" spans="1:14" x14ac:dyDescent="0.15">
      <c r="A1910" t="s">
        <v>13739</v>
      </c>
      <c r="B1910" t="s">
        <v>13750</v>
      </c>
      <c r="C1910" t="s">
        <v>13860</v>
      </c>
      <c r="D1910" t="s">
        <v>118</v>
      </c>
      <c r="E1910" t="s">
        <v>13861</v>
      </c>
      <c r="F1910" s="5">
        <v>1099600</v>
      </c>
      <c r="G1910" s="5">
        <v>1099600</v>
      </c>
      <c r="I1910" s="2">
        <f t="shared" si="154"/>
        <v>0</v>
      </c>
      <c r="J1910" s="4">
        <v>789600</v>
      </c>
      <c r="K1910" s="2">
        <f t="shared" si="155"/>
        <v>0.71807930156420519</v>
      </c>
      <c r="L1910" t="s">
        <v>574</v>
      </c>
      <c r="M1910" t="s">
        <v>21</v>
      </c>
      <c r="N1910" t="b">
        <f t="shared" si="156"/>
        <v>0</v>
      </c>
    </row>
    <row r="1911" spans="1:14" x14ac:dyDescent="0.15">
      <c r="A1911" t="s">
        <v>13739</v>
      </c>
      <c r="B1911" t="s">
        <v>13750</v>
      </c>
      <c r="C1911" t="s">
        <v>13862</v>
      </c>
      <c r="D1911" t="s">
        <v>118</v>
      </c>
      <c r="E1911" t="s">
        <v>13863</v>
      </c>
      <c r="F1911" s="5">
        <v>2740000</v>
      </c>
      <c r="G1911" s="5">
        <v>2740000</v>
      </c>
      <c r="H1911" s="4">
        <v>2134400</v>
      </c>
      <c r="I1911" s="2">
        <f t="shared" si="154"/>
        <v>0.77897810218978103</v>
      </c>
      <c r="J1911" s="4">
        <v>2450000</v>
      </c>
      <c r="K1911" s="2">
        <f t="shared" si="155"/>
        <v>0.8941605839416058</v>
      </c>
      <c r="L1911" t="s">
        <v>13767</v>
      </c>
      <c r="M1911" t="s">
        <v>31</v>
      </c>
      <c r="N1911" t="b">
        <f t="shared" si="156"/>
        <v>0</v>
      </c>
    </row>
    <row r="1912" spans="1:14" x14ac:dyDescent="0.15">
      <c r="A1912" t="s">
        <v>13739</v>
      </c>
      <c r="B1912" t="s">
        <v>13750</v>
      </c>
      <c r="C1912" t="s">
        <v>13864</v>
      </c>
      <c r="D1912" t="s">
        <v>118</v>
      </c>
      <c r="E1912" t="s">
        <v>13865</v>
      </c>
      <c r="F1912" s="5">
        <v>6063000</v>
      </c>
      <c r="G1912" s="5">
        <v>6063000</v>
      </c>
      <c r="H1912" s="4">
        <v>3813600</v>
      </c>
      <c r="I1912" s="2">
        <f t="shared" si="154"/>
        <v>0.62899554675903013</v>
      </c>
      <c r="J1912" s="4">
        <v>4180000</v>
      </c>
      <c r="K1912" s="2">
        <f t="shared" si="155"/>
        <v>0.68942767606795319</v>
      </c>
      <c r="L1912" t="s">
        <v>786</v>
      </c>
      <c r="M1912" t="s">
        <v>192</v>
      </c>
      <c r="N1912" t="b">
        <f t="shared" si="156"/>
        <v>0</v>
      </c>
    </row>
    <row r="1913" spans="1:14" x14ac:dyDescent="0.15">
      <c r="A1913" t="s">
        <v>13739</v>
      </c>
      <c r="B1913" t="s">
        <v>13750</v>
      </c>
      <c r="C1913" t="s">
        <v>13866</v>
      </c>
      <c r="D1913" t="s">
        <v>118</v>
      </c>
      <c r="E1913" t="s">
        <v>13867</v>
      </c>
      <c r="F1913" s="5">
        <v>33467000</v>
      </c>
      <c r="G1913" s="5">
        <v>33467000</v>
      </c>
      <c r="H1913" s="4">
        <v>20391200</v>
      </c>
      <c r="I1913" s="2">
        <f t="shared" si="154"/>
        <v>0.60929273612812618</v>
      </c>
      <c r="J1913" s="4">
        <v>22289000</v>
      </c>
      <c r="K1913" s="2">
        <f t="shared" si="155"/>
        <v>0.66599934263602956</v>
      </c>
      <c r="L1913" t="s">
        <v>13868</v>
      </c>
      <c r="M1913" t="s">
        <v>104</v>
      </c>
      <c r="N1913" t="b">
        <f t="shared" si="156"/>
        <v>0</v>
      </c>
    </row>
    <row r="1914" spans="1:14" x14ac:dyDescent="0.15">
      <c r="A1914" t="s">
        <v>13739</v>
      </c>
      <c r="B1914" t="s">
        <v>13742</v>
      </c>
      <c r="C1914" t="s">
        <v>13869</v>
      </c>
      <c r="D1914" t="s">
        <v>118</v>
      </c>
      <c r="E1914" t="s">
        <v>13870</v>
      </c>
      <c r="F1914" s="5">
        <v>1713000</v>
      </c>
      <c r="G1914" s="5">
        <v>1713000</v>
      </c>
      <c r="H1914" s="4">
        <v>1200000</v>
      </c>
      <c r="I1914" s="2">
        <f t="shared" si="154"/>
        <v>0.70052539404553416</v>
      </c>
      <c r="J1914" s="4">
        <v>1300000</v>
      </c>
      <c r="K1914" s="2">
        <f t="shared" si="155"/>
        <v>0.75890251021599531</v>
      </c>
      <c r="L1914" t="s">
        <v>1558</v>
      </c>
      <c r="M1914" t="s">
        <v>21</v>
      </c>
      <c r="N1914" t="b">
        <f t="shared" si="156"/>
        <v>0</v>
      </c>
    </row>
    <row r="1915" spans="1:14" x14ac:dyDescent="0.15">
      <c r="A1915" t="s">
        <v>13739</v>
      </c>
      <c r="B1915" t="s">
        <v>13742</v>
      </c>
      <c r="C1915" t="s">
        <v>13871</v>
      </c>
      <c r="D1915" t="s">
        <v>118</v>
      </c>
      <c r="E1915" t="s">
        <v>13872</v>
      </c>
      <c r="F1915" s="5">
        <v>8591000</v>
      </c>
      <c r="G1915" s="5">
        <v>8591000</v>
      </c>
      <c r="H1915" s="4">
        <v>5572000</v>
      </c>
      <c r="I1915" s="2">
        <f t="shared" si="154"/>
        <v>0.64858572925154234</v>
      </c>
      <c r="J1915" s="4">
        <v>6830000</v>
      </c>
      <c r="K1915" s="2">
        <f t="shared" si="155"/>
        <v>0.79501804213712024</v>
      </c>
      <c r="L1915" t="s">
        <v>5415</v>
      </c>
      <c r="M1915" t="s">
        <v>1015</v>
      </c>
      <c r="N1915" t="b">
        <f t="shared" si="156"/>
        <v>0</v>
      </c>
    </row>
    <row r="1916" spans="1:14" x14ac:dyDescent="0.15">
      <c r="A1916" t="s">
        <v>13739</v>
      </c>
      <c r="B1916" t="s">
        <v>13742</v>
      </c>
      <c r="C1916" t="s">
        <v>13873</v>
      </c>
      <c r="D1916" t="s">
        <v>118</v>
      </c>
      <c r="E1916" t="s">
        <v>13874</v>
      </c>
      <c r="F1916" s="5">
        <v>14453000</v>
      </c>
      <c r="G1916" s="5">
        <v>14453000</v>
      </c>
      <c r="H1916" s="4">
        <v>11154400</v>
      </c>
      <c r="I1916" s="2">
        <f t="shared" si="154"/>
        <v>0.77177056666436039</v>
      </c>
      <c r="J1916" s="4">
        <v>14350000</v>
      </c>
      <c r="K1916" s="2">
        <f t="shared" si="155"/>
        <v>0.99287345187850273</v>
      </c>
      <c r="L1916" t="s">
        <v>13848</v>
      </c>
      <c r="M1916" t="s">
        <v>482</v>
      </c>
      <c r="N1916" t="b">
        <f t="shared" si="156"/>
        <v>0</v>
      </c>
    </row>
    <row r="1917" spans="1:14" x14ac:dyDescent="0.15">
      <c r="A1917" t="s">
        <v>13739</v>
      </c>
      <c r="B1917" t="s">
        <v>13750</v>
      </c>
      <c r="C1917" t="s">
        <v>13875</v>
      </c>
      <c r="D1917" t="s">
        <v>118</v>
      </c>
      <c r="E1917" t="s">
        <v>13876</v>
      </c>
      <c r="F1917" s="5">
        <v>7671000</v>
      </c>
      <c r="G1917" s="5">
        <v>7671000</v>
      </c>
      <c r="H1917" s="4">
        <v>5843200</v>
      </c>
      <c r="I1917" s="2">
        <f t="shared" si="154"/>
        <v>0.76172598096727939</v>
      </c>
      <c r="J1917" s="4">
        <v>6137000</v>
      </c>
      <c r="K1917" s="2">
        <f t="shared" si="155"/>
        <v>0.80002607222004951</v>
      </c>
      <c r="L1917" t="s">
        <v>13835</v>
      </c>
      <c r="M1917" t="s">
        <v>31</v>
      </c>
      <c r="N1917" t="b">
        <f t="shared" si="156"/>
        <v>0</v>
      </c>
    </row>
    <row r="1918" spans="1:14" x14ac:dyDescent="0.15">
      <c r="A1918" t="s">
        <v>13739</v>
      </c>
      <c r="B1918" t="s">
        <v>13742</v>
      </c>
      <c r="C1918" t="s">
        <v>13877</v>
      </c>
      <c r="D1918" t="s">
        <v>118</v>
      </c>
      <c r="E1918" t="s">
        <v>13878</v>
      </c>
      <c r="F1918" s="5">
        <v>17855000</v>
      </c>
      <c r="G1918" s="5">
        <v>17855000</v>
      </c>
      <c r="H1918" s="4">
        <v>11870400</v>
      </c>
      <c r="I1918" s="2">
        <f t="shared" si="154"/>
        <v>0.66482217866143933</v>
      </c>
      <c r="J1918" s="4">
        <v>11961000</v>
      </c>
      <c r="K1918" s="2">
        <f t="shared" si="155"/>
        <v>0.66989638756650793</v>
      </c>
      <c r="L1918" t="s">
        <v>13743</v>
      </c>
      <c r="M1918" t="s">
        <v>482</v>
      </c>
      <c r="N1918" t="b">
        <f t="shared" si="156"/>
        <v>0</v>
      </c>
    </row>
    <row r="1919" spans="1:14" x14ac:dyDescent="0.15">
      <c r="A1919" t="s">
        <v>13739</v>
      </c>
      <c r="B1919" t="s">
        <v>13742</v>
      </c>
      <c r="C1919" t="s">
        <v>13879</v>
      </c>
      <c r="D1919" t="s">
        <v>118</v>
      </c>
      <c r="E1919" t="s">
        <v>13880</v>
      </c>
      <c r="F1919" s="5">
        <v>22498000</v>
      </c>
      <c r="G1919" s="5">
        <v>22498000</v>
      </c>
      <c r="H1919" s="4">
        <v>15404800</v>
      </c>
      <c r="I1919" s="2">
        <f t="shared" si="154"/>
        <v>0.68471864165703622</v>
      </c>
      <c r="J1919" s="4">
        <v>13723000</v>
      </c>
      <c r="K1919" s="2">
        <f t="shared" si="155"/>
        <v>0.60996533025157795</v>
      </c>
      <c r="L1919" t="s">
        <v>13813</v>
      </c>
      <c r="M1919" t="s">
        <v>279</v>
      </c>
      <c r="N1919" t="b">
        <f t="shared" si="156"/>
        <v>0</v>
      </c>
    </row>
    <row r="1920" spans="1:14" x14ac:dyDescent="0.15">
      <c r="A1920" t="s">
        <v>13739</v>
      </c>
      <c r="B1920" t="s">
        <v>13742</v>
      </c>
      <c r="C1920" t="s">
        <v>13881</v>
      </c>
      <c r="D1920" t="s">
        <v>118</v>
      </c>
      <c r="E1920" t="s">
        <v>13882</v>
      </c>
      <c r="F1920" s="5">
        <v>31221000</v>
      </c>
      <c r="G1920" s="5">
        <v>31221000</v>
      </c>
      <c r="H1920" s="4">
        <v>18616000</v>
      </c>
      <c r="I1920" s="2">
        <f t="shared" si="154"/>
        <v>0.59626533423016559</v>
      </c>
      <c r="J1920" s="4">
        <v>14040000</v>
      </c>
      <c r="K1920" s="2">
        <f t="shared" si="155"/>
        <v>0.44969731911213606</v>
      </c>
      <c r="L1920" t="s">
        <v>1195</v>
      </c>
      <c r="M1920" t="s">
        <v>104</v>
      </c>
      <c r="N1920" t="b">
        <f t="shared" si="156"/>
        <v>0</v>
      </c>
    </row>
    <row r="1921" spans="1:14" x14ac:dyDescent="0.15">
      <c r="A1921" t="s">
        <v>13739</v>
      </c>
      <c r="B1921" t="s">
        <v>13742</v>
      </c>
      <c r="C1921" t="s">
        <v>13883</v>
      </c>
      <c r="D1921" t="s">
        <v>118</v>
      </c>
      <c r="E1921" t="s">
        <v>13884</v>
      </c>
      <c r="F1921" s="5">
        <v>28223000</v>
      </c>
      <c r="G1921" s="5">
        <v>28223000</v>
      </c>
      <c r="H1921" s="4">
        <v>22015200</v>
      </c>
      <c r="I1921" s="2">
        <f t="shared" si="154"/>
        <v>0.78004464443893273</v>
      </c>
      <c r="J1921" s="4">
        <v>25401000</v>
      </c>
      <c r="K1921" s="2">
        <f t="shared" si="155"/>
        <v>0.90001062962831735</v>
      </c>
      <c r="L1921" t="s">
        <v>13784</v>
      </c>
      <c r="M1921" t="s">
        <v>482</v>
      </c>
      <c r="N1921" t="b">
        <f t="shared" si="156"/>
        <v>0</v>
      </c>
    </row>
    <row r="1922" spans="1:14" x14ac:dyDescent="0.15">
      <c r="A1922" t="s">
        <v>13739</v>
      </c>
      <c r="B1922" t="s">
        <v>13750</v>
      </c>
      <c r="C1922" t="s">
        <v>13804</v>
      </c>
      <c r="D1922" t="s">
        <v>118</v>
      </c>
      <c r="E1922" t="s">
        <v>13885</v>
      </c>
      <c r="F1922" s="5">
        <v>11628000</v>
      </c>
      <c r="G1922" s="5">
        <v>11628000</v>
      </c>
      <c r="H1922" s="4">
        <v>8972800</v>
      </c>
      <c r="I1922" s="2">
        <f t="shared" si="154"/>
        <v>0.77165462676298591</v>
      </c>
      <c r="J1922" s="4">
        <v>10400000</v>
      </c>
      <c r="K1922" s="2">
        <f t="shared" si="155"/>
        <v>0.89439284485724113</v>
      </c>
      <c r="L1922" t="s">
        <v>13767</v>
      </c>
      <c r="M1922" t="s">
        <v>482</v>
      </c>
      <c r="N1922" t="b">
        <f t="shared" si="156"/>
        <v>0</v>
      </c>
    </row>
    <row r="1923" spans="1:14" x14ac:dyDescent="0.15">
      <c r="A1923" t="s">
        <v>13739</v>
      </c>
      <c r="B1923" t="s">
        <v>13750</v>
      </c>
      <c r="C1923" t="s">
        <v>13886</v>
      </c>
      <c r="D1923" t="s">
        <v>118</v>
      </c>
      <c r="E1923" t="s">
        <v>13887</v>
      </c>
      <c r="F1923" s="5">
        <v>13561000</v>
      </c>
      <c r="G1923" s="5">
        <v>13561000</v>
      </c>
      <c r="H1923" s="4">
        <v>10649600</v>
      </c>
      <c r="I1923" s="2">
        <f t="shared" si="154"/>
        <v>0.78531081778629896</v>
      </c>
      <c r="J1923" s="4">
        <v>13000000</v>
      </c>
      <c r="K1923" s="2">
        <f t="shared" si="155"/>
        <v>0.95863136936804072</v>
      </c>
      <c r="L1923" t="s">
        <v>13868</v>
      </c>
      <c r="M1923" t="s">
        <v>482</v>
      </c>
      <c r="N1923" t="b">
        <f t="shared" si="156"/>
        <v>0</v>
      </c>
    </row>
    <row r="1924" spans="1:14" x14ac:dyDescent="0.15">
      <c r="A1924" t="s">
        <v>13739</v>
      </c>
      <c r="B1924" t="s">
        <v>13742</v>
      </c>
      <c r="C1924" t="s">
        <v>13888</v>
      </c>
      <c r="D1924" t="s">
        <v>118</v>
      </c>
      <c r="E1924" t="s">
        <v>13889</v>
      </c>
      <c r="F1924" s="5">
        <v>29760000</v>
      </c>
      <c r="G1924" s="5">
        <v>29760000</v>
      </c>
      <c r="H1924" s="4">
        <v>18360000</v>
      </c>
      <c r="I1924" s="2">
        <f t="shared" ref="I1924:I1987" si="157">H1924/G1924</f>
        <v>0.61693548387096775</v>
      </c>
      <c r="J1924" s="4">
        <v>22950000</v>
      </c>
      <c r="K1924" s="2">
        <f t="shared" ref="K1924:K1987" si="158">J1924/G1924</f>
        <v>0.77116935483870963</v>
      </c>
      <c r="L1924" t="s">
        <v>903</v>
      </c>
      <c r="M1924" t="s">
        <v>139</v>
      </c>
      <c r="N1924" t="b">
        <f t="shared" ref="N1924:N1987" si="159">F1924&lt;&gt;G1924</f>
        <v>0</v>
      </c>
    </row>
    <row r="1925" spans="1:14" x14ac:dyDescent="0.15">
      <c r="A1925" t="s">
        <v>13890</v>
      </c>
      <c r="B1925" t="s">
        <v>13893</v>
      </c>
      <c r="C1925" t="s">
        <v>13891</v>
      </c>
      <c r="D1925" t="s">
        <v>23</v>
      </c>
      <c r="E1925" t="s">
        <v>13892</v>
      </c>
      <c r="F1925" s="5">
        <v>12484000</v>
      </c>
      <c r="G1925" s="5">
        <v>12484000</v>
      </c>
      <c r="I1925" s="2">
        <f t="shared" si="157"/>
        <v>0</v>
      </c>
      <c r="J1925" s="4">
        <v>12400000</v>
      </c>
      <c r="K1925" s="2">
        <f t="shared" si="158"/>
        <v>0.99327138737584109</v>
      </c>
      <c r="L1925" t="s">
        <v>13894</v>
      </c>
      <c r="M1925" t="s">
        <v>174</v>
      </c>
      <c r="N1925" t="b">
        <f t="shared" si="159"/>
        <v>0</v>
      </c>
    </row>
    <row r="1926" spans="1:14" x14ac:dyDescent="0.15">
      <c r="A1926" t="s">
        <v>13890</v>
      </c>
      <c r="B1926" t="s">
        <v>13893</v>
      </c>
      <c r="C1926" t="s">
        <v>13895</v>
      </c>
      <c r="D1926" t="s">
        <v>23</v>
      </c>
      <c r="E1926" t="s">
        <v>13896</v>
      </c>
      <c r="F1926" s="5">
        <v>5780000</v>
      </c>
      <c r="G1926" s="5">
        <v>5780000</v>
      </c>
      <c r="I1926" s="2">
        <f t="shared" si="157"/>
        <v>0</v>
      </c>
      <c r="J1926" s="4">
        <v>4160000</v>
      </c>
      <c r="K1926" s="2">
        <f t="shared" si="158"/>
        <v>0.7197231833910035</v>
      </c>
      <c r="L1926" t="s">
        <v>207</v>
      </c>
      <c r="M1926" t="s">
        <v>432</v>
      </c>
      <c r="N1926" t="b">
        <f t="shared" si="159"/>
        <v>0</v>
      </c>
    </row>
    <row r="1927" spans="1:14" x14ac:dyDescent="0.15">
      <c r="A1927" t="s">
        <v>13890</v>
      </c>
      <c r="B1927" t="s">
        <v>13893</v>
      </c>
      <c r="C1927" t="s">
        <v>13897</v>
      </c>
      <c r="D1927" t="s">
        <v>23</v>
      </c>
      <c r="E1927" t="s">
        <v>13898</v>
      </c>
      <c r="F1927" s="5">
        <v>3820000</v>
      </c>
      <c r="G1927" s="5">
        <v>3820000</v>
      </c>
      <c r="I1927" s="2">
        <f t="shared" si="157"/>
        <v>0</v>
      </c>
      <c r="J1927" s="4">
        <v>3700000</v>
      </c>
      <c r="K1927" s="2">
        <f t="shared" si="158"/>
        <v>0.96858638743455494</v>
      </c>
      <c r="L1927" t="s">
        <v>13899</v>
      </c>
      <c r="M1927" t="s">
        <v>21</v>
      </c>
      <c r="N1927" t="b">
        <f t="shared" si="159"/>
        <v>0</v>
      </c>
    </row>
    <row r="1928" spans="1:14" x14ac:dyDescent="0.15">
      <c r="A1928" t="s">
        <v>13890</v>
      </c>
      <c r="B1928" t="s">
        <v>13893</v>
      </c>
      <c r="C1928" t="s">
        <v>13900</v>
      </c>
      <c r="D1928" t="s">
        <v>15</v>
      </c>
      <c r="E1928" t="s">
        <v>13901</v>
      </c>
      <c r="F1928" s="5">
        <v>942000</v>
      </c>
      <c r="G1928" s="5">
        <v>942000</v>
      </c>
      <c r="I1928" s="2">
        <f t="shared" si="157"/>
        <v>0</v>
      </c>
      <c r="K1928" s="2">
        <f t="shared" si="158"/>
        <v>0</v>
      </c>
      <c r="M1928" t="s">
        <v>139</v>
      </c>
      <c r="N1928" t="b">
        <f t="shared" si="159"/>
        <v>0</v>
      </c>
    </row>
    <row r="1929" spans="1:14" x14ac:dyDescent="0.15">
      <c r="A1929" t="s">
        <v>13890</v>
      </c>
      <c r="B1929" t="s">
        <v>13893</v>
      </c>
      <c r="C1929" t="s">
        <v>13902</v>
      </c>
      <c r="D1929" t="s">
        <v>15</v>
      </c>
      <c r="E1929" t="s">
        <v>13903</v>
      </c>
      <c r="F1929" s="5">
        <v>1006000</v>
      </c>
      <c r="G1929" s="5">
        <v>1006000</v>
      </c>
      <c r="I1929" s="2">
        <f t="shared" si="157"/>
        <v>0</v>
      </c>
      <c r="K1929" s="2">
        <f t="shared" si="158"/>
        <v>0</v>
      </c>
      <c r="M1929" t="s">
        <v>139</v>
      </c>
      <c r="N1929" t="b">
        <f t="shared" si="159"/>
        <v>0</v>
      </c>
    </row>
    <row r="1930" spans="1:14" x14ac:dyDescent="0.15">
      <c r="A1930" t="s">
        <v>13890</v>
      </c>
      <c r="B1930" t="s">
        <v>13893</v>
      </c>
      <c r="C1930" t="s">
        <v>13904</v>
      </c>
      <c r="D1930" t="s">
        <v>23</v>
      </c>
      <c r="E1930" t="s">
        <v>13905</v>
      </c>
      <c r="F1930" s="5">
        <v>14756000</v>
      </c>
      <c r="G1930" s="5">
        <v>14756000</v>
      </c>
      <c r="I1930" s="2">
        <f t="shared" si="157"/>
        <v>0</v>
      </c>
      <c r="J1930" s="4">
        <v>13800000</v>
      </c>
      <c r="K1930" s="2">
        <f t="shared" si="158"/>
        <v>0.93521279479533748</v>
      </c>
      <c r="L1930" t="s">
        <v>13906</v>
      </c>
      <c r="M1930" t="s">
        <v>80</v>
      </c>
      <c r="N1930" t="b">
        <f t="shared" si="159"/>
        <v>0</v>
      </c>
    </row>
    <row r="1931" spans="1:14" x14ac:dyDescent="0.15">
      <c r="A1931" t="s">
        <v>13890</v>
      </c>
      <c r="B1931" t="s">
        <v>13893</v>
      </c>
      <c r="C1931" t="s">
        <v>13907</v>
      </c>
      <c r="D1931" t="s">
        <v>23</v>
      </c>
      <c r="E1931" t="s">
        <v>13908</v>
      </c>
      <c r="F1931" s="5">
        <v>19143000</v>
      </c>
      <c r="G1931" s="5">
        <v>19143000</v>
      </c>
      <c r="I1931" s="2">
        <f t="shared" si="157"/>
        <v>0</v>
      </c>
      <c r="J1931" s="4">
        <v>18100000</v>
      </c>
      <c r="K1931" s="2">
        <f t="shared" si="158"/>
        <v>0.94551533197513449</v>
      </c>
      <c r="L1931" t="s">
        <v>12470</v>
      </c>
      <c r="M1931" t="s">
        <v>80</v>
      </c>
      <c r="N1931" t="b">
        <f t="shared" si="159"/>
        <v>0</v>
      </c>
    </row>
    <row r="1932" spans="1:14" x14ac:dyDescent="0.15">
      <c r="A1932" t="s">
        <v>13890</v>
      </c>
      <c r="B1932" t="s">
        <v>13893</v>
      </c>
      <c r="C1932" t="s">
        <v>13909</v>
      </c>
      <c r="D1932" t="s">
        <v>23</v>
      </c>
      <c r="E1932" t="s">
        <v>13910</v>
      </c>
      <c r="F1932" s="5">
        <v>26681000</v>
      </c>
      <c r="G1932" s="5">
        <v>26681000</v>
      </c>
      <c r="I1932" s="2">
        <f t="shared" si="157"/>
        <v>0</v>
      </c>
      <c r="J1932" s="4">
        <v>25000000</v>
      </c>
      <c r="K1932" s="2">
        <f t="shared" si="158"/>
        <v>0.93699636445410595</v>
      </c>
      <c r="L1932" t="s">
        <v>1262</v>
      </c>
      <c r="M1932" t="s">
        <v>41</v>
      </c>
      <c r="N1932" t="b">
        <f t="shared" si="159"/>
        <v>0</v>
      </c>
    </row>
    <row r="1933" spans="1:14" x14ac:dyDescent="0.15">
      <c r="A1933" t="s">
        <v>13890</v>
      </c>
      <c r="B1933" t="s">
        <v>13913</v>
      </c>
      <c r="C1933" t="s">
        <v>13911</v>
      </c>
      <c r="D1933" t="s">
        <v>23</v>
      </c>
      <c r="E1933" t="s">
        <v>13912</v>
      </c>
      <c r="F1933" s="5">
        <v>15745000</v>
      </c>
      <c r="G1933" s="5">
        <v>15745000</v>
      </c>
      <c r="I1933" s="2">
        <f t="shared" si="157"/>
        <v>0</v>
      </c>
      <c r="J1933" s="4">
        <v>10800000</v>
      </c>
      <c r="K1933" s="2">
        <f t="shared" si="158"/>
        <v>0.68593204191806922</v>
      </c>
      <c r="L1933" t="s">
        <v>1030</v>
      </c>
      <c r="M1933" t="s">
        <v>126</v>
      </c>
      <c r="N1933" t="b">
        <f t="shared" si="159"/>
        <v>0</v>
      </c>
    </row>
    <row r="1934" spans="1:14" x14ac:dyDescent="0.15">
      <c r="A1934" t="s">
        <v>13890</v>
      </c>
      <c r="B1934" t="s">
        <v>13913</v>
      </c>
      <c r="C1934" t="s">
        <v>13914</v>
      </c>
      <c r="D1934" t="s">
        <v>23</v>
      </c>
      <c r="E1934" t="s">
        <v>13915</v>
      </c>
      <c r="F1934" s="5">
        <v>1114000</v>
      </c>
      <c r="G1934" s="5">
        <v>1114000</v>
      </c>
      <c r="I1934" s="2">
        <f t="shared" si="157"/>
        <v>0</v>
      </c>
      <c r="J1934" s="4">
        <v>1091900</v>
      </c>
      <c r="K1934" s="2">
        <f t="shared" si="158"/>
        <v>0.98016157989228003</v>
      </c>
      <c r="L1934" t="s">
        <v>12415</v>
      </c>
      <c r="M1934" t="s">
        <v>432</v>
      </c>
      <c r="N1934" t="b">
        <f t="shared" si="159"/>
        <v>0</v>
      </c>
    </row>
    <row r="1935" spans="1:14" x14ac:dyDescent="0.15">
      <c r="A1935" t="s">
        <v>13890</v>
      </c>
      <c r="B1935" t="s">
        <v>13913</v>
      </c>
      <c r="C1935" t="s">
        <v>13916</v>
      </c>
      <c r="D1935" t="s">
        <v>23</v>
      </c>
      <c r="E1935" t="s">
        <v>13917</v>
      </c>
      <c r="F1935" s="5">
        <v>10554000</v>
      </c>
      <c r="G1935" s="5">
        <v>10554000</v>
      </c>
      <c r="H1935" s="4">
        <v>8406000</v>
      </c>
      <c r="I1935" s="2">
        <f t="shared" si="157"/>
        <v>0.79647527003979535</v>
      </c>
      <c r="J1935" s="4">
        <v>8499000</v>
      </c>
      <c r="K1935" s="2">
        <f t="shared" si="158"/>
        <v>0.80528709494030704</v>
      </c>
      <c r="L1935" t="s">
        <v>2499</v>
      </c>
      <c r="M1935" t="s">
        <v>126</v>
      </c>
      <c r="N1935" t="b">
        <f t="shared" si="159"/>
        <v>0</v>
      </c>
    </row>
    <row r="1936" spans="1:14" x14ac:dyDescent="0.15">
      <c r="A1936" t="s">
        <v>13890</v>
      </c>
      <c r="B1936" t="s">
        <v>13893</v>
      </c>
      <c r="C1936" t="s">
        <v>13918</v>
      </c>
      <c r="D1936" t="s">
        <v>15</v>
      </c>
      <c r="E1936" t="s">
        <v>13919</v>
      </c>
      <c r="F1936" s="5">
        <v>4285000</v>
      </c>
      <c r="G1936" s="5">
        <v>4285000</v>
      </c>
      <c r="I1936" s="2">
        <f t="shared" si="157"/>
        <v>0</v>
      </c>
      <c r="K1936" s="2">
        <f t="shared" si="158"/>
        <v>0</v>
      </c>
      <c r="M1936" t="s">
        <v>139</v>
      </c>
      <c r="N1936" t="b">
        <f t="shared" si="159"/>
        <v>0</v>
      </c>
    </row>
    <row r="1937" spans="1:14" x14ac:dyDescent="0.15">
      <c r="A1937" t="s">
        <v>13890</v>
      </c>
      <c r="B1937" t="s">
        <v>13893</v>
      </c>
      <c r="C1937" t="s">
        <v>13920</v>
      </c>
      <c r="D1937" t="s">
        <v>23</v>
      </c>
      <c r="E1937" t="s">
        <v>13921</v>
      </c>
      <c r="F1937" s="5">
        <v>1092000</v>
      </c>
      <c r="G1937" s="5">
        <v>1092000</v>
      </c>
      <c r="I1937" s="2">
        <f t="shared" si="157"/>
        <v>0</v>
      </c>
      <c r="J1937" s="4">
        <v>1082000</v>
      </c>
      <c r="K1937" s="2">
        <f t="shared" si="158"/>
        <v>0.99084249084249088</v>
      </c>
      <c r="L1937" t="s">
        <v>13922</v>
      </c>
      <c r="M1937" t="s">
        <v>21</v>
      </c>
      <c r="N1937" t="b">
        <f t="shared" si="159"/>
        <v>0</v>
      </c>
    </row>
    <row r="1938" spans="1:14" x14ac:dyDescent="0.15">
      <c r="A1938" t="s">
        <v>13890</v>
      </c>
      <c r="B1938" t="s">
        <v>13913</v>
      </c>
      <c r="C1938" t="s">
        <v>13923</v>
      </c>
      <c r="D1938" t="s">
        <v>15</v>
      </c>
      <c r="E1938" t="s">
        <v>13924</v>
      </c>
      <c r="F1938" s="5">
        <v>6117000</v>
      </c>
      <c r="G1938" s="5">
        <v>6117000</v>
      </c>
      <c r="I1938" s="2">
        <f t="shared" si="157"/>
        <v>0</v>
      </c>
      <c r="K1938" s="2">
        <f t="shared" si="158"/>
        <v>0</v>
      </c>
      <c r="M1938" t="s">
        <v>139</v>
      </c>
      <c r="N1938" t="b">
        <f t="shared" si="159"/>
        <v>0</v>
      </c>
    </row>
    <row r="1939" spans="1:14" x14ac:dyDescent="0.15">
      <c r="A1939" t="s">
        <v>13890</v>
      </c>
      <c r="B1939" t="s">
        <v>13913</v>
      </c>
      <c r="C1939" t="s">
        <v>13925</v>
      </c>
      <c r="D1939" t="s">
        <v>23</v>
      </c>
      <c r="E1939" t="s">
        <v>13926</v>
      </c>
      <c r="F1939" s="5">
        <v>10350000</v>
      </c>
      <c r="G1939" s="5">
        <v>10350000</v>
      </c>
      <c r="H1939" s="4">
        <v>8242000</v>
      </c>
      <c r="I1939" s="2">
        <f t="shared" si="157"/>
        <v>0.79632850241545894</v>
      </c>
      <c r="J1939" s="4">
        <v>8242000</v>
      </c>
      <c r="K1939" s="2">
        <f t="shared" si="158"/>
        <v>0.79632850241545894</v>
      </c>
      <c r="L1939" t="s">
        <v>1632</v>
      </c>
      <c r="M1939" t="s">
        <v>192</v>
      </c>
      <c r="N1939" t="b">
        <f t="shared" si="159"/>
        <v>0</v>
      </c>
    </row>
    <row r="1940" spans="1:14" x14ac:dyDescent="0.15">
      <c r="A1940" t="s">
        <v>13890</v>
      </c>
      <c r="B1940" t="s">
        <v>13893</v>
      </c>
      <c r="C1940" t="s">
        <v>13927</v>
      </c>
      <c r="D1940" t="s">
        <v>23</v>
      </c>
      <c r="E1940" t="s">
        <v>13928</v>
      </c>
      <c r="F1940" s="5">
        <v>5698000</v>
      </c>
      <c r="G1940" s="5">
        <v>5698000</v>
      </c>
      <c r="H1940" s="4">
        <v>4558000</v>
      </c>
      <c r="I1940" s="2">
        <f t="shared" si="157"/>
        <v>0.79992979992979996</v>
      </c>
      <c r="J1940" s="4">
        <v>5350000</v>
      </c>
      <c r="K1940" s="2">
        <f t="shared" si="158"/>
        <v>0.9389259389259389</v>
      </c>
      <c r="L1940" t="s">
        <v>13929</v>
      </c>
      <c r="M1940" t="s">
        <v>174</v>
      </c>
      <c r="N1940" t="b">
        <f t="shared" si="159"/>
        <v>0</v>
      </c>
    </row>
    <row r="1941" spans="1:14" x14ac:dyDescent="0.15">
      <c r="A1941" t="s">
        <v>13890</v>
      </c>
      <c r="B1941" t="s">
        <v>13893</v>
      </c>
      <c r="C1941" t="s">
        <v>13930</v>
      </c>
      <c r="D1941" t="s">
        <v>23</v>
      </c>
      <c r="E1941" t="s">
        <v>13931</v>
      </c>
      <c r="F1941" s="5">
        <v>1382000</v>
      </c>
      <c r="G1941" s="5">
        <v>1382000</v>
      </c>
      <c r="I1941" s="2">
        <f t="shared" si="157"/>
        <v>0</v>
      </c>
      <c r="J1941" s="4">
        <v>1300000</v>
      </c>
      <c r="K1941" s="2">
        <f t="shared" si="158"/>
        <v>0.94066570188133136</v>
      </c>
      <c r="L1941" t="s">
        <v>360</v>
      </c>
      <c r="M1941" t="s">
        <v>21</v>
      </c>
      <c r="N1941" t="b">
        <f t="shared" si="159"/>
        <v>0</v>
      </c>
    </row>
    <row r="1942" spans="1:14" x14ac:dyDescent="0.15">
      <c r="A1942" t="s">
        <v>13890</v>
      </c>
      <c r="B1942" t="s">
        <v>13893</v>
      </c>
      <c r="C1942" t="s">
        <v>13932</v>
      </c>
      <c r="D1942" t="s">
        <v>23</v>
      </c>
      <c r="E1942" t="s">
        <v>13933</v>
      </c>
      <c r="F1942" s="5">
        <v>3231000</v>
      </c>
      <c r="G1942" s="5">
        <v>3231000</v>
      </c>
      <c r="I1942" s="2">
        <f t="shared" si="157"/>
        <v>0</v>
      </c>
      <c r="J1942" s="4">
        <v>3150000</v>
      </c>
      <c r="K1942" s="2">
        <f t="shared" si="158"/>
        <v>0.97493036211699169</v>
      </c>
      <c r="L1942" t="s">
        <v>13934</v>
      </c>
      <c r="M1942" t="s">
        <v>21</v>
      </c>
      <c r="N1942" t="b">
        <f t="shared" si="159"/>
        <v>0</v>
      </c>
    </row>
    <row r="1943" spans="1:14" x14ac:dyDescent="0.15">
      <c r="A1943" t="s">
        <v>13890</v>
      </c>
      <c r="B1943" t="s">
        <v>13893</v>
      </c>
      <c r="C1943" t="s">
        <v>13935</v>
      </c>
      <c r="D1943" t="s">
        <v>23</v>
      </c>
      <c r="E1943" t="s">
        <v>13936</v>
      </c>
      <c r="F1943" s="5">
        <v>4480000</v>
      </c>
      <c r="G1943" s="5">
        <v>4480000</v>
      </c>
      <c r="H1943" s="4">
        <v>3565000</v>
      </c>
      <c r="I1943" s="2">
        <f t="shared" si="157"/>
        <v>0.7957589285714286</v>
      </c>
      <c r="J1943" s="4">
        <v>4200000</v>
      </c>
      <c r="K1943" s="2">
        <f t="shared" si="158"/>
        <v>0.9375</v>
      </c>
      <c r="L1943" t="s">
        <v>13937</v>
      </c>
      <c r="M1943" t="s">
        <v>192</v>
      </c>
      <c r="N1943" t="b">
        <f t="shared" si="159"/>
        <v>0</v>
      </c>
    </row>
    <row r="1944" spans="1:14" x14ac:dyDescent="0.15">
      <c r="A1944" t="s">
        <v>13890</v>
      </c>
      <c r="B1944" t="s">
        <v>13893</v>
      </c>
      <c r="C1944" t="s">
        <v>13938</v>
      </c>
      <c r="D1944" t="s">
        <v>23</v>
      </c>
      <c r="E1944" t="s">
        <v>13939</v>
      </c>
      <c r="F1944" s="5">
        <v>5432000</v>
      </c>
      <c r="G1944" s="5">
        <v>5432000</v>
      </c>
      <c r="I1944" s="2">
        <f t="shared" si="157"/>
        <v>0</v>
      </c>
      <c r="J1944" s="4">
        <v>5270000</v>
      </c>
      <c r="K1944" s="2">
        <f t="shared" si="158"/>
        <v>0.97017673048600883</v>
      </c>
      <c r="L1944" t="s">
        <v>10364</v>
      </c>
      <c r="M1944" t="s">
        <v>432</v>
      </c>
      <c r="N1944" t="b">
        <f t="shared" si="159"/>
        <v>0</v>
      </c>
    </row>
    <row r="1945" spans="1:14" x14ac:dyDescent="0.15">
      <c r="A1945" t="s">
        <v>13890</v>
      </c>
      <c r="B1945" t="s">
        <v>13893</v>
      </c>
      <c r="C1945" t="s">
        <v>13940</v>
      </c>
      <c r="D1945" t="s">
        <v>23</v>
      </c>
      <c r="E1945" t="s">
        <v>13941</v>
      </c>
      <c r="F1945" s="5">
        <v>6250000</v>
      </c>
      <c r="G1945" s="5">
        <v>6250000</v>
      </c>
      <c r="H1945" s="4">
        <v>4971000</v>
      </c>
      <c r="I1945" s="2">
        <f t="shared" si="157"/>
        <v>0.79535999999999996</v>
      </c>
      <c r="J1945" s="4">
        <v>5900000</v>
      </c>
      <c r="K1945" s="2">
        <f t="shared" si="158"/>
        <v>0.94399999999999995</v>
      </c>
      <c r="L1945" t="s">
        <v>13929</v>
      </c>
      <c r="M1945" t="s">
        <v>192</v>
      </c>
      <c r="N1945" t="b">
        <f t="shared" si="159"/>
        <v>0</v>
      </c>
    </row>
    <row r="1946" spans="1:14" x14ac:dyDescent="0.15">
      <c r="A1946" t="s">
        <v>13890</v>
      </c>
      <c r="B1946" t="s">
        <v>13893</v>
      </c>
      <c r="C1946" t="s">
        <v>13942</v>
      </c>
      <c r="D1946" t="s">
        <v>23</v>
      </c>
      <c r="E1946" t="s">
        <v>13943</v>
      </c>
      <c r="F1946" s="5">
        <v>7680000</v>
      </c>
      <c r="G1946" s="5">
        <v>7680000</v>
      </c>
      <c r="H1946" s="4">
        <v>6109000</v>
      </c>
      <c r="I1946" s="2">
        <f t="shared" si="157"/>
        <v>0.7954427083333333</v>
      </c>
      <c r="J1946" s="4">
        <v>7000000</v>
      </c>
      <c r="K1946" s="2">
        <f t="shared" si="158"/>
        <v>0.91145833333333337</v>
      </c>
      <c r="L1946" t="s">
        <v>13937</v>
      </c>
      <c r="M1946" t="s">
        <v>192</v>
      </c>
      <c r="N1946" t="b">
        <f t="shared" si="159"/>
        <v>0</v>
      </c>
    </row>
    <row r="1947" spans="1:14" x14ac:dyDescent="0.15">
      <c r="A1947" t="s">
        <v>13890</v>
      </c>
      <c r="B1947" t="s">
        <v>13913</v>
      </c>
      <c r="C1947" t="s">
        <v>13944</v>
      </c>
      <c r="D1947" t="s">
        <v>23</v>
      </c>
      <c r="E1947" t="s">
        <v>13945</v>
      </c>
      <c r="F1947" s="5">
        <v>6025000</v>
      </c>
      <c r="G1947" s="5">
        <v>6025000</v>
      </c>
      <c r="I1947" s="2">
        <f t="shared" si="157"/>
        <v>0</v>
      </c>
      <c r="J1947" s="4">
        <v>5800000</v>
      </c>
      <c r="K1947" s="2">
        <f t="shared" si="158"/>
        <v>0.96265560165975106</v>
      </c>
      <c r="L1947" t="s">
        <v>360</v>
      </c>
      <c r="M1947" t="s">
        <v>174</v>
      </c>
      <c r="N1947" t="b">
        <f t="shared" si="159"/>
        <v>0</v>
      </c>
    </row>
    <row r="1948" spans="1:14" x14ac:dyDescent="0.15">
      <c r="A1948" t="s">
        <v>13890</v>
      </c>
      <c r="B1948" t="s">
        <v>13913</v>
      </c>
      <c r="C1948" t="s">
        <v>13946</v>
      </c>
      <c r="D1948" t="s">
        <v>23</v>
      </c>
      <c r="E1948" t="s">
        <v>13947</v>
      </c>
      <c r="F1948" s="5">
        <v>6682000</v>
      </c>
      <c r="G1948" s="5">
        <v>6682000</v>
      </c>
      <c r="H1948" s="4">
        <v>5323000</v>
      </c>
      <c r="I1948" s="2">
        <f t="shared" si="157"/>
        <v>0.79661777910805143</v>
      </c>
      <c r="J1948" s="4">
        <v>5700000</v>
      </c>
      <c r="K1948" s="2">
        <f t="shared" si="158"/>
        <v>0.85303801257108647</v>
      </c>
      <c r="L1948" t="s">
        <v>13937</v>
      </c>
      <c r="M1948" t="s">
        <v>174</v>
      </c>
      <c r="N1948" t="b">
        <f t="shared" si="159"/>
        <v>0</v>
      </c>
    </row>
    <row r="1949" spans="1:14" x14ac:dyDescent="0.15">
      <c r="A1949" t="s">
        <v>13890</v>
      </c>
      <c r="B1949" t="s">
        <v>13913</v>
      </c>
      <c r="C1949" t="s">
        <v>13948</v>
      </c>
      <c r="D1949" t="s">
        <v>23</v>
      </c>
      <c r="E1949" t="s">
        <v>10463</v>
      </c>
      <c r="F1949" s="5">
        <v>43918000</v>
      </c>
      <c r="G1949" s="5">
        <v>43918000</v>
      </c>
      <c r="H1949" s="4">
        <v>34951000</v>
      </c>
      <c r="I1949" s="2">
        <f t="shared" si="157"/>
        <v>0.79582403570290083</v>
      </c>
      <c r="J1949" s="4">
        <v>34951000</v>
      </c>
      <c r="K1949" s="2">
        <f t="shared" si="158"/>
        <v>0.79582403570290083</v>
      </c>
      <c r="L1949" t="s">
        <v>1632</v>
      </c>
      <c r="M1949" t="s">
        <v>41</v>
      </c>
      <c r="N1949" t="b">
        <f t="shared" si="159"/>
        <v>0</v>
      </c>
    </row>
    <row r="1950" spans="1:14" x14ac:dyDescent="0.15">
      <c r="A1950" t="s">
        <v>13890</v>
      </c>
      <c r="B1950" t="s">
        <v>13913</v>
      </c>
      <c r="C1950" t="s">
        <v>13949</v>
      </c>
      <c r="D1950" t="s">
        <v>23</v>
      </c>
      <c r="E1950" t="s">
        <v>13950</v>
      </c>
      <c r="F1950" s="5">
        <v>3493000</v>
      </c>
      <c r="G1950" s="5">
        <v>3493000</v>
      </c>
      <c r="I1950" s="2">
        <f t="shared" si="157"/>
        <v>0</v>
      </c>
      <c r="J1950" s="4">
        <v>3050000</v>
      </c>
      <c r="K1950" s="2">
        <f t="shared" si="158"/>
        <v>0.87317492127111362</v>
      </c>
      <c r="L1950" t="s">
        <v>1915</v>
      </c>
      <c r="M1950" t="s">
        <v>432</v>
      </c>
      <c r="N1950" t="b">
        <f t="shared" si="159"/>
        <v>0</v>
      </c>
    </row>
    <row r="1951" spans="1:14" x14ac:dyDescent="0.15">
      <c r="A1951" t="s">
        <v>13890</v>
      </c>
      <c r="B1951" t="s">
        <v>13893</v>
      </c>
      <c r="C1951" t="s">
        <v>13951</v>
      </c>
      <c r="D1951" t="s">
        <v>23</v>
      </c>
      <c r="E1951" t="s">
        <v>13952</v>
      </c>
      <c r="F1951" s="5">
        <v>1214000</v>
      </c>
      <c r="G1951" s="5">
        <v>1214000</v>
      </c>
      <c r="I1951" s="2">
        <f t="shared" si="157"/>
        <v>0</v>
      </c>
      <c r="J1951" s="4">
        <v>900000</v>
      </c>
      <c r="K1951" s="2">
        <f t="shared" si="158"/>
        <v>0.74135090609555188</v>
      </c>
      <c r="L1951" t="s">
        <v>13934</v>
      </c>
      <c r="M1951" t="s">
        <v>21</v>
      </c>
      <c r="N1951" t="b">
        <f t="shared" si="159"/>
        <v>0</v>
      </c>
    </row>
    <row r="1952" spans="1:14" x14ac:dyDescent="0.15">
      <c r="A1952" t="s">
        <v>13890</v>
      </c>
      <c r="B1952" t="s">
        <v>13893</v>
      </c>
      <c r="C1952" t="s">
        <v>13953</v>
      </c>
      <c r="D1952" t="s">
        <v>23</v>
      </c>
      <c r="E1952" t="s">
        <v>13954</v>
      </c>
      <c r="F1952" s="5">
        <v>14166000</v>
      </c>
      <c r="G1952" s="5">
        <v>14166000</v>
      </c>
      <c r="I1952" s="2">
        <f t="shared" si="157"/>
        <v>0</v>
      </c>
      <c r="J1952" s="4">
        <v>13300000</v>
      </c>
      <c r="K1952" s="2">
        <f t="shared" si="158"/>
        <v>0.93886771142171399</v>
      </c>
      <c r="L1952" t="s">
        <v>13929</v>
      </c>
      <c r="M1952" t="s">
        <v>192</v>
      </c>
      <c r="N1952" t="b">
        <f t="shared" si="159"/>
        <v>0</v>
      </c>
    </row>
    <row r="1953" spans="1:14" x14ac:dyDescent="0.15">
      <c r="A1953" t="s">
        <v>13890</v>
      </c>
      <c r="B1953" t="s">
        <v>13913</v>
      </c>
      <c r="C1953" t="s">
        <v>13955</v>
      </c>
      <c r="D1953" t="s">
        <v>23</v>
      </c>
      <c r="E1953" t="s">
        <v>13956</v>
      </c>
      <c r="F1953" s="5">
        <v>9000000</v>
      </c>
      <c r="G1953" s="5">
        <v>9000000</v>
      </c>
      <c r="H1953" s="4">
        <v>7200000</v>
      </c>
      <c r="I1953" s="2">
        <f t="shared" si="157"/>
        <v>0.8</v>
      </c>
      <c r="J1953" s="4">
        <v>7200000</v>
      </c>
      <c r="K1953" s="2">
        <f t="shared" si="158"/>
        <v>0.8</v>
      </c>
      <c r="L1953" t="s">
        <v>360</v>
      </c>
      <c r="M1953" t="s">
        <v>80</v>
      </c>
      <c r="N1953" t="b">
        <f t="shared" si="159"/>
        <v>0</v>
      </c>
    </row>
    <row r="1954" spans="1:14" x14ac:dyDescent="0.15">
      <c r="A1954" t="s">
        <v>13890</v>
      </c>
      <c r="B1954" t="s">
        <v>13893</v>
      </c>
      <c r="C1954" t="s">
        <v>13957</v>
      </c>
      <c r="D1954" t="s">
        <v>23</v>
      </c>
      <c r="E1954" t="s">
        <v>13958</v>
      </c>
      <c r="F1954" s="5">
        <v>14525000</v>
      </c>
      <c r="G1954" s="5">
        <v>14525000</v>
      </c>
      <c r="I1954" s="2">
        <f t="shared" si="157"/>
        <v>0</v>
      </c>
      <c r="J1954" s="4">
        <v>13500000</v>
      </c>
      <c r="K1954" s="2">
        <f t="shared" si="158"/>
        <v>0.92943201376936313</v>
      </c>
      <c r="L1954" t="s">
        <v>12364</v>
      </c>
      <c r="M1954" t="s">
        <v>192</v>
      </c>
      <c r="N1954" t="b">
        <f t="shared" si="159"/>
        <v>0</v>
      </c>
    </row>
    <row r="1955" spans="1:14" x14ac:dyDescent="0.15">
      <c r="A1955" t="s">
        <v>13890</v>
      </c>
      <c r="B1955" t="s">
        <v>13913</v>
      </c>
      <c r="C1955" t="s">
        <v>13959</v>
      </c>
      <c r="D1955" t="s">
        <v>23</v>
      </c>
      <c r="E1955" t="s">
        <v>13960</v>
      </c>
      <c r="F1955" s="5">
        <v>3060000</v>
      </c>
      <c r="G1955" s="5">
        <v>3060000</v>
      </c>
      <c r="I1955" s="2">
        <f t="shared" si="157"/>
        <v>0</v>
      </c>
      <c r="J1955" s="4">
        <v>2100000</v>
      </c>
      <c r="K1955" s="2">
        <f t="shared" si="158"/>
        <v>0.68627450980392157</v>
      </c>
      <c r="L1955" t="s">
        <v>13961</v>
      </c>
      <c r="M1955" t="s">
        <v>432</v>
      </c>
      <c r="N1955" t="b">
        <f t="shared" si="159"/>
        <v>0</v>
      </c>
    </row>
    <row r="1956" spans="1:14" x14ac:dyDescent="0.15">
      <c r="A1956" t="s">
        <v>13890</v>
      </c>
      <c r="B1956" t="s">
        <v>13893</v>
      </c>
      <c r="C1956" t="s">
        <v>13962</v>
      </c>
      <c r="D1956" t="s">
        <v>23</v>
      </c>
      <c r="E1956" t="s">
        <v>13963</v>
      </c>
      <c r="F1956" s="5">
        <v>2922000</v>
      </c>
      <c r="G1956" s="5">
        <v>2922000</v>
      </c>
      <c r="I1956" s="2">
        <f t="shared" si="157"/>
        <v>0</v>
      </c>
      <c r="J1956" s="4">
        <v>2755800</v>
      </c>
      <c r="K1956" s="2">
        <f t="shared" si="158"/>
        <v>0.94312114989733065</v>
      </c>
      <c r="L1956" t="s">
        <v>13964</v>
      </c>
      <c r="M1956" t="s">
        <v>432</v>
      </c>
      <c r="N1956" t="b">
        <f t="shared" si="159"/>
        <v>0</v>
      </c>
    </row>
    <row r="1957" spans="1:14" x14ac:dyDescent="0.15">
      <c r="A1957" t="s">
        <v>13890</v>
      </c>
      <c r="B1957" t="s">
        <v>13893</v>
      </c>
      <c r="C1957" t="s">
        <v>13965</v>
      </c>
      <c r="D1957" t="s">
        <v>23</v>
      </c>
      <c r="E1957" t="s">
        <v>5018</v>
      </c>
      <c r="F1957" s="5">
        <v>6867000</v>
      </c>
      <c r="G1957" s="5">
        <v>6867000</v>
      </c>
      <c r="I1957" s="2">
        <f t="shared" si="157"/>
        <v>0</v>
      </c>
      <c r="J1957" s="4">
        <v>6300000</v>
      </c>
      <c r="K1957" s="2">
        <f t="shared" si="158"/>
        <v>0.91743119266055051</v>
      </c>
      <c r="L1957" t="s">
        <v>13937</v>
      </c>
      <c r="M1957" t="s">
        <v>432</v>
      </c>
      <c r="N1957" t="b">
        <f t="shared" si="159"/>
        <v>0</v>
      </c>
    </row>
    <row r="1958" spans="1:14" x14ac:dyDescent="0.15">
      <c r="A1958" t="s">
        <v>13890</v>
      </c>
      <c r="B1958" t="s">
        <v>13893</v>
      </c>
      <c r="C1958" t="s">
        <v>13966</v>
      </c>
      <c r="D1958" t="s">
        <v>23</v>
      </c>
      <c r="E1958" t="s">
        <v>13967</v>
      </c>
      <c r="F1958" s="5">
        <v>33114000</v>
      </c>
      <c r="G1958" s="5">
        <v>33114000</v>
      </c>
      <c r="I1958" s="2">
        <f t="shared" si="157"/>
        <v>0</v>
      </c>
      <c r="J1958" s="4">
        <v>32400000</v>
      </c>
      <c r="K1958" s="2">
        <f t="shared" si="158"/>
        <v>0.97843812284834208</v>
      </c>
      <c r="L1958" t="s">
        <v>10364</v>
      </c>
      <c r="M1958" t="s">
        <v>174</v>
      </c>
      <c r="N1958" t="b">
        <f t="shared" si="159"/>
        <v>0</v>
      </c>
    </row>
    <row r="1959" spans="1:14" x14ac:dyDescent="0.15">
      <c r="A1959" t="s">
        <v>13890</v>
      </c>
      <c r="B1959" t="s">
        <v>13893</v>
      </c>
      <c r="C1959" t="s">
        <v>13895</v>
      </c>
      <c r="D1959" t="s">
        <v>23</v>
      </c>
      <c r="E1959" t="s">
        <v>13968</v>
      </c>
      <c r="F1959" s="5">
        <v>4880000</v>
      </c>
      <c r="G1959" s="5">
        <v>4880000</v>
      </c>
      <c r="I1959" s="2">
        <f t="shared" si="157"/>
        <v>0</v>
      </c>
      <c r="J1959" s="4">
        <v>4202200</v>
      </c>
      <c r="K1959" s="2">
        <f t="shared" si="158"/>
        <v>0.86110655737704922</v>
      </c>
      <c r="L1959" t="s">
        <v>207</v>
      </c>
      <c r="M1959" t="s">
        <v>432</v>
      </c>
      <c r="N1959" t="b">
        <f t="shared" si="159"/>
        <v>0</v>
      </c>
    </row>
    <row r="1960" spans="1:14" x14ac:dyDescent="0.15">
      <c r="A1960" t="s">
        <v>13890</v>
      </c>
      <c r="B1960" t="s">
        <v>13893</v>
      </c>
      <c r="C1960" t="s">
        <v>12409</v>
      </c>
      <c r="D1960" t="s">
        <v>23</v>
      </c>
      <c r="E1960" t="s">
        <v>13969</v>
      </c>
      <c r="F1960" s="5">
        <v>39403000</v>
      </c>
      <c r="G1960" s="5">
        <v>39403000</v>
      </c>
      <c r="I1960" s="2">
        <f t="shared" si="157"/>
        <v>0</v>
      </c>
      <c r="J1960" s="4">
        <v>38000000</v>
      </c>
      <c r="K1960" s="2">
        <f t="shared" si="158"/>
        <v>0.96439357409334314</v>
      </c>
      <c r="L1960" t="s">
        <v>13970</v>
      </c>
      <c r="M1960" t="s">
        <v>192</v>
      </c>
      <c r="N1960" t="b">
        <f t="shared" si="159"/>
        <v>0</v>
      </c>
    </row>
    <row r="1961" spans="1:14" x14ac:dyDescent="0.15">
      <c r="A1961" t="s">
        <v>13890</v>
      </c>
      <c r="B1961" t="s">
        <v>13893</v>
      </c>
      <c r="C1961" t="s">
        <v>13897</v>
      </c>
      <c r="D1961" t="s">
        <v>23</v>
      </c>
      <c r="E1961" t="s">
        <v>13971</v>
      </c>
      <c r="F1961" s="5">
        <v>3700000</v>
      </c>
      <c r="G1961" s="5">
        <v>3700000</v>
      </c>
      <c r="I1961" s="2">
        <f t="shared" si="157"/>
        <v>0</v>
      </c>
      <c r="J1961" s="4">
        <v>3600000</v>
      </c>
      <c r="K1961" s="2">
        <f t="shared" si="158"/>
        <v>0.97297297297297303</v>
      </c>
      <c r="L1961" t="s">
        <v>13899</v>
      </c>
      <c r="M1961" t="s">
        <v>432</v>
      </c>
      <c r="N1961" t="b">
        <f t="shared" si="159"/>
        <v>0</v>
      </c>
    </row>
    <row r="1962" spans="1:14" x14ac:dyDescent="0.15">
      <c r="A1962" t="s">
        <v>13890</v>
      </c>
      <c r="B1962" t="s">
        <v>13893</v>
      </c>
      <c r="C1962" t="s">
        <v>13891</v>
      </c>
      <c r="D1962" t="s">
        <v>23</v>
      </c>
      <c r="E1962" t="s">
        <v>13972</v>
      </c>
      <c r="F1962" s="5">
        <v>10755000</v>
      </c>
      <c r="G1962" s="5">
        <v>10755000</v>
      </c>
      <c r="I1962" s="2">
        <f t="shared" si="157"/>
        <v>0</v>
      </c>
      <c r="J1962" s="4">
        <v>10220000</v>
      </c>
      <c r="K1962" s="2">
        <f t="shared" si="158"/>
        <v>0.9502556950255695</v>
      </c>
      <c r="L1962" t="s">
        <v>13894</v>
      </c>
      <c r="M1962" t="s">
        <v>174</v>
      </c>
      <c r="N1962" t="b">
        <f t="shared" si="159"/>
        <v>0</v>
      </c>
    </row>
    <row r="1963" spans="1:14" x14ac:dyDescent="0.15">
      <c r="A1963" t="s">
        <v>13890</v>
      </c>
      <c r="B1963" t="s">
        <v>13913</v>
      </c>
      <c r="C1963" t="s">
        <v>13914</v>
      </c>
      <c r="D1963" t="s">
        <v>23</v>
      </c>
      <c r="E1963" t="s">
        <v>13973</v>
      </c>
      <c r="F1963" s="5">
        <v>1110000</v>
      </c>
      <c r="G1963" s="5">
        <v>1110000</v>
      </c>
      <c r="I1963" s="2">
        <f t="shared" si="157"/>
        <v>0</v>
      </c>
      <c r="J1963" s="4">
        <v>900000</v>
      </c>
      <c r="K1963" s="2">
        <f t="shared" si="158"/>
        <v>0.81081081081081086</v>
      </c>
      <c r="L1963" t="s">
        <v>1624</v>
      </c>
      <c r="M1963" t="s">
        <v>432</v>
      </c>
      <c r="N1963" t="b">
        <f t="shared" si="159"/>
        <v>0</v>
      </c>
    </row>
    <row r="1964" spans="1:14" x14ac:dyDescent="0.15">
      <c r="A1964" t="s">
        <v>13890</v>
      </c>
      <c r="B1964" t="s">
        <v>13913</v>
      </c>
      <c r="C1964" t="s">
        <v>13974</v>
      </c>
      <c r="D1964" t="s">
        <v>23</v>
      </c>
      <c r="E1964" t="s">
        <v>13975</v>
      </c>
      <c r="F1964" s="5">
        <v>12068000</v>
      </c>
      <c r="G1964" s="5">
        <v>12068000</v>
      </c>
      <c r="H1964" s="4">
        <v>9513000</v>
      </c>
      <c r="I1964" s="2">
        <f t="shared" si="157"/>
        <v>0.78828306264501158</v>
      </c>
      <c r="J1964" s="4">
        <v>9800000</v>
      </c>
      <c r="K1964" s="2">
        <f t="shared" si="158"/>
        <v>0.81206496519721583</v>
      </c>
      <c r="L1964" t="s">
        <v>13929</v>
      </c>
      <c r="M1964" t="s">
        <v>126</v>
      </c>
      <c r="N1964" t="b">
        <f t="shared" si="159"/>
        <v>0</v>
      </c>
    </row>
    <row r="1965" spans="1:14" x14ac:dyDescent="0.15">
      <c r="A1965" t="s">
        <v>13890</v>
      </c>
      <c r="B1965" t="s">
        <v>13913</v>
      </c>
      <c r="C1965" t="s">
        <v>13976</v>
      </c>
      <c r="D1965" t="s">
        <v>23</v>
      </c>
      <c r="E1965" t="s">
        <v>13977</v>
      </c>
      <c r="F1965" s="5">
        <v>580000</v>
      </c>
      <c r="G1965" s="5">
        <v>580000</v>
      </c>
      <c r="I1965" s="2">
        <f t="shared" si="157"/>
        <v>0</v>
      </c>
      <c r="J1965" s="4">
        <v>560000</v>
      </c>
      <c r="K1965" s="2">
        <f t="shared" si="158"/>
        <v>0.96551724137931039</v>
      </c>
      <c r="L1965" t="s">
        <v>1624</v>
      </c>
      <c r="M1965" t="s">
        <v>432</v>
      </c>
      <c r="N1965" t="b">
        <f t="shared" si="159"/>
        <v>0</v>
      </c>
    </row>
    <row r="1966" spans="1:14" x14ac:dyDescent="0.15">
      <c r="A1966" t="s">
        <v>13890</v>
      </c>
      <c r="B1966" t="s">
        <v>13913</v>
      </c>
      <c r="C1966" t="s">
        <v>13978</v>
      </c>
      <c r="D1966" t="s">
        <v>23</v>
      </c>
      <c r="E1966" t="s">
        <v>13979</v>
      </c>
      <c r="F1966" s="5">
        <v>889000</v>
      </c>
      <c r="G1966" s="5">
        <v>889000</v>
      </c>
      <c r="I1966" s="2">
        <f t="shared" si="157"/>
        <v>0</v>
      </c>
      <c r="J1966" s="4">
        <v>838000</v>
      </c>
      <c r="K1966" s="2">
        <f t="shared" si="158"/>
        <v>0.94263217097862773</v>
      </c>
      <c r="L1966" t="s">
        <v>207</v>
      </c>
      <c r="M1966" t="s">
        <v>165</v>
      </c>
      <c r="N1966" t="b">
        <f t="shared" si="159"/>
        <v>0</v>
      </c>
    </row>
    <row r="1967" spans="1:14" x14ac:dyDescent="0.15">
      <c r="A1967" t="s">
        <v>13890</v>
      </c>
      <c r="B1967" t="s">
        <v>13893</v>
      </c>
      <c r="C1967" t="s">
        <v>13980</v>
      </c>
      <c r="D1967" t="s">
        <v>15</v>
      </c>
      <c r="E1967" t="s">
        <v>13981</v>
      </c>
      <c r="F1967" s="5">
        <v>8283000</v>
      </c>
      <c r="G1967" s="5">
        <v>8283000</v>
      </c>
      <c r="I1967" s="2">
        <f t="shared" si="157"/>
        <v>0</v>
      </c>
      <c r="K1967" s="2">
        <f t="shared" si="158"/>
        <v>0</v>
      </c>
      <c r="M1967" t="s">
        <v>139</v>
      </c>
      <c r="N1967" t="b">
        <f t="shared" si="159"/>
        <v>0</v>
      </c>
    </row>
    <row r="1968" spans="1:14" x14ac:dyDescent="0.15">
      <c r="A1968" t="s">
        <v>13890</v>
      </c>
      <c r="B1968" t="s">
        <v>13913</v>
      </c>
      <c r="C1968" t="s">
        <v>13982</v>
      </c>
      <c r="D1968" t="s">
        <v>23</v>
      </c>
      <c r="E1968" t="s">
        <v>13983</v>
      </c>
      <c r="F1968" s="5">
        <v>7563000</v>
      </c>
      <c r="G1968" s="5">
        <v>7563000</v>
      </c>
      <c r="I1968" s="2">
        <f t="shared" si="157"/>
        <v>0</v>
      </c>
      <c r="J1968" s="4">
        <v>6600000</v>
      </c>
      <c r="K1968" s="2">
        <f t="shared" si="158"/>
        <v>0.87266957556525193</v>
      </c>
      <c r="L1968" t="s">
        <v>1632</v>
      </c>
      <c r="M1968" t="s">
        <v>126</v>
      </c>
      <c r="N1968" t="b">
        <f t="shared" si="159"/>
        <v>0</v>
      </c>
    </row>
    <row r="1969" spans="1:14" x14ac:dyDescent="0.15">
      <c r="A1969" t="s">
        <v>13890</v>
      </c>
      <c r="B1969" t="s">
        <v>13893</v>
      </c>
      <c r="C1969" t="s">
        <v>13932</v>
      </c>
      <c r="D1969" t="s">
        <v>23</v>
      </c>
      <c r="E1969" t="s">
        <v>13984</v>
      </c>
      <c r="F1969" s="5">
        <v>3004000</v>
      </c>
      <c r="G1969" s="5">
        <v>3004000</v>
      </c>
      <c r="I1969" s="2">
        <f t="shared" si="157"/>
        <v>0</v>
      </c>
      <c r="J1969" s="4">
        <v>2950000</v>
      </c>
      <c r="K1969" s="2">
        <f t="shared" si="158"/>
        <v>0.98202396804260983</v>
      </c>
      <c r="L1969" t="s">
        <v>13934</v>
      </c>
      <c r="M1969" t="s">
        <v>21</v>
      </c>
      <c r="N1969" t="b">
        <f t="shared" si="159"/>
        <v>0</v>
      </c>
    </row>
    <row r="1970" spans="1:14" x14ac:dyDescent="0.15">
      <c r="A1970" t="s">
        <v>13890</v>
      </c>
      <c r="B1970" t="s">
        <v>13913</v>
      </c>
      <c r="C1970" t="s">
        <v>13985</v>
      </c>
      <c r="D1970" t="s">
        <v>23</v>
      </c>
      <c r="E1970" t="s">
        <v>13986</v>
      </c>
      <c r="F1970" s="5">
        <v>13669000</v>
      </c>
      <c r="G1970" s="5">
        <v>13669000</v>
      </c>
      <c r="H1970" s="4">
        <v>10791000</v>
      </c>
      <c r="I1970" s="2">
        <f t="shared" si="157"/>
        <v>0.78945058160801818</v>
      </c>
      <c r="J1970" s="4">
        <v>12400000</v>
      </c>
      <c r="K1970" s="2">
        <f t="shared" si="158"/>
        <v>0.90716219182090863</v>
      </c>
      <c r="L1970" t="s">
        <v>13929</v>
      </c>
      <c r="M1970" t="s">
        <v>126</v>
      </c>
      <c r="N1970" t="b">
        <f t="shared" si="159"/>
        <v>0</v>
      </c>
    </row>
    <row r="1971" spans="1:14" x14ac:dyDescent="0.15">
      <c r="A1971" t="s">
        <v>13890</v>
      </c>
      <c r="B1971" t="s">
        <v>13893</v>
      </c>
      <c r="C1971" t="s">
        <v>13987</v>
      </c>
      <c r="D1971" t="s">
        <v>15</v>
      </c>
      <c r="E1971" t="s">
        <v>13988</v>
      </c>
      <c r="F1971" s="5">
        <v>1176000</v>
      </c>
      <c r="G1971" s="5">
        <v>1176000</v>
      </c>
      <c r="H1971" s="4">
        <v>936000</v>
      </c>
      <c r="I1971" s="2">
        <f t="shared" si="157"/>
        <v>0.79591836734693877</v>
      </c>
      <c r="K1971" s="2">
        <f t="shared" si="158"/>
        <v>0</v>
      </c>
      <c r="M1971" t="s">
        <v>139</v>
      </c>
      <c r="N1971" t="b">
        <f t="shared" si="159"/>
        <v>0</v>
      </c>
    </row>
    <row r="1972" spans="1:14" x14ac:dyDescent="0.15">
      <c r="A1972" t="s">
        <v>13890</v>
      </c>
      <c r="B1972" t="s">
        <v>13913</v>
      </c>
      <c r="C1972" t="s">
        <v>13989</v>
      </c>
      <c r="D1972" t="s">
        <v>23</v>
      </c>
      <c r="E1972" t="s">
        <v>13990</v>
      </c>
      <c r="F1972" s="5">
        <v>6016000</v>
      </c>
      <c r="G1972" s="5">
        <v>6016000</v>
      </c>
      <c r="H1972" s="4">
        <v>4793000</v>
      </c>
      <c r="I1972" s="2">
        <f t="shared" si="157"/>
        <v>0.79670877659574468</v>
      </c>
      <c r="J1972" s="4">
        <v>5100000</v>
      </c>
      <c r="K1972" s="2">
        <f t="shared" si="158"/>
        <v>0.84773936170212771</v>
      </c>
      <c r="L1972" t="s">
        <v>2499</v>
      </c>
      <c r="M1972" t="s">
        <v>192</v>
      </c>
      <c r="N1972" t="b">
        <f t="shared" si="159"/>
        <v>0</v>
      </c>
    </row>
    <row r="1973" spans="1:14" x14ac:dyDescent="0.15">
      <c r="A1973" t="s">
        <v>13890</v>
      </c>
      <c r="B1973" t="s">
        <v>13913</v>
      </c>
      <c r="C1973" t="s">
        <v>13991</v>
      </c>
      <c r="D1973" t="s">
        <v>23</v>
      </c>
      <c r="E1973" t="s">
        <v>13992</v>
      </c>
      <c r="F1973" s="5">
        <v>9656000</v>
      </c>
      <c r="G1973" s="5">
        <v>9656000</v>
      </c>
      <c r="H1973" s="4">
        <v>7554000</v>
      </c>
      <c r="I1973" s="2">
        <f t="shared" si="157"/>
        <v>0.78231151615575811</v>
      </c>
      <c r="J1973" s="4">
        <v>8800000</v>
      </c>
      <c r="K1973" s="2">
        <f t="shared" si="158"/>
        <v>0.91135045567522788</v>
      </c>
      <c r="L1973" t="s">
        <v>13937</v>
      </c>
      <c r="M1973" t="s">
        <v>126</v>
      </c>
      <c r="N1973" t="b">
        <f t="shared" si="159"/>
        <v>0</v>
      </c>
    </row>
    <row r="1974" spans="1:14" x14ac:dyDescent="0.15">
      <c r="A1974" t="s">
        <v>13890</v>
      </c>
      <c r="B1974" t="s">
        <v>13913</v>
      </c>
      <c r="C1974" t="s">
        <v>13993</v>
      </c>
      <c r="D1974" t="s">
        <v>23</v>
      </c>
      <c r="E1974" t="s">
        <v>13994</v>
      </c>
      <c r="F1974" s="5">
        <v>7818000</v>
      </c>
      <c r="G1974" s="5">
        <v>7818000</v>
      </c>
      <c r="H1974" s="4">
        <v>6254000</v>
      </c>
      <c r="I1974" s="2">
        <f t="shared" si="157"/>
        <v>0.79994883601944233</v>
      </c>
      <c r="J1974" s="4">
        <v>7500000</v>
      </c>
      <c r="K1974" s="2">
        <f t="shared" si="158"/>
        <v>0.95932463545663849</v>
      </c>
      <c r="L1974" t="s">
        <v>13995</v>
      </c>
      <c r="M1974" t="s">
        <v>192</v>
      </c>
      <c r="N1974" t="b">
        <f t="shared" si="159"/>
        <v>0</v>
      </c>
    </row>
    <row r="1975" spans="1:14" x14ac:dyDescent="0.15">
      <c r="A1975" t="s">
        <v>13890</v>
      </c>
      <c r="B1975" t="s">
        <v>13913</v>
      </c>
      <c r="C1975" t="s">
        <v>13996</v>
      </c>
      <c r="D1975" t="s">
        <v>23</v>
      </c>
      <c r="E1975" t="s">
        <v>13997</v>
      </c>
      <c r="F1975" s="5">
        <v>11411000</v>
      </c>
      <c r="G1975" s="5">
        <v>11411000</v>
      </c>
      <c r="I1975" s="2">
        <f t="shared" si="157"/>
        <v>0</v>
      </c>
      <c r="J1975" s="4">
        <v>8900000</v>
      </c>
      <c r="K1975" s="2">
        <f t="shared" si="158"/>
        <v>0.77994917185172197</v>
      </c>
      <c r="L1975" t="s">
        <v>1632</v>
      </c>
      <c r="M1975" t="s">
        <v>126</v>
      </c>
      <c r="N1975" t="b">
        <f t="shared" si="159"/>
        <v>0</v>
      </c>
    </row>
    <row r="1976" spans="1:14" x14ac:dyDescent="0.15">
      <c r="A1976" t="s">
        <v>13890</v>
      </c>
      <c r="B1976" t="s">
        <v>13913</v>
      </c>
      <c r="C1976" t="s">
        <v>13944</v>
      </c>
      <c r="D1976" t="s">
        <v>23</v>
      </c>
      <c r="E1976" t="s">
        <v>13998</v>
      </c>
      <c r="F1976" s="5">
        <v>3376000</v>
      </c>
      <c r="G1976" s="5">
        <v>3376000</v>
      </c>
      <c r="I1976" s="2">
        <f t="shared" si="157"/>
        <v>0</v>
      </c>
      <c r="J1976" s="4">
        <v>1550000</v>
      </c>
      <c r="K1976" s="2">
        <f t="shared" si="158"/>
        <v>0.45912322274881517</v>
      </c>
      <c r="L1976" t="s">
        <v>360</v>
      </c>
      <c r="M1976" t="s">
        <v>432</v>
      </c>
      <c r="N1976" t="b">
        <f t="shared" si="159"/>
        <v>0</v>
      </c>
    </row>
    <row r="1977" spans="1:14" x14ac:dyDescent="0.15">
      <c r="A1977" t="s">
        <v>13890</v>
      </c>
      <c r="B1977" t="s">
        <v>13913</v>
      </c>
      <c r="C1977" t="s">
        <v>13999</v>
      </c>
      <c r="D1977" t="s">
        <v>23</v>
      </c>
      <c r="E1977" t="s">
        <v>14000</v>
      </c>
      <c r="F1977" s="5">
        <v>9080000</v>
      </c>
      <c r="G1977" s="5">
        <v>9080000</v>
      </c>
      <c r="I1977" s="2">
        <f t="shared" si="157"/>
        <v>0</v>
      </c>
      <c r="J1977" s="4">
        <v>7300000</v>
      </c>
      <c r="K1977" s="2">
        <f t="shared" si="158"/>
        <v>0.80396475770925113</v>
      </c>
      <c r="L1977" t="s">
        <v>360</v>
      </c>
      <c r="M1977" t="s">
        <v>174</v>
      </c>
      <c r="N1977" t="b">
        <f t="shared" si="159"/>
        <v>0</v>
      </c>
    </row>
    <row r="1978" spans="1:14" x14ac:dyDescent="0.15">
      <c r="A1978" t="s">
        <v>13890</v>
      </c>
      <c r="B1978" t="s">
        <v>13913</v>
      </c>
      <c r="C1978" t="s">
        <v>14001</v>
      </c>
      <c r="D1978" t="s">
        <v>15</v>
      </c>
      <c r="E1978" t="s">
        <v>14002</v>
      </c>
      <c r="F1978" s="5">
        <v>11882000</v>
      </c>
      <c r="G1978" s="5">
        <v>11882000</v>
      </c>
      <c r="I1978" s="2">
        <f t="shared" si="157"/>
        <v>0</v>
      </c>
      <c r="K1978" s="2">
        <f t="shared" si="158"/>
        <v>0</v>
      </c>
      <c r="M1978" t="s">
        <v>139</v>
      </c>
      <c r="N1978" t="b">
        <f t="shared" si="159"/>
        <v>0</v>
      </c>
    </row>
    <row r="1979" spans="1:14" x14ac:dyDescent="0.15">
      <c r="A1979" t="s">
        <v>13890</v>
      </c>
      <c r="B1979" t="s">
        <v>13913</v>
      </c>
      <c r="C1979" t="s">
        <v>14003</v>
      </c>
      <c r="D1979" t="s">
        <v>23</v>
      </c>
      <c r="E1979" t="s">
        <v>9023</v>
      </c>
      <c r="F1979" s="5">
        <v>11498000</v>
      </c>
      <c r="G1979" s="5">
        <v>11498000</v>
      </c>
      <c r="H1979" s="4">
        <v>9091000</v>
      </c>
      <c r="I1979" s="2">
        <f t="shared" si="157"/>
        <v>0.79065924508610197</v>
      </c>
      <c r="J1979" s="4">
        <v>10000000</v>
      </c>
      <c r="K1979" s="2">
        <f t="shared" si="158"/>
        <v>0.86971647242998784</v>
      </c>
      <c r="L1979" t="s">
        <v>13995</v>
      </c>
      <c r="M1979" t="s">
        <v>126</v>
      </c>
      <c r="N1979" t="b">
        <f t="shared" si="159"/>
        <v>0</v>
      </c>
    </row>
    <row r="1980" spans="1:14" x14ac:dyDescent="0.15">
      <c r="A1980" t="s">
        <v>13890</v>
      </c>
      <c r="B1980" t="s">
        <v>13893</v>
      </c>
      <c r="C1980" t="s">
        <v>14004</v>
      </c>
      <c r="D1980" t="s">
        <v>23</v>
      </c>
      <c r="E1980" t="s">
        <v>14005</v>
      </c>
      <c r="F1980" s="5">
        <v>8230000</v>
      </c>
      <c r="G1980" s="5">
        <v>8230000</v>
      </c>
      <c r="H1980" s="4">
        <v>6510000</v>
      </c>
      <c r="I1980" s="2">
        <f t="shared" si="157"/>
        <v>0.79100850546780077</v>
      </c>
      <c r="J1980" s="4">
        <v>7450000</v>
      </c>
      <c r="K1980" s="2">
        <f t="shared" si="158"/>
        <v>0.90522478736330503</v>
      </c>
      <c r="L1980" t="s">
        <v>13937</v>
      </c>
      <c r="M1980" t="s">
        <v>192</v>
      </c>
      <c r="N1980" t="b">
        <f t="shared" si="159"/>
        <v>0</v>
      </c>
    </row>
    <row r="1981" spans="1:14" x14ac:dyDescent="0.15">
      <c r="A1981" t="s">
        <v>13890</v>
      </c>
      <c r="B1981" t="s">
        <v>13913</v>
      </c>
      <c r="C1981" t="s">
        <v>14006</v>
      </c>
      <c r="D1981" t="s">
        <v>23</v>
      </c>
      <c r="E1981" t="s">
        <v>14007</v>
      </c>
      <c r="F1981" s="5">
        <v>8428000</v>
      </c>
      <c r="G1981" s="5">
        <v>8428000</v>
      </c>
      <c r="I1981" s="2">
        <f t="shared" si="157"/>
        <v>0</v>
      </c>
      <c r="J1981" s="4">
        <v>4700000</v>
      </c>
      <c r="K1981" s="2">
        <f t="shared" si="158"/>
        <v>0.55766492643569054</v>
      </c>
      <c r="L1981" t="s">
        <v>1030</v>
      </c>
      <c r="M1981" t="s">
        <v>174</v>
      </c>
      <c r="N1981" t="b">
        <f t="shared" si="159"/>
        <v>0</v>
      </c>
    </row>
    <row r="1982" spans="1:14" x14ac:dyDescent="0.15">
      <c r="A1982" t="s">
        <v>13890</v>
      </c>
      <c r="B1982" t="s">
        <v>13913</v>
      </c>
      <c r="C1982" t="s">
        <v>14008</v>
      </c>
      <c r="D1982" t="s">
        <v>23</v>
      </c>
      <c r="E1982" t="s">
        <v>14009</v>
      </c>
      <c r="F1982" s="5">
        <v>16176000</v>
      </c>
      <c r="G1982" s="5">
        <v>16176000</v>
      </c>
      <c r="H1982" s="4">
        <v>12940000</v>
      </c>
      <c r="I1982" s="2">
        <f t="shared" si="157"/>
        <v>0.79995054401582588</v>
      </c>
      <c r="J1982" s="4">
        <v>15000000</v>
      </c>
      <c r="K1982" s="2">
        <f t="shared" si="158"/>
        <v>0.92729970326409494</v>
      </c>
      <c r="L1982" t="s">
        <v>360</v>
      </c>
      <c r="M1982" t="s">
        <v>126</v>
      </c>
      <c r="N1982" t="b">
        <f t="shared" si="159"/>
        <v>0</v>
      </c>
    </row>
    <row r="1983" spans="1:14" x14ac:dyDescent="0.15">
      <c r="A1983" t="s">
        <v>13890</v>
      </c>
      <c r="B1983" t="s">
        <v>13893</v>
      </c>
      <c r="C1983" t="s">
        <v>14010</v>
      </c>
      <c r="D1983" t="s">
        <v>23</v>
      </c>
      <c r="E1983" t="s">
        <v>14011</v>
      </c>
      <c r="F1983" s="5">
        <v>4303000</v>
      </c>
      <c r="G1983" s="5">
        <v>4303000</v>
      </c>
      <c r="I1983" s="2">
        <f t="shared" si="157"/>
        <v>0</v>
      </c>
      <c r="J1983" s="4">
        <v>3900000</v>
      </c>
      <c r="K1983" s="2">
        <f t="shared" si="158"/>
        <v>0.90634441087613293</v>
      </c>
      <c r="L1983" t="s">
        <v>13937</v>
      </c>
      <c r="M1983" t="s">
        <v>432</v>
      </c>
      <c r="N1983" t="b">
        <f t="shared" si="159"/>
        <v>0</v>
      </c>
    </row>
    <row r="1984" spans="1:14" x14ac:dyDescent="0.15">
      <c r="A1984" t="s">
        <v>13890</v>
      </c>
      <c r="B1984" t="s">
        <v>13913</v>
      </c>
      <c r="C1984" t="s">
        <v>14012</v>
      </c>
      <c r="D1984" t="s">
        <v>23</v>
      </c>
      <c r="E1984" t="s">
        <v>14013</v>
      </c>
      <c r="F1984" s="5">
        <v>14013000</v>
      </c>
      <c r="G1984" s="5">
        <v>14013000</v>
      </c>
      <c r="I1984" s="2">
        <f t="shared" si="157"/>
        <v>0</v>
      </c>
      <c r="J1984" s="4">
        <v>5900000</v>
      </c>
      <c r="K1984" s="2">
        <f t="shared" si="158"/>
        <v>0.4210376079354885</v>
      </c>
      <c r="L1984" t="s">
        <v>360</v>
      </c>
      <c r="M1984" t="s">
        <v>80</v>
      </c>
      <c r="N1984" t="b">
        <f t="shared" si="159"/>
        <v>0</v>
      </c>
    </row>
    <row r="1985" spans="1:14" x14ac:dyDescent="0.15">
      <c r="A1985" t="s">
        <v>13890</v>
      </c>
      <c r="B1985" t="s">
        <v>13913</v>
      </c>
      <c r="C1985" t="s">
        <v>14014</v>
      </c>
      <c r="D1985" t="s">
        <v>23</v>
      </c>
      <c r="E1985" t="s">
        <v>14015</v>
      </c>
      <c r="F1985" s="5">
        <v>7549000</v>
      </c>
      <c r="G1985" s="5">
        <v>7549000</v>
      </c>
      <c r="I1985" s="2">
        <f t="shared" si="157"/>
        <v>0</v>
      </c>
      <c r="J1985" s="4">
        <v>6800000</v>
      </c>
      <c r="K1985" s="2">
        <f t="shared" si="158"/>
        <v>0.90078156047158564</v>
      </c>
      <c r="L1985" t="s">
        <v>608</v>
      </c>
      <c r="M1985" t="s">
        <v>174</v>
      </c>
      <c r="N1985" t="b">
        <f t="shared" si="159"/>
        <v>0</v>
      </c>
    </row>
    <row r="1986" spans="1:14" x14ac:dyDescent="0.15">
      <c r="A1986" t="s">
        <v>13890</v>
      </c>
      <c r="B1986" t="s">
        <v>13913</v>
      </c>
      <c r="C1986" t="s">
        <v>14016</v>
      </c>
      <c r="D1986" t="s">
        <v>23</v>
      </c>
      <c r="E1986" t="s">
        <v>14017</v>
      </c>
      <c r="F1986" s="5">
        <v>10190000</v>
      </c>
      <c r="G1986" s="5">
        <v>10190000</v>
      </c>
      <c r="I1986" s="2">
        <f t="shared" si="157"/>
        <v>0</v>
      </c>
      <c r="J1986" s="4">
        <v>9800000</v>
      </c>
      <c r="K1986" s="2">
        <f t="shared" si="158"/>
        <v>0.96172718351324826</v>
      </c>
      <c r="L1986" t="s">
        <v>431</v>
      </c>
      <c r="M1986" t="s">
        <v>126</v>
      </c>
      <c r="N1986" t="b">
        <f t="shared" si="159"/>
        <v>0</v>
      </c>
    </row>
    <row r="1987" spans="1:14" x14ac:dyDescent="0.15">
      <c r="A1987" t="s">
        <v>13890</v>
      </c>
      <c r="B1987" t="s">
        <v>13893</v>
      </c>
      <c r="C1987" t="s">
        <v>13895</v>
      </c>
      <c r="D1987" t="s">
        <v>23</v>
      </c>
      <c r="E1987" t="s">
        <v>14018</v>
      </c>
      <c r="F1987" s="5">
        <v>4550000</v>
      </c>
      <c r="G1987" s="5">
        <v>4550000</v>
      </c>
      <c r="I1987" s="2">
        <f t="shared" si="157"/>
        <v>0</v>
      </c>
      <c r="J1987" s="4">
        <v>4046800</v>
      </c>
      <c r="K1987" s="2">
        <f t="shared" si="158"/>
        <v>0.88940659340659345</v>
      </c>
      <c r="L1987" t="s">
        <v>207</v>
      </c>
      <c r="M1987" t="s">
        <v>432</v>
      </c>
      <c r="N1987" t="b">
        <f t="shared" si="159"/>
        <v>0</v>
      </c>
    </row>
    <row r="1988" spans="1:14" x14ac:dyDescent="0.15">
      <c r="A1988" t="s">
        <v>13890</v>
      </c>
      <c r="B1988" t="s">
        <v>13893</v>
      </c>
      <c r="C1988" t="s">
        <v>14019</v>
      </c>
      <c r="D1988" t="s">
        <v>23</v>
      </c>
      <c r="E1988" t="s">
        <v>14020</v>
      </c>
      <c r="F1988" s="5">
        <v>20475000</v>
      </c>
      <c r="G1988" s="5">
        <v>20475000</v>
      </c>
      <c r="I1988" s="2">
        <f t="shared" ref="I1988:I2051" si="160">H1988/G1988</f>
        <v>0</v>
      </c>
      <c r="J1988" s="4">
        <v>18300000</v>
      </c>
      <c r="K1988" s="2">
        <f t="shared" ref="K1988:K2051" si="161">J1988/G1988</f>
        <v>0.89377289377289382</v>
      </c>
      <c r="L1988" t="s">
        <v>10364</v>
      </c>
      <c r="M1988" t="s">
        <v>174</v>
      </c>
      <c r="N1988" t="b">
        <f t="shared" ref="N1988:N2051" si="162">F1988&lt;&gt;G1988</f>
        <v>0</v>
      </c>
    </row>
    <row r="1989" spans="1:14" x14ac:dyDescent="0.15">
      <c r="A1989" t="s">
        <v>13890</v>
      </c>
      <c r="B1989" t="s">
        <v>13893</v>
      </c>
      <c r="C1989" t="s">
        <v>13897</v>
      </c>
      <c r="D1989" t="s">
        <v>23</v>
      </c>
      <c r="E1989" t="s">
        <v>14021</v>
      </c>
      <c r="F1989" s="5">
        <v>3600000</v>
      </c>
      <c r="G1989" s="5">
        <v>3600000</v>
      </c>
      <c r="I1989" s="2">
        <f t="shared" si="160"/>
        <v>0</v>
      </c>
      <c r="J1989" s="4">
        <v>3300000</v>
      </c>
      <c r="K1989" s="2">
        <f t="shared" si="161"/>
        <v>0.91666666666666663</v>
      </c>
      <c r="L1989" t="s">
        <v>13899</v>
      </c>
      <c r="M1989" t="s">
        <v>432</v>
      </c>
      <c r="N1989" t="b">
        <f t="shared" si="162"/>
        <v>0</v>
      </c>
    </row>
    <row r="1990" spans="1:14" x14ac:dyDescent="0.15">
      <c r="A1990" t="s">
        <v>13890</v>
      </c>
      <c r="B1990" t="s">
        <v>13893</v>
      </c>
      <c r="C1990" t="s">
        <v>13891</v>
      </c>
      <c r="D1990" t="s">
        <v>23</v>
      </c>
      <c r="E1990" t="s">
        <v>12172</v>
      </c>
      <c r="F1990" s="5">
        <v>7920000</v>
      </c>
      <c r="G1990" s="5">
        <v>7920000</v>
      </c>
      <c r="I1990" s="2">
        <f t="shared" si="160"/>
        <v>0</v>
      </c>
      <c r="J1990" s="4">
        <v>7500000</v>
      </c>
      <c r="K1990" s="2">
        <f t="shared" si="161"/>
        <v>0.94696969696969702</v>
      </c>
      <c r="L1990" t="s">
        <v>13894</v>
      </c>
      <c r="M1990" t="s">
        <v>174</v>
      </c>
      <c r="N1990" t="b">
        <f t="shared" si="162"/>
        <v>0</v>
      </c>
    </row>
    <row r="1991" spans="1:14" x14ac:dyDescent="0.15">
      <c r="A1991" t="s">
        <v>13890</v>
      </c>
      <c r="B1991" t="s">
        <v>13893</v>
      </c>
      <c r="C1991" t="s">
        <v>14022</v>
      </c>
      <c r="D1991" t="s">
        <v>23</v>
      </c>
      <c r="E1991" t="s">
        <v>14023</v>
      </c>
      <c r="F1991" s="5">
        <v>19483000</v>
      </c>
      <c r="G1991" s="5">
        <v>19483000</v>
      </c>
      <c r="I1991" s="2">
        <f t="shared" si="160"/>
        <v>0</v>
      </c>
      <c r="J1991" s="4">
        <v>18600000</v>
      </c>
      <c r="K1991" s="2">
        <f t="shared" si="161"/>
        <v>0.95467843761227733</v>
      </c>
      <c r="L1991" t="s">
        <v>13995</v>
      </c>
      <c r="M1991" t="s">
        <v>174</v>
      </c>
      <c r="N1991" t="b">
        <f t="shared" si="162"/>
        <v>0</v>
      </c>
    </row>
    <row r="1992" spans="1:14" x14ac:dyDescent="0.15">
      <c r="A1992" t="s">
        <v>14024</v>
      </c>
      <c r="B1992" t="s">
        <v>14027</v>
      </c>
      <c r="C1992" t="s">
        <v>14025</v>
      </c>
      <c r="D1992" t="s">
        <v>23</v>
      </c>
      <c r="E1992" t="s">
        <v>14026</v>
      </c>
      <c r="F1992" s="5">
        <v>8564000</v>
      </c>
      <c r="G1992" s="5">
        <v>8564000</v>
      </c>
      <c r="H1992" s="4">
        <v>6880000</v>
      </c>
      <c r="I1992" s="2">
        <f t="shared" si="160"/>
        <v>0.80336291452592246</v>
      </c>
      <c r="J1992" s="4">
        <v>6886000</v>
      </c>
      <c r="K1992" s="2">
        <f t="shared" si="161"/>
        <v>0.804063521718823</v>
      </c>
      <c r="L1992" t="s">
        <v>633</v>
      </c>
      <c r="M1992" t="s">
        <v>432</v>
      </c>
      <c r="N1992" t="b">
        <f t="shared" si="162"/>
        <v>0</v>
      </c>
    </row>
    <row r="1993" spans="1:14" x14ac:dyDescent="0.15">
      <c r="A1993" t="s">
        <v>14024</v>
      </c>
      <c r="B1993" t="s">
        <v>14027</v>
      </c>
      <c r="C1993" t="s">
        <v>14028</v>
      </c>
      <c r="D1993" t="s">
        <v>23</v>
      </c>
      <c r="E1993" t="s">
        <v>14029</v>
      </c>
      <c r="F1993" s="5">
        <v>9611000</v>
      </c>
      <c r="G1993" s="5">
        <v>9611000</v>
      </c>
      <c r="H1993" s="4">
        <v>7721000</v>
      </c>
      <c r="I1993" s="2">
        <f t="shared" si="160"/>
        <v>0.8033503277494537</v>
      </c>
      <c r="J1993" s="4">
        <v>7727000</v>
      </c>
      <c r="K1993" s="2">
        <f t="shared" si="161"/>
        <v>0.80397461242326496</v>
      </c>
      <c r="L1993" t="s">
        <v>452</v>
      </c>
      <c r="M1993" t="s">
        <v>165</v>
      </c>
      <c r="N1993" t="b">
        <f t="shared" si="162"/>
        <v>0</v>
      </c>
    </row>
    <row r="1994" spans="1:14" x14ac:dyDescent="0.15">
      <c r="A1994" t="s">
        <v>14024</v>
      </c>
      <c r="B1994" t="s">
        <v>14027</v>
      </c>
      <c r="C1994" t="s">
        <v>14030</v>
      </c>
      <c r="D1994" t="s">
        <v>23</v>
      </c>
      <c r="E1994" t="s">
        <v>14031</v>
      </c>
      <c r="F1994" s="5">
        <v>13570000</v>
      </c>
      <c r="G1994" s="5">
        <v>13570000</v>
      </c>
      <c r="H1994" s="4">
        <v>10637000</v>
      </c>
      <c r="I1994" s="2">
        <f t="shared" si="160"/>
        <v>0.78386145910095795</v>
      </c>
      <c r="J1994" s="4">
        <v>12100000</v>
      </c>
      <c r="K1994" s="2">
        <f t="shared" si="161"/>
        <v>0.89167280766396462</v>
      </c>
      <c r="L1994" t="s">
        <v>1078</v>
      </c>
      <c r="M1994" t="s">
        <v>165</v>
      </c>
      <c r="N1994" t="b">
        <f t="shared" si="162"/>
        <v>0</v>
      </c>
    </row>
    <row r="1995" spans="1:14" x14ac:dyDescent="0.15">
      <c r="A1995" t="s">
        <v>14024</v>
      </c>
      <c r="B1995" t="s">
        <v>14027</v>
      </c>
      <c r="C1995" t="s">
        <v>14032</v>
      </c>
      <c r="D1995" t="s">
        <v>23</v>
      </c>
      <c r="E1995" t="s">
        <v>14033</v>
      </c>
      <c r="F1995" s="5">
        <v>18930000</v>
      </c>
      <c r="G1995" s="5">
        <v>18930000</v>
      </c>
      <c r="H1995" s="4">
        <v>15050000</v>
      </c>
      <c r="I1995" s="2">
        <f t="shared" si="160"/>
        <v>0.79503433703116744</v>
      </c>
      <c r="J1995" s="4">
        <v>17900000</v>
      </c>
      <c r="K1995" s="2">
        <f t="shared" si="161"/>
        <v>0.94558901215002644</v>
      </c>
      <c r="L1995" t="s">
        <v>4797</v>
      </c>
      <c r="M1995" t="s">
        <v>165</v>
      </c>
      <c r="N1995" t="b">
        <f t="shared" si="162"/>
        <v>0</v>
      </c>
    </row>
    <row r="1996" spans="1:14" x14ac:dyDescent="0.15">
      <c r="A1996" t="s">
        <v>14024</v>
      </c>
      <c r="B1996" t="s">
        <v>14027</v>
      </c>
      <c r="C1996" t="s">
        <v>14034</v>
      </c>
      <c r="D1996" t="s">
        <v>23</v>
      </c>
      <c r="E1996" t="s">
        <v>14035</v>
      </c>
      <c r="F1996" s="5">
        <v>54890000</v>
      </c>
      <c r="G1996" s="5">
        <v>54890000</v>
      </c>
      <c r="H1996" s="4">
        <v>37936674</v>
      </c>
      <c r="I1996" s="2">
        <f t="shared" si="160"/>
        <v>0.69113998906904717</v>
      </c>
      <c r="J1996" s="4">
        <v>51600000</v>
      </c>
      <c r="K1996" s="2">
        <f t="shared" si="161"/>
        <v>0.94006194206595006</v>
      </c>
      <c r="L1996" t="s">
        <v>14036</v>
      </c>
      <c r="M1996" t="s">
        <v>192</v>
      </c>
      <c r="N1996" t="b">
        <f t="shared" si="162"/>
        <v>0</v>
      </c>
    </row>
    <row r="1997" spans="1:14" x14ac:dyDescent="0.15">
      <c r="A1997" t="s">
        <v>14024</v>
      </c>
      <c r="B1997" t="s">
        <v>14027</v>
      </c>
      <c r="C1997" t="s">
        <v>14037</v>
      </c>
      <c r="D1997" t="s">
        <v>23</v>
      </c>
      <c r="E1997" t="s">
        <v>14038</v>
      </c>
      <c r="F1997" s="5">
        <v>21255000</v>
      </c>
      <c r="G1997" s="5">
        <v>21255000</v>
      </c>
      <c r="H1997" s="4">
        <v>16925000</v>
      </c>
      <c r="I1997" s="2">
        <f t="shared" si="160"/>
        <v>0.79628322747588798</v>
      </c>
      <c r="J1997" s="4">
        <v>16925000</v>
      </c>
      <c r="K1997" s="2">
        <f t="shared" si="161"/>
        <v>0.79628322747588798</v>
      </c>
      <c r="L1997" t="s">
        <v>12393</v>
      </c>
      <c r="M1997" t="s">
        <v>165</v>
      </c>
      <c r="N1997" t="b">
        <f t="shared" si="162"/>
        <v>0</v>
      </c>
    </row>
    <row r="1998" spans="1:14" x14ac:dyDescent="0.15">
      <c r="A1998" t="s">
        <v>14024</v>
      </c>
      <c r="B1998" t="s">
        <v>14027</v>
      </c>
      <c r="C1998" t="s">
        <v>14039</v>
      </c>
      <c r="D1998" t="s">
        <v>23</v>
      </c>
      <c r="E1998" t="s">
        <v>14040</v>
      </c>
      <c r="F1998" s="5">
        <v>2180000</v>
      </c>
      <c r="G1998" s="5">
        <v>2180000</v>
      </c>
      <c r="H1998" s="4">
        <v>1497987</v>
      </c>
      <c r="I1998" s="2">
        <f t="shared" si="160"/>
        <v>0.68715000000000004</v>
      </c>
      <c r="J1998" s="4">
        <v>1900000</v>
      </c>
      <c r="K1998" s="2">
        <f t="shared" si="161"/>
        <v>0.87155963302752293</v>
      </c>
      <c r="L1998" t="s">
        <v>5186</v>
      </c>
      <c r="M1998" t="s">
        <v>1015</v>
      </c>
      <c r="N1998" t="b">
        <f t="shared" si="162"/>
        <v>0</v>
      </c>
    </row>
    <row r="1999" spans="1:14" x14ac:dyDescent="0.15">
      <c r="A1999" t="s">
        <v>14024</v>
      </c>
      <c r="B1999" t="s">
        <v>14027</v>
      </c>
      <c r="C1999" t="s">
        <v>14041</v>
      </c>
      <c r="D1999" t="s">
        <v>23</v>
      </c>
      <c r="E1999" t="s">
        <v>14042</v>
      </c>
      <c r="F1999" s="5">
        <v>15350000</v>
      </c>
      <c r="G1999" s="5">
        <v>15350000</v>
      </c>
      <c r="H1999" s="4">
        <v>12239000</v>
      </c>
      <c r="I1999" s="2">
        <f t="shared" si="160"/>
        <v>0.79732899022801307</v>
      </c>
      <c r="J1999" s="4">
        <v>14500000</v>
      </c>
      <c r="K1999" s="2">
        <f t="shared" si="161"/>
        <v>0.94462540716612375</v>
      </c>
      <c r="L1999" t="s">
        <v>4797</v>
      </c>
      <c r="M1999" t="s">
        <v>165</v>
      </c>
      <c r="N1999" t="b">
        <f t="shared" si="162"/>
        <v>0</v>
      </c>
    </row>
    <row r="2000" spans="1:14" x14ac:dyDescent="0.15">
      <c r="A2000" t="s">
        <v>14024</v>
      </c>
      <c r="B2000" t="s">
        <v>14027</v>
      </c>
      <c r="C2000" t="s">
        <v>14043</v>
      </c>
      <c r="D2000" t="s">
        <v>23</v>
      </c>
      <c r="E2000" t="s">
        <v>14044</v>
      </c>
      <c r="F2000" s="5">
        <v>7510000</v>
      </c>
      <c r="G2000" s="5">
        <v>7510000</v>
      </c>
      <c r="H2000" s="4">
        <v>5949000</v>
      </c>
      <c r="I2000" s="2">
        <f t="shared" si="160"/>
        <v>0.79214380825565911</v>
      </c>
      <c r="J2000" s="4">
        <v>7100000</v>
      </c>
      <c r="K2000" s="2">
        <f t="shared" si="161"/>
        <v>0.94540612516644473</v>
      </c>
      <c r="L2000" t="s">
        <v>14045</v>
      </c>
      <c r="M2000" t="s">
        <v>432</v>
      </c>
      <c r="N2000" t="b">
        <f t="shared" si="162"/>
        <v>0</v>
      </c>
    </row>
    <row r="2001" spans="1:14" x14ac:dyDescent="0.15">
      <c r="A2001" t="s">
        <v>14024</v>
      </c>
      <c r="B2001" t="s">
        <v>14027</v>
      </c>
      <c r="C2001" t="s">
        <v>14046</v>
      </c>
      <c r="D2001" t="s">
        <v>23</v>
      </c>
      <c r="E2001" t="s">
        <v>14047</v>
      </c>
      <c r="F2001" s="5">
        <v>22078000</v>
      </c>
      <c r="G2001" s="5">
        <v>22078000</v>
      </c>
      <c r="H2001" s="4">
        <v>15544457</v>
      </c>
      <c r="I2001" s="2">
        <f t="shared" si="160"/>
        <v>0.70406997916477942</v>
      </c>
      <c r="J2001" s="4">
        <v>20400000</v>
      </c>
      <c r="K2001" s="2">
        <f t="shared" si="161"/>
        <v>0.92399673883503941</v>
      </c>
      <c r="L2001" t="s">
        <v>10639</v>
      </c>
      <c r="M2001" t="s">
        <v>174</v>
      </c>
      <c r="N2001" t="b">
        <f t="shared" si="162"/>
        <v>0</v>
      </c>
    </row>
    <row r="2002" spans="1:14" x14ac:dyDescent="0.15">
      <c r="A2002" t="s">
        <v>14024</v>
      </c>
      <c r="B2002" t="s">
        <v>14027</v>
      </c>
      <c r="C2002" t="s">
        <v>14048</v>
      </c>
      <c r="D2002" t="s">
        <v>23</v>
      </c>
      <c r="E2002" t="s">
        <v>14049</v>
      </c>
      <c r="F2002" s="5">
        <v>7246000</v>
      </c>
      <c r="G2002" s="5">
        <v>7246000</v>
      </c>
      <c r="H2002" s="4">
        <v>4955032</v>
      </c>
      <c r="I2002" s="2">
        <f t="shared" si="160"/>
        <v>0.68382997515870825</v>
      </c>
      <c r="J2002" s="4">
        <v>6800000</v>
      </c>
      <c r="K2002" s="2">
        <f t="shared" si="161"/>
        <v>0.93844879933756553</v>
      </c>
      <c r="L2002" t="s">
        <v>633</v>
      </c>
      <c r="M2002" t="s">
        <v>165</v>
      </c>
      <c r="N2002" t="b">
        <f t="shared" si="162"/>
        <v>0</v>
      </c>
    </row>
    <row r="2003" spans="1:14" x14ac:dyDescent="0.15">
      <c r="A2003" t="s">
        <v>14024</v>
      </c>
      <c r="B2003" t="s">
        <v>14027</v>
      </c>
      <c r="C2003" t="s">
        <v>14050</v>
      </c>
      <c r="D2003" t="s">
        <v>23</v>
      </c>
      <c r="E2003" t="s">
        <v>14051</v>
      </c>
      <c r="F2003" s="5">
        <v>10037000</v>
      </c>
      <c r="G2003" s="5">
        <v>10037000</v>
      </c>
      <c r="H2003" s="4">
        <v>7157284</v>
      </c>
      <c r="I2003" s="2">
        <f t="shared" si="160"/>
        <v>0.71308996712164985</v>
      </c>
      <c r="J2003" s="4">
        <v>9200000</v>
      </c>
      <c r="K2003" s="2">
        <f t="shared" si="161"/>
        <v>0.91660854837102723</v>
      </c>
      <c r="L2003" t="s">
        <v>10639</v>
      </c>
      <c r="M2003" t="s">
        <v>165</v>
      </c>
      <c r="N2003" t="b">
        <f t="shared" si="162"/>
        <v>0</v>
      </c>
    </row>
    <row r="2004" spans="1:14" x14ac:dyDescent="0.15">
      <c r="A2004" t="s">
        <v>14024</v>
      </c>
      <c r="B2004" t="s">
        <v>14027</v>
      </c>
      <c r="C2004" t="s">
        <v>14052</v>
      </c>
      <c r="D2004" t="s">
        <v>23</v>
      </c>
      <c r="E2004" t="s">
        <v>14053</v>
      </c>
      <c r="F2004" s="5">
        <v>8260000</v>
      </c>
      <c r="G2004" s="5">
        <v>8260000</v>
      </c>
      <c r="H2004" s="4">
        <v>5666525</v>
      </c>
      <c r="I2004" s="2">
        <f t="shared" si="160"/>
        <v>0.68601997578692497</v>
      </c>
      <c r="J2004" s="4">
        <v>7800000</v>
      </c>
      <c r="K2004" s="2">
        <f t="shared" si="161"/>
        <v>0.94430992736077479</v>
      </c>
      <c r="L2004" t="s">
        <v>4797</v>
      </c>
      <c r="M2004" t="s">
        <v>165</v>
      </c>
      <c r="N2004" t="b">
        <f t="shared" si="162"/>
        <v>0</v>
      </c>
    </row>
    <row r="2005" spans="1:14" x14ac:dyDescent="0.15">
      <c r="A2005" t="s">
        <v>14024</v>
      </c>
      <c r="B2005" t="s">
        <v>14027</v>
      </c>
      <c r="C2005" t="s">
        <v>14054</v>
      </c>
      <c r="D2005" t="s">
        <v>23</v>
      </c>
      <c r="E2005" t="s">
        <v>14055</v>
      </c>
      <c r="F2005" s="5">
        <v>12560000</v>
      </c>
      <c r="G2005" s="5">
        <v>12560000</v>
      </c>
      <c r="H2005" s="4">
        <v>8970477</v>
      </c>
      <c r="I2005" s="2">
        <f t="shared" si="160"/>
        <v>0.71420995222929939</v>
      </c>
      <c r="J2005" s="4">
        <v>11900000</v>
      </c>
      <c r="K2005" s="2">
        <f t="shared" si="161"/>
        <v>0.94745222929936301</v>
      </c>
      <c r="L2005" t="s">
        <v>4797</v>
      </c>
      <c r="M2005" t="s">
        <v>165</v>
      </c>
      <c r="N2005" t="b">
        <f t="shared" si="162"/>
        <v>0</v>
      </c>
    </row>
    <row r="2006" spans="1:14" x14ac:dyDescent="0.15">
      <c r="A2006" t="s">
        <v>14024</v>
      </c>
      <c r="B2006" t="s">
        <v>14027</v>
      </c>
      <c r="C2006" t="s">
        <v>14056</v>
      </c>
      <c r="D2006" t="s">
        <v>23</v>
      </c>
      <c r="E2006" t="s">
        <v>14057</v>
      </c>
      <c r="F2006" s="5">
        <v>13890000</v>
      </c>
      <c r="G2006" s="5">
        <v>13890000</v>
      </c>
      <c r="H2006" s="4">
        <v>9701887</v>
      </c>
      <c r="I2006" s="2">
        <f t="shared" si="160"/>
        <v>0.69847998560115188</v>
      </c>
      <c r="J2006" s="4">
        <v>12900000</v>
      </c>
      <c r="K2006" s="2">
        <f t="shared" si="161"/>
        <v>0.92872570194384452</v>
      </c>
      <c r="L2006" t="s">
        <v>14058</v>
      </c>
      <c r="M2006" t="s">
        <v>165</v>
      </c>
      <c r="N2006" t="b">
        <f t="shared" si="162"/>
        <v>0</v>
      </c>
    </row>
    <row r="2007" spans="1:14" x14ac:dyDescent="0.15">
      <c r="A2007" t="s">
        <v>14024</v>
      </c>
      <c r="B2007" t="s">
        <v>14027</v>
      </c>
      <c r="C2007" t="s">
        <v>14059</v>
      </c>
      <c r="D2007" t="s">
        <v>23</v>
      </c>
      <c r="E2007" t="s">
        <v>14060</v>
      </c>
      <c r="F2007" s="5">
        <v>23312000</v>
      </c>
      <c r="G2007" s="5">
        <v>23312000</v>
      </c>
      <c r="H2007" s="4">
        <v>16360361</v>
      </c>
      <c r="I2007" s="2">
        <f t="shared" si="160"/>
        <v>0.70179997426218255</v>
      </c>
      <c r="J2007" s="4">
        <v>21400000</v>
      </c>
      <c r="K2007" s="2">
        <f t="shared" si="161"/>
        <v>0.91798215511324643</v>
      </c>
      <c r="L2007" t="s">
        <v>10639</v>
      </c>
      <c r="M2007" t="s">
        <v>174</v>
      </c>
      <c r="N2007" t="b">
        <f t="shared" si="162"/>
        <v>0</v>
      </c>
    </row>
    <row r="2008" spans="1:14" x14ac:dyDescent="0.15">
      <c r="A2008" t="s">
        <v>14024</v>
      </c>
      <c r="B2008" t="s">
        <v>14027</v>
      </c>
      <c r="C2008" t="s">
        <v>14061</v>
      </c>
      <c r="D2008" t="s">
        <v>23</v>
      </c>
      <c r="E2008" t="s">
        <v>14062</v>
      </c>
      <c r="F2008" s="5">
        <v>5297000</v>
      </c>
      <c r="G2008" s="5">
        <v>5297000</v>
      </c>
      <c r="H2008" s="4">
        <v>3675058</v>
      </c>
      <c r="I2008" s="2">
        <f t="shared" si="160"/>
        <v>0.69379988672833681</v>
      </c>
      <c r="J2008" s="4">
        <v>4900000</v>
      </c>
      <c r="K2008" s="2">
        <f t="shared" si="161"/>
        <v>0.9250519161789692</v>
      </c>
      <c r="L2008" t="s">
        <v>1800</v>
      </c>
      <c r="M2008" t="s">
        <v>432</v>
      </c>
      <c r="N2008" t="b">
        <f t="shared" si="162"/>
        <v>0</v>
      </c>
    </row>
    <row r="2009" spans="1:14" x14ac:dyDescent="0.15">
      <c r="A2009" t="s">
        <v>14063</v>
      </c>
      <c r="B2009" t="s">
        <v>14066</v>
      </c>
      <c r="C2009" t="s">
        <v>14064</v>
      </c>
      <c r="D2009" t="s">
        <v>23</v>
      </c>
      <c r="E2009" t="s">
        <v>14065</v>
      </c>
      <c r="F2009" s="5">
        <v>6250000</v>
      </c>
      <c r="G2009" s="5">
        <v>6250000</v>
      </c>
      <c r="H2009" s="4">
        <v>4980000</v>
      </c>
      <c r="I2009" s="2">
        <f t="shared" si="160"/>
        <v>0.79679999999999995</v>
      </c>
      <c r="J2009" s="4">
        <v>5900000</v>
      </c>
      <c r="K2009" s="2">
        <f t="shared" si="161"/>
        <v>0.94399999999999995</v>
      </c>
      <c r="L2009" t="s">
        <v>5068</v>
      </c>
      <c r="M2009" t="s">
        <v>432</v>
      </c>
      <c r="N2009" t="b">
        <f t="shared" si="162"/>
        <v>0</v>
      </c>
    </row>
    <row r="2010" spans="1:14" x14ac:dyDescent="0.15">
      <c r="A2010" t="s">
        <v>14063</v>
      </c>
      <c r="B2010" t="s">
        <v>14066</v>
      </c>
      <c r="C2010" t="s">
        <v>14067</v>
      </c>
      <c r="D2010" t="s">
        <v>23</v>
      </c>
      <c r="E2010" t="s">
        <v>14068</v>
      </c>
      <c r="F2010" s="5">
        <v>5119000</v>
      </c>
      <c r="G2010" s="5">
        <v>5119000</v>
      </c>
      <c r="H2010" s="4">
        <v>4079000</v>
      </c>
      <c r="I2010" s="2">
        <f t="shared" si="160"/>
        <v>0.79683531939831997</v>
      </c>
      <c r="J2010" s="4">
        <v>4650000</v>
      </c>
      <c r="K2010" s="2">
        <f t="shared" si="161"/>
        <v>0.9083805430748193</v>
      </c>
      <c r="L2010" t="s">
        <v>14069</v>
      </c>
      <c r="M2010" t="s">
        <v>432</v>
      </c>
      <c r="N2010" t="b">
        <f t="shared" si="162"/>
        <v>0</v>
      </c>
    </row>
    <row r="2011" spans="1:14" x14ac:dyDescent="0.15">
      <c r="A2011" t="s">
        <v>14063</v>
      </c>
      <c r="B2011" t="s">
        <v>14066</v>
      </c>
      <c r="C2011" t="s">
        <v>14070</v>
      </c>
      <c r="D2011" t="s">
        <v>23</v>
      </c>
      <c r="E2011" t="s">
        <v>14071</v>
      </c>
      <c r="F2011" s="5">
        <v>5618000</v>
      </c>
      <c r="G2011" s="5">
        <v>5618000</v>
      </c>
      <c r="H2011" s="4">
        <v>4558000</v>
      </c>
      <c r="I2011" s="2">
        <f t="shared" si="160"/>
        <v>0.81132075471698117</v>
      </c>
      <c r="J2011" s="4">
        <v>5300000</v>
      </c>
      <c r="K2011" s="2">
        <f t="shared" si="161"/>
        <v>0.94339622641509435</v>
      </c>
      <c r="L2011" t="s">
        <v>10194</v>
      </c>
      <c r="M2011" t="s">
        <v>432</v>
      </c>
      <c r="N2011" t="b">
        <f t="shared" si="162"/>
        <v>0</v>
      </c>
    </row>
    <row r="2012" spans="1:14" x14ac:dyDescent="0.15">
      <c r="A2012" t="s">
        <v>14063</v>
      </c>
      <c r="B2012" t="s">
        <v>14066</v>
      </c>
      <c r="C2012" t="s">
        <v>14072</v>
      </c>
      <c r="D2012" t="s">
        <v>23</v>
      </c>
      <c r="E2012" t="s">
        <v>14073</v>
      </c>
      <c r="F2012" s="5">
        <v>5506000</v>
      </c>
      <c r="G2012" s="5">
        <v>5506000</v>
      </c>
      <c r="H2012" s="4">
        <v>4378000</v>
      </c>
      <c r="I2012" s="2">
        <f t="shared" si="160"/>
        <v>0.79513258263712316</v>
      </c>
      <c r="J2012" s="4">
        <v>5180000</v>
      </c>
      <c r="K2012" s="2">
        <f t="shared" si="161"/>
        <v>0.94079186342172172</v>
      </c>
      <c r="L2012" t="s">
        <v>14074</v>
      </c>
      <c r="M2012" t="s">
        <v>432</v>
      </c>
      <c r="N2012" t="b">
        <f t="shared" si="162"/>
        <v>0</v>
      </c>
    </row>
    <row r="2013" spans="1:14" x14ac:dyDescent="0.15">
      <c r="A2013" t="s">
        <v>14063</v>
      </c>
      <c r="B2013" t="s">
        <v>14066</v>
      </c>
      <c r="C2013" t="s">
        <v>14075</v>
      </c>
      <c r="D2013" t="s">
        <v>23</v>
      </c>
      <c r="E2013" t="s">
        <v>14076</v>
      </c>
      <c r="F2013" s="5">
        <v>3483000</v>
      </c>
      <c r="G2013" s="5">
        <v>3483000</v>
      </c>
      <c r="H2013" s="4">
        <v>2776000</v>
      </c>
      <c r="I2013" s="2">
        <f t="shared" si="160"/>
        <v>0.79701406833189781</v>
      </c>
      <c r="J2013" s="4">
        <v>3200000</v>
      </c>
      <c r="K2013" s="2">
        <f t="shared" si="161"/>
        <v>0.91874820556991099</v>
      </c>
      <c r="L2013" t="s">
        <v>10194</v>
      </c>
      <c r="M2013" t="s">
        <v>432</v>
      </c>
      <c r="N2013" t="b">
        <f t="shared" si="162"/>
        <v>0</v>
      </c>
    </row>
    <row r="2014" spans="1:14" x14ac:dyDescent="0.15">
      <c r="A2014" t="s">
        <v>14063</v>
      </c>
      <c r="B2014" t="s">
        <v>14066</v>
      </c>
      <c r="C2014" t="s">
        <v>14077</v>
      </c>
      <c r="D2014" t="s">
        <v>23</v>
      </c>
      <c r="E2014" t="s">
        <v>14078</v>
      </c>
      <c r="F2014" s="5">
        <v>7294000</v>
      </c>
      <c r="G2014" s="5">
        <v>7294000</v>
      </c>
      <c r="H2014" s="4">
        <v>5809000</v>
      </c>
      <c r="I2014" s="2">
        <f t="shared" si="160"/>
        <v>0.79640800658075128</v>
      </c>
      <c r="J2014" s="4">
        <v>6900000</v>
      </c>
      <c r="K2014" s="2">
        <f t="shared" si="161"/>
        <v>0.94598299972580202</v>
      </c>
      <c r="L2014" t="s">
        <v>263</v>
      </c>
      <c r="M2014" t="s">
        <v>432</v>
      </c>
      <c r="N2014" t="b">
        <f t="shared" si="162"/>
        <v>0</v>
      </c>
    </row>
    <row r="2015" spans="1:14" x14ac:dyDescent="0.15">
      <c r="A2015" t="s">
        <v>14063</v>
      </c>
      <c r="B2015" t="s">
        <v>14066</v>
      </c>
      <c r="C2015" t="s">
        <v>14079</v>
      </c>
      <c r="D2015" t="s">
        <v>23</v>
      </c>
      <c r="E2015" t="s">
        <v>14080</v>
      </c>
      <c r="F2015" s="5">
        <v>4860000</v>
      </c>
      <c r="G2015" s="5">
        <v>4860000</v>
      </c>
      <c r="H2015" s="4">
        <v>3874000</v>
      </c>
      <c r="I2015" s="2">
        <f t="shared" si="160"/>
        <v>0.79711934156378605</v>
      </c>
      <c r="J2015" s="4">
        <v>4600000</v>
      </c>
      <c r="K2015" s="2">
        <f t="shared" si="161"/>
        <v>0.94650205761316875</v>
      </c>
      <c r="L2015" t="s">
        <v>4797</v>
      </c>
      <c r="M2015" t="s">
        <v>432</v>
      </c>
      <c r="N2015" t="b">
        <f t="shared" si="162"/>
        <v>0</v>
      </c>
    </row>
    <row r="2016" spans="1:14" x14ac:dyDescent="0.15">
      <c r="A2016" t="s">
        <v>14063</v>
      </c>
      <c r="B2016" t="s">
        <v>14066</v>
      </c>
      <c r="C2016" t="s">
        <v>14081</v>
      </c>
      <c r="D2016" t="s">
        <v>23</v>
      </c>
      <c r="E2016" t="s">
        <v>14082</v>
      </c>
      <c r="F2016" s="5">
        <v>8960000</v>
      </c>
      <c r="G2016" s="5">
        <v>8960000</v>
      </c>
      <c r="H2016" s="4">
        <v>7140000</v>
      </c>
      <c r="I2016" s="2">
        <f t="shared" si="160"/>
        <v>0.796875</v>
      </c>
      <c r="J2016" s="4">
        <v>8500000</v>
      </c>
      <c r="K2016" s="2">
        <f t="shared" si="161"/>
        <v>0.9486607142857143</v>
      </c>
      <c r="L2016" t="s">
        <v>5068</v>
      </c>
      <c r="M2016" t="s">
        <v>432</v>
      </c>
      <c r="N2016" t="b">
        <f t="shared" si="162"/>
        <v>0</v>
      </c>
    </row>
    <row r="2017" spans="1:14" x14ac:dyDescent="0.15">
      <c r="A2017" t="s">
        <v>14063</v>
      </c>
      <c r="B2017" t="s">
        <v>14066</v>
      </c>
      <c r="C2017" t="s">
        <v>14083</v>
      </c>
      <c r="D2017" t="s">
        <v>23</v>
      </c>
      <c r="E2017" t="s">
        <v>14084</v>
      </c>
      <c r="F2017" s="5">
        <v>38130000</v>
      </c>
      <c r="G2017" s="5">
        <v>38130000</v>
      </c>
      <c r="H2017" s="4">
        <v>30330000</v>
      </c>
      <c r="I2017" s="2">
        <f t="shared" si="160"/>
        <v>0.79543666404405977</v>
      </c>
      <c r="J2017" s="4">
        <v>36500000</v>
      </c>
      <c r="K2017" s="2">
        <f t="shared" si="161"/>
        <v>0.95725150799895098</v>
      </c>
      <c r="L2017" t="s">
        <v>10194</v>
      </c>
      <c r="M2017" t="s">
        <v>165</v>
      </c>
      <c r="N2017" t="b">
        <f t="shared" si="162"/>
        <v>0</v>
      </c>
    </row>
    <row r="2018" spans="1:14" x14ac:dyDescent="0.15">
      <c r="A2018" t="s">
        <v>14063</v>
      </c>
      <c r="B2018" t="s">
        <v>14066</v>
      </c>
      <c r="C2018" t="s">
        <v>14085</v>
      </c>
      <c r="D2018" t="s">
        <v>23</v>
      </c>
      <c r="E2018" t="s">
        <v>14086</v>
      </c>
      <c r="F2018" s="5">
        <v>24210000</v>
      </c>
      <c r="G2018" s="5">
        <v>24210000</v>
      </c>
      <c r="H2018" s="4">
        <v>19272000</v>
      </c>
      <c r="I2018" s="2">
        <f t="shared" si="160"/>
        <v>0.79603469640644364</v>
      </c>
      <c r="J2018" s="4">
        <v>22000000</v>
      </c>
      <c r="K2018" s="2">
        <f t="shared" si="161"/>
        <v>0.90871540685667085</v>
      </c>
      <c r="L2018" t="s">
        <v>903</v>
      </c>
      <c r="M2018" t="s">
        <v>165</v>
      </c>
      <c r="N2018" t="b">
        <f t="shared" si="162"/>
        <v>0</v>
      </c>
    </row>
    <row r="2019" spans="1:14" x14ac:dyDescent="0.15">
      <c r="A2019" t="s">
        <v>14063</v>
      </c>
      <c r="B2019" t="s">
        <v>14066</v>
      </c>
      <c r="C2019" t="s">
        <v>14087</v>
      </c>
      <c r="D2019" t="s">
        <v>23</v>
      </c>
      <c r="E2019" t="s">
        <v>14088</v>
      </c>
      <c r="F2019" s="5">
        <v>1147000</v>
      </c>
      <c r="G2019" s="5">
        <v>1147000</v>
      </c>
      <c r="H2019" s="4">
        <v>762000</v>
      </c>
      <c r="I2019" s="2">
        <f t="shared" si="160"/>
        <v>0.66434176111595467</v>
      </c>
      <c r="J2019" s="4">
        <v>1120000</v>
      </c>
      <c r="K2019" s="2">
        <f t="shared" si="161"/>
        <v>0.97646033129904097</v>
      </c>
      <c r="L2019" t="s">
        <v>125</v>
      </c>
      <c r="M2019" t="s">
        <v>432</v>
      </c>
      <c r="N2019" t="b">
        <f t="shared" si="162"/>
        <v>0</v>
      </c>
    </row>
    <row r="2020" spans="1:14" x14ac:dyDescent="0.15">
      <c r="A2020" t="s">
        <v>14063</v>
      </c>
      <c r="B2020" t="s">
        <v>14066</v>
      </c>
      <c r="C2020" t="s">
        <v>14089</v>
      </c>
      <c r="D2020" t="s">
        <v>23</v>
      </c>
      <c r="E2020" t="s">
        <v>13958</v>
      </c>
      <c r="F2020" s="5">
        <v>8920000</v>
      </c>
      <c r="G2020" s="5">
        <v>8920000</v>
      </c>
      <c r="H2020" s="4">
        <v>7136000</v>
      </c>
      <c r="I2020" s="2">
        <f t="shared" si="160"/>
        <v>0.8</v>
      </c>
      <c r="J2020" s="4">
        <v>7207000</v>
      </c>
      <c r="K2020" s="2">
        <f t="shared" si="161"/>
        <v>0.80795964125560538</v>
      </c>
      <c r="L2020" t="s">
        <v>903</v>
      </c>
      <c r="M2020" t="s">
        <v>432</v>
      </c>
      <c r="N2020" t="b">
        <f t="shared" si="162"/>
        <v>0</v>
      </c>
    </row>
    <row r="2021" spans="1:14" x14ac:dyDescent="0.15">
      <c r="A2021" t="s">
        <v>14063</v>
      </c>
      <c r="B2021" t="s">
        <v>14066</v>
      </c>
      <c r="C2021" t="s">
        <v>14090</v>
      </c>
      <c r="D2021" t="s">
        <v>23</v>
      </c>
      <c r="E2021" t="s">
        <v>14091</v>
      </c>
      <c r="F2021" s="5">
        <v>3108000</v>
      </c>
      <c r="G2021" s="5">
        <v>3108000</v>
      </c>
      <c r="H2021" s="4">
        <v>2475000</v>
      </c>
      <c r="I2021" s="2">
        <f t="shared" si="160"/>
        <v>0.79633204633204635</v>
      </c>
      <c r="J2021" s="4">
        <v>3000000</v>
      </c>
      <c r="K2021" s="2">
        <f t="shared" si="161"/>
        <v>0.96525096525096521</v>
      </c>
      <c r="L2021" t="s">
        <v>360</v>
      </c>
      <c r="M2021" t="s">
        <v>432</v>
      </c>
      <c r="N2021" t="b">
        <f t="shared" si="162"/>
        <v>0</v>
      </c>
    </row>
    <row r="2022" spans="1:14" x14ac:dyDescent="0.15">
      <c r="A2022" t="s">
        <v>14063</v>
      </c>
      <c r="B2022" t="s">
        <v>14066</v>
      </c>
      <c r="C2022" t="s">
        <v>14092</v>
      </c>
      <c r="D2022" t="s">
        <v>23</v>
      </c>
      <c r="E2022" t="s">
        <v>10662</v>
      </c>
      <c r="F2022" s="5">
        <v>21293000</v>
      </c>
      <c r="G2022" s="5">
        <v>21293000</v>
      </c>
      <c r="H2022" s="4">
        <v>17002000</v>
      </c>
      <c r="I2022" s="2">
        <f t="shared" si="160"/>
        <v>0.79847837317428261</v>
      </c>
      <c r="J2022" s="4">
        <v>20300000</v>
      </c>
      <c r="K2022" s="2">
        <f t="shared" si="161"/>
        <v>0.95336495561921764</v>
      </c>
      <c r="L2022" t="s">
        <v>10194</v>
      </c>
      <c r="M2022" t="s">
        <v>165</v>
      </c>
      <c r="N2022" t="b">
        <f t="shared" si="162"/>
        <v>0</v>
      </c>
    </row>
    <row r="2023" spans="1:14" x14ac:dyDescent="0.15">
      <c r="A2023" t="s">
        <v>14063</v>
      </c>
      <c r="B2023" t="s">
        <v>14066</v>
      </c>
      <c r="C2023" t="s">
        <v>14093</v>
      </c>
      <c r="D2023" t="s">
        <v>23</v>
      </c>
      <c r="E2023" t="s">
        <v>14094</v>
      </c>
      <c r="F2023" s="5">
        <v>10290000</v>
      </c>
      <c r="G2023" s="5">
        <v>10290000</v>
      </c>
      <c r="H2023" s="4">
        <v>8196000</v>
      </c>
      <c r="I2023" s="2">
        <f t="shared" si="160"/>
        <v>0.79650145772594749</v>
      </c>
      <c r="J2023" s="4">
        <v>9600000</v>
      </c>
      <c r="K2023" s="2">
        <f t="shared" si="161"/>
        <v>0.93294460641399413</v>
      </c>
      <c r="L2023" t="s">
        <v>4797</v>
      </c>
      <c r="M2023" t="s">
        <v>432</v>
      </c>
      <c r="N2023" t="b">
        <f t="shared" si="162"/>
        <v>0</v>
      </c>
    </row>
    <row r="2024" spans="1:14" x14ac:dyDescent="0.15">
      <c r="A2024" t="s">
        <v>14063</v>
      </c>
      <c r="B2024" t="s">
        <v>14066</v>
      </c>
      <c r="C2024" t="s">
        <v>14095</v>
      </c>
      <c r="D2024" t="s">
        <v>23</v>
      </c>
      <c r="E2024" t="s">
        <v>14096</v>
      </c>
      <c r="F2024" s="5">
        <v>3870000</v>
      </c>
      <c r="G2024" s="5">
        <v>3870000</v>
      </c>
      <c r="H2024" s="4">
        <v>3086000</v>
      </c>
      <c r="I2024" s="2">
        <f t="shared" si="160"/>
        <v>0.79741602067183459</v>
      </c>
      <c r="J2024" s="4">
        <v>3600000</v>
      </c>
      <c r="K2024" s="2">
        <f t="shared" si="161"/>
        <v>0.93023255813953487</v>
      </c>
      <c r="L2024" t="s">
        <v>263</v>
      </c>
      <c r="M2024" t="s">
        <v>432</v>
      </c>
      <c r="N2024" t="b">
        <f t="shared" si="162"/>
        <v>0</v>
      </c>
    </row>
    <row r="2025" spans="1:14" x14ac:dyDescent="0.15">
      <c r="A2025" t="s">
        <v>14063</v>
      </c>
      <c r="B2025" t="s">
        <v>14066</v>
      </c>
      <c r="C2025" t="s">
        <v>14097</v>
      </c>
      <c r="D2025" t="s">
        <v>23</v>
      </c>
      <c r="E2025" t="s">
        <v>14098</v>
      </c>
      <c r="F2025" s="5">
        <v>1580000</v>
      </c>
      <c r="G2025" s="5">
        <v>1580000</v>
      </c>
      <c r="H2025" s="4">
        <v>1261000</v>
      </c>
      <c r="I2025" s="2">
        <f t="shared" si="160"/>
        <v>0.79810126582278484</v>
      </c>
      <c r="J2025" s="4">
        <v>1500000</v>
      </c>
      <c r="K2025" s="2">
        <f t="shared" si="161"/>
        <v>0.94936708860759489</v>
      </c>
      <c r="L2025" t="s">
        <v>263</v>
      </c>
      <c r="M2025" t="s">
        <v>432</v>
      </c>
      <c r="N2025" t="b">
        <f t="shared" si="162"/>
        <v>0</v>
      </c>
    </row>
    <row r="2026" spans="1:14" x14ac:dyDescent="0.15">
      <c r="A2026" t="s">
        <v>14063</v>
      </c>
      <c r="B2026" t="s">
        <v>14066</v>
      </c>
      <c r="C2026" t="s">
        <v>14099</v>
      </c>
      <c r="D2026" t="s">
        <v>23</v>
      </c>
      <c r="E2026" t="s">
        <v>14100</v>
      </c>
      <c r="F2026" s="5">
        <v>4705000</v>
      </c>
      <c r="G2026" s="5">
        <v>4705000</v>
      </c>
      <c r="H2026" s="4">
        <v>3647000</v>
      </c>
      <c r="I2026" s="2">
        <f t="shared" si="160"/>
        <v>0.77513283740701377</v>
      </c>
      <c r="J2026" s="4">
        <v>4370000</v>
      </c>
      <c r="K2026" s="2">
        <f t="shared" si="161"/>
        <v>0.92879914984059508</v>
      </c>
      <c r="L2026" t="s">
        <v>14036</v>
      </c>
      <c r="M2026" t="s">
        <v>432</v>
      </c>
      <c r="N2026" t="b">
        <f t="shared" si="162"/>
        <v>0</v>
      </c>
    </row>
    <row r="2027" spans="1:14" x14ac:dyDescent="0.15">
      <c r="A2027" t="s">
        <v>14063</v>
      </c>
      <c r="B2027" t="s">
        <v>14066</v>
      </c>
      <c r="C2027" t="s">
        <v>14101</v>
      </c>
      <c r="D2027" t="s">
        <v>23</v>
      </c>
      <c r="E2027" t="s">
        <v>14102</v>
      </c>
      <c r="F2027" s="5">
        <v>5070000</v>
      </c>
      <c r="G2027" s="5">
        <v>5070000</v>
      </c>
      <c r="H2027" s="4">
        <v>4039000</v>
      </c>
      <c r="I2027" s="2">
        <f t="shared" si="160"/>
        <v>0.79664694280078896</v>
      </c>
      <c r="J2027" s="4">
        <v>4700000</v>
      </c>
      <c r="K2027" s="2">
        <f t="shared" si="161"/>
        <v>0.92702169625246544</v>
      </c>
      <c r="L2027" t="s">
        <v>4797</v>
      </c>
      <c r="M2027" t="s">
        <v>432</v>
      </c>
      <c r="N2027" t="b">
        <f t="shared" si="162"/>
        <v>0</v>
      </c>
    </row>
    <row r="2028" spans="1:14" x14ac:dyDescent="0.15">
      <c r="A2028" t="s">
        <v>14063</v>
      </c>
      <c r="B2028" t="s">
        <v>14066</v>
      </c>
      <c r="C2028" t="s">
        <v>14103</v>
      </c>
      <c r="D2028" t="s">
        <v>23</v>
      </c>
      <c r="E2028" t="s">
        <v>14104</v>
      </c>
      <c r="F2028" s="5">
        <v>5383000</v>
      </c>
      <c r="G2028" s="5">
        <v>5383000</v>
      </c>
      <c r="H2028" s="4">
        <v>4290000</v>
      </c>
      <c r="I2028" s="2">
        <f t="shared" si="160"/>
        <v>0.79695337172580349</v>
      </c>
      <c r="J2028" s="4">
        <v>4950000</v>
      </c>
      <c r="K2028" s="2">
        <f t="shared" si="161"/>
        <v>0.91956158276054245</v>
      </c>
      <c r="L2028" t="s">
        <v>4158</v>
      </c>
      <c r="M2028" t="s">
        <v>432</v>
      </c>
      <c r="N2028" t="b">
        <f t="shared" si="162"/>
        <v>0</v>
      </c>
    </row>
    <row r="2029" spans="1:14" x14ac:dyDescent="0.15">
      <c r="A2029" t="s">
        <v>14063</v>
      </c>
      <c r="B2029" t="s">
        <v>14066</v>
      </c>
      <c r="C2029" t="s">
        <v>14105</v>
      </c>
      <c r="D2029" t="s">
        <v>23</v>
      </c>
      <c r="E2029" t="s">
        <v>14106</v>
      </c>
      <c r="F2029" s="5">
        <v>2410000</v>
      </c>
      <c r="G2029" s="5">
        <v>2410000</v>
      </c>
      <c r="H2029" s="4">
        <v>1888000</v>
      </c>
      <c r="I2029" s="2">
        <f t="shared" si="160"/>
        <v>0.78340248962655601</v>
      </c>
      <c r="J2029" s="4">
        <v>1900000</v>
      </c>
      <c r="K2029" s="2">
        <f t="shared" si="161"/>
        <v>0.78838174273858919</v>
      </c>
      <c r="L2029" t="s">
        <v>14107</v>
      </c>
      <c r="M2029" t="s">
        <v>432</v>
      </c>
      <c r="N2029" t="b">
        <f t="shared" si="162"/>
        <v>0</v>
      </c>
    </row>
    <row r="2030" spans="1:14" x14ac:dyDescent="0.15">
      <c r="A2030" t="s">
        <v>14063</v>
      </c>
      <c r="B2030" t="s">
        <v>14066</v>
      </c>
      <c r="C2030" t="s">
        <v>14108</v>
      </c>
      <c r="D2030" t="s">
        <v>23</v>
      </c>
      <c r="E2030" t="s">
        <v>14109</v>
      </c>
      <c r="F2030" s="5">
        <v>6239000</v>
      </c>
      <c r="G2030" s="5">
        <v>6239000</v>
      </c>
      <c r="H2030" s="4">
        <v>4972000</v>
      </c>
      <c r="I2030" s="2">
        <f t="shared" si="160"/>
        <v>0.79692258374739544</v>
      </c>
      <c r="J2030" s="4">
        <v>5800000</v>
      </c>
      <c r="K2030" s="2">
        <f t="shared" si="161"/>
        <v>0.92963615964096813</v>
      </c>
      <c r="L2030" t="s">
        <v>5068</v>
      </c>
      <c r="M2030" t="s">
        <v>432</v>
      </c>
      <c r="N2030" t="b">
        <f t="shared" si="162"/>
        <v>0</v>
      </c>
    </row>
    <row r="2031" spans="1:14" x14ac:dyDescent="0.15">
      <c r="A2031" t="s">
        <v>14063</v>
      </c>
      <c r="B2031" t="s">
        <v>14066</v>
      </c>
      <c r="C2031" t="s">
        <v>14110</v>
      </c>
      <c r="D2031" t="s">
        <v>23</v>
      </c>
      <c r="E2031" t="s">
        <v>14111</v>
      </c>
      <c r="F2031" s="5">
        <v>11480000</v>
      </c>
      <c r="G2031" s="5">
        <v>11480000</v>
      </c>
      <c r="H2031" s="4">
        <v>9141000</v>
      </c>
      <c r="I2031" s="2">
        <f t="shared" si="160"/>
        <v>0.79625435540069689</v>
      </c>
      <c r="J2031" s="4">
        <v>10700000</v>
      </c>
      <c r="K2031" s="2">
        <f t="shared" si="161"/>
        <v>0.93205574912891986</v>
      </c>
      <c r="L2031" t="s">
        <v>4797</v>
      </c>
      <c r="M2031" t="s">
        <v>432</v>
      </c>
      <c r="N2031" t="b">
        <f t="shared" si="162"/>
        <v>0</v>
      </c>
    </row>
    <row r="2032" spans="1:14" x14ac:dyDescent="0.15">
      <c r="A2032" t="s">
        <v>14063</v>
      </c>
      <c r="B2032" t="s">
        <v>14066</v>
      </c>
      <c r="C2032" t="s">
        <v>14105</v>
      </c>
      <c r="D2032" t="s">
        <v>23</v>
      </c>
      <c r="E2032" t="s">
        <v>14112</v>
      </c>
      <c r="F2032" s="5">
        <v>2410000</v>
      </c>
      <c r="G2032" s="5">
        <v>2410000</v>
      </c>
      <c r="I2032" s="2">
        <f t="shared" si="160"/>
        <v>0</v>
      </c>
      <c r="K2032" s="2">
        <f t="shared" si="161"/>
        <v>0</v>
      </c>
      <c r="M2032" t="s">
        <v>432</v>
      </c>
      <c r="N2032" t="b">
        <f t="shared" si="162"/>
        <v>0</v>
      </c>
    </row>
    <row r="2033" spans="1:14" x14ac:dyDescent="0.15">
      <c r="A2033" t="s">
        <v>14063</v>
      </c>
      <c r="B2033" t="s">
        <v>14066</v>
      </c>
      <c r="C2033" t="s">
        <v>14113</v>
      </c>
      <c r="D2033" t="s">
        <v>23</v>
      </c>
      <c r="E2033" t="s">
        <v>14114</v>
      </c>
      <c r="F2033" s="5">
        <v>4059000</v>
      </c>
      <c r="G2033" s="5">
        <v>4059000</v>
      </c>
      <c r="H2033" s="4">
        <v>3231000</v>
      </c>
      <c r="I2033" s="2">
        <f t="shared" si="160"/>
        <v>0.7960088691796009</v>
      </c>
      <c r="J2033" s="4">
        <v>3800000</v>
      </c>
      <c r="K2033" s="2">
        <f t="shared" si="161"/>
        <v>0.93619118009361912</v>
      </c>
      <c r="L2033" t="s">
        <v>360</v>
      </c>
      <c r="M2033" t="s">
        <v>432</v>
      </c>
      <c r="N2033" t="b">
        <f t="shared" si="162"/>
        <v>0</v>
      </c>
    </row>
    <row r="2034" spans="1:14" x14ac:dyDescent="0.15">
      <c r="A2034" t="s">
        <v>14063</v>
      </c>
      <c r="B2034" t="s">
        <v>14066</v>
      </c>
      <c r="C2034" t="s">
        <v>14115</v>
      </c>
      <c r="D2034" t="s">
        <v>23</v>
      </c>
      <c r="E2034" t="s">
        <v>9038</v>
      </c>
      <c r="F2034" s="5">
        <v>33400000</v>
      </c>
      <c r="G2034" s="5">
        <v>33400000</v>
      </c>
      <c r="H2034" s="4">
        <v>26720000</v>
      </c>
      <c r="I2034" s="2">
        <f t="shared" si="160"/>
        <v>0.8</v>
      </c>
      <c r="J2034" s="4">
        <v>31800000</v>
      </c>
      <c r="K2034" s="2">
        <f t="shared" si="161"/>
        <v>0.95209580838323349</v>
      </c>
      <c r="L2034" t="s">
        <v>10194</v>
      </c>
      <c r="M2034" t="s">
        <v>165</v>
      </c>
      <c r="N2034" t="b">
        <f t="shared" si="162"/>
        <v>0</v>
      </c>
    </row>
    <row r="2035" spans="1:14" x14ac:dyDescent="0.15">
      <c r="A2035" t="s">
        <v>14063</v>
      </c>
      <c r="B2035" t="s">
        <v>14066</v>
      </c>
      <c r="C2035" t="s">
        <v>14116</v>
      </c>
      <c r="D2035" t="s">
        <v>23</v>
      </c>
      <c r="E2035" t="s">
        <v>14117</v>
      </c>
      <c r="F2035" s="5">
        <v>27272000</v>
      </c>
      <c r="G2035" s="5">
        <v>27272000</v>
      </c>
      <c r="H2035" s="4">
        <v>21817000</v>
      </c>
      <c r="I2035" s="2">
        <f t="shared" si="160"/>
        <v>0.79997799941331771</v>
      </c>
      <c r="J2035" s="4">
        <v>25000000</v>
      </c>
      <c r="K2035" s="2">
        <f t="shared" si="161"/>
        <v>0.91669111176298035</v>
      </c>
      <c r="L2035" t="s">
        <v>903</v>
      </c>
      <c r="M2035" t="s">
        <v>165</v>
      </c>
      <c r="N2035" t="b">
        <f t="shared" si="162"/>
        <v>0</v>
      </c>
    </row>
    <row r="2036" spans="1:14" x14ac:dyDescent="0.15">
      <c r="A2036" t="s">
        <v>14063</v>
      </c>
      <c r="B2036" t="s">
        <v>14066</v>
      </c>
      <c r="C2036" t="s">
        <v>14118</v>
      </c>
      <c r="D2036" t="s">
        <v>23</v>
      </c>
      <c r="E2036" t="s">
        <v>14119</v>
      </c>
      <c r="F2036" s="5">
        <v>4387000</v>
      </c>
      <c r="G2036" s="5">
        <v>4387000</v>
      </c>
      <c r="H2036" s="4">
        <v>3496000</v>
      </c>
      <c r="I2036" s="2">
        <f t="shared" si="160"/>
        <v>0.79689993161613859</v>
      </c>
      <c r="J2036" s="4">
        <v>4000000</v>
      </c>
      <c r="K2036" s="2">
        <f t="shared" si="161"/>
        <v>0.91178481878276729</v>
      </c>
      <c r="L2036" t="s">
        <v>14069</v>
      </c>
      <c r="M2036" t="s">
        <v>432</v>
      </c>
      <c r="N2036" t="b">
        <f t="shared" si="162"/>
        <v>0</v>
      </c>
    </row>
    <row r="2037" spans="1:14" x14ac:dyDescent="0.15">
      <c r="A2037" t="s">
        <v>14063</v>
      </c>
      <c r="B2037" t="s">
        <v>14066</v>
      </c>
      <c r="C2037" t="s">
        <v>14120</v>
      </c>
      <c r="D2037" t="s">
        <v>23</v>
      </c>
      <c r="E2037" t="s">
        <v>14121</v>
      </c>
      <c r="F2037" s="5">
        <v>6062000</v>
      </c>
      <c r="G2037" s="5">
        <v>6062000</v>
      </c>
      <c r="H2037" s="4">
        <v>4830000</v>
      </c>
      <c r="I2037" s="2">
        <f t="shared" si="160"/>
        <v>0.79676674364896072</v>
      </c>
      <c r="J2037" s="4">
        <v>5500000</v>
      </c>
      <c r="K2037" s="2">
        <f t="shared" si="161"/>
        <v>0.90729132299571102</v>
      </c>
      <c r="L2037" t="s">
        <v>14069</v>
      </c>
      <c r="M2037" t="s">
        <v>432</v>
      </c>
      <c r="N2037" t="b">
        <f t="shared" si="162"/>
        <v>0</v>
      </c>
    </row>
    <row r="2038" spans="1:14" x14ac:dyDescent="0.15">
      <c r="A2038" t="s">
        <v>14063</v>
      </c>
      <c r="B2038" t="s">
        <v>14066</v>
      </c>
      <c r="C2038" t="s">
        <v>14122</v>
      </c>
      <c r="D2038" t="s">
        <v>23</v>
      </c>
      <c r="E2038" t="s">
        <v>14123</v>
      </c>
      <c r="F2038" s="5">
        <v>3744000</v>
      </c>
      <c r="G2038" s="5">
        <v>3744000</v>
      </c>
      <c r="H2038" s="4">
        <v>2984000</v>
      </c>
      <c r="I2038" s="2">
        <f t="shared" si="160"/>
        <v>0.79700854700854706</v>
      </c>
      <c r="J2038" s="4">
        <v>3500000</v>
      </c>
      <c r="K2038" s="2">
        <f t="shared" si="161"/>
        <v>0.93482905982905984</v>
      </c>
      <c r="L2038" t="s">
        <v>360</v>
      </c>
      <c r="M2038" t="s">
        <v>432</v>
      </c>
      <c r="N2038" t="b">
        <f t="shared" si="162"/>
        <v>0</v>
      </c>
    </row>
    <row r="2039" spans="1:14" x14ac:dyDescent="0.15">
      <c r="A2039" t="s">
        <v>14063</v>
      </c>
      <c r="B2039" t="s">
        <v>14066</v>
      </c>
      <c r="C2039" t="s">
        <v>14124</v>
      </c>
      <c r="D2039" t="s">
        <v>23</v>
      </c>
      <c r="E2039" t="s">
        <v>14125</v>
      </c>
      <c r="F2039" s="5">
        <v>5890000</v>
      </c>
      <c r="G2039" s="5">
        <v>5890000</v>
      </c>
      <c r="H2039" s="4">
        <v>4712000</v>
      </c>
      <c r="I2039" s="2">
        <f t="shared" si="160"/>
        <v>0.8</v>
      </c>
      <c r="J2039" s="4">
        <v>5400000</v>
      </c>
      <c r="K2039" s="2">
        <f t="shared" si="161"/>
        <v>0.91680814940577249</v>
      </c>
      <c r="L2039" t="s">
        <v>10194</v>
      </c>
      <c r="M2039" t="s">
        <v>432</v>
      </c>
      <c r="N2039" t="b">
        <f t="shared" si="162"/>
        <v>0</v>
      </c>
    </row>
    <row r="2040" spans="1:14" x14ac:dyDescent="0.15">
      <c r="A2040" t="s">
        <v>14063</v>
      </c>
      <c r="B2040" t="s">
        <v>14066</v>
      </c>
      <c r="C2040" t="s">
        <v>14126</v>
      </c>
      <c r="D2040" t="s">
        <v>23</v>
      </c>
      <c r="E2040" t="s">
        <v>14127</v>
      </c>
      <c r="F2040" s="5">
        <v>17303000</v>
      </c>
      <c r="G2040" s="5">
        <v>17303000</v>
      </c>
      <c r="H2040" s="4">
        <v>13765000</v>
      </c>
      <c r="I2040" s="2">
        <f t="shared" si="160"/>
        <v>0.7955267872623244</v>
      </c>
      <c r="J2040" s="4">
        <v>16200000</v>
      </c>
      <c r="K2040" s="2">
        <f t="shared" si="161"/>
        <v>0.93625382881581232</v>
      </c>
      <c r="L2040" t="s">
        <v>10194</v>
      </c>
      <c r="M2040" t="s">
        <v>432</v>
      </c>
      <c r="N2040" t="b">
        <f t="shared" si="162"/>
        <v>0</v>
      </c>
    </row>
    <row r="2041" spans="1:14" x14ac:dyDescent="0.15">
      <c r="A2041" t="s">
        <v>14128</v>
      </c>
      <c r="B2041" t="s">
        <v>14131</v>
      </c>
      <c r="C2041" t="s">
        <v>14129</v>
      </c>
      <c r="D2041" t="s">
        <v>23</v>
      </c>
      <c r="E2041" t="s">
        <v>14130</v>
      </c>
      <c r="F2041" s="5">
        <v>1664000</v>
      </c>
      <c r="G2041" s="5">
        <v>1664000</v>
      </c>
      <c r="H2041" s="4">
        <v>1308169</v>
      </c>
      <c r="I2041" s="2">
        <f t="shared" si="160"/>
        <v>0.78615925480769233</v>
      </c>
      <c r="J2041" s="4">
        <v>1600000</v>
      </c>
      <c r="K2041" s="2">
        <f t="shared" si="161"/>
        <v>0.96153846153846156</v>
      </c>
      <c r="L2041" t="s">
        <v>1008</v>
      </c>
      <c r="M2041" t="s">
        <v>1015</v>
      </c>
      <c r="N2041" t="b">
        <f t="shared" si="162"/>
        <v>0</v>
      </c>
    </row>
    <row r="2042" spans="1:14" x14ac:dyDescent="0.15">
      <c r="A2042" t="s">
        <v>14128</v>
      </c>
      <c r="B2042" t="s">
        <v>14131</v>
      </c>
      <c r="C2042" t="s">
        <v>14132</v>
      </c>
      <c r="D2042" t="s">
        <v>23</v>
      </c>
      <c r="E2042" t="s">
        <v>14133</v>
      </c>
      <c r="F2042" s="5">
        <v>6900000</v>
      </c>
      <c r="G2042" s="5">
        <v>6900000</v>
      </c>
      <c r="H2042" s="4">
        <v>5492904</v>
      </c>
      <c r="I2042" s="2">
        <f t="shared" si="160"/>
        <v>0.79607304347826091</v>
      </c>
      <c r="J2042" s="4">
        <v>6550000</v>
      </c>
      <c r="K2042" s="2">
        <f t="shared" si="161"/>
        <v>0.94927536231884058</v>
      </c>
      <c r="L2042" t="s">
        <v>14134</v>
      </c>
      <c r="M2042" t="s">
        <v>174</v>
      </c>
      <c r="N2042" t="b">
        <f t="shared" si="162"/>
        <v>0</v>
      </c>
    </row>
    <row r="2043" spans="1:14" x14ac:dyDescent="0.15">
      <c r="A2043" t="s">
        <v>14128</v>
      </c>
      <c r="B2043" t="s">
        <v>14131</v>
      </c>
      <c r="C2043" t="s">
        <v>14135</v>
      </c>
      <c r="D2043" t="s">
        <v>23</v>
      </c>
      <c r="E2043" t="s">
        <v>14136</v>
      </c>
      <c r="F2043" s="5">
        <v>5620000</v>
      </c>
      <c r="G2043" s="5">
        <v>5620000</v>
      </c>
      <c r="H2043" s="4">
        <v>4473306</v>
      </c>
      <c r="I2043" s="2">
        <f t="shared" si="160"/>
        <v>0.79596192170818503</v>
      </c>
      <c r="J2043" s="4">
        <v>5300000</v>
      </c>
      <c r="K2043" s="2">
        <f t="shared" si="161"/>
        <v>0.94306049822064053</v>
      </c>
      <c r="L2043" t="s">
        <v>10217</v>
      </c>
      <c r="M2043" t="s">
        <v>174</v>
      </c>
      <c r="N2043" t="b">
        <f t="shared" si="162"/>
        <v>0</v>
      </c>
    </row>
    <row r="2044" spans="1:14" x14ac:dyDescent="0.15">
      <c r="A2044" t="s">
        <v>14128</v>
      </c>
      <c r="B2044" t="s">
        <v>14131</v>
      </c>
      <c r="C2044" t="s">
        <v>14137</v>
      </c>
      <c r="D2044" t="s">
        <v>23</v>
      </c>
      <c r="E2044" t="s">
        <v>14138</v>
      </c>
      <c r="F2044" s="5">
        <v>2199000</v>
      </c>
      <c r="G2044" s="5">
        <v>2199000</v>
      </c>
      <c r="H2044" s="4">
        <v>1732115</v>
      </c>
      <c r="I2044" s="2">
        <f t="shared" si="160"/>
        <v>0.78768303774442927</v>
      </c>
      <c r="J2044" s="4">
        <v>2150000</v>
      </c>
      <c r="K2044" s="2">
        <f t="shared" si="161"/>
        <v>0.97771714415643474</v>
      </c>
      <c r="L2044" t="s">
        <v>1800</v>
      </c>
      <c r="M2044" t="s">
        <v>126</v>
      </c>
      <c r="N2044" t="b">
        <f t="shared" si="162"/>
        <v>0</v>
      </c>
    </row>
    <row r="2045" spans="1:14" x14ac:dyDescent="0.15">
      <c r="A2045" t="s">
        <v>14128</v>
      </c>
      <c r="B2045" t="s">
        <v>14131</v>
      </c>
      <c r="C2045" t="s">
        <v>14139</v>
      </c>
      <c r="D2045" t="s">
        <v>23</v>
      </c>
      <c r="E2045" t="s">
        <v>14140</v>
      </c>
      <c r="F2045" s="5">
        <v>2709000</v>
      </c>
      <c r="G2045" s="5">
        <v>2709000</v>
      </c>
      <c r="H2045" s="4">
        <v>2155105</v>
      </c>
      <c r="I2045" s="2">
        <f t="shared" si="160"/>
        <v>0.79553525286083426</v>
      </c>
      <c r="J2045" s="4">
        <v>2650000</v>
      </c>
      <c r="K2045" s="2">
        <f t="shared" si="161"/>
        <v>0.97822074566260608</v>
      </c>
      <c r="L2045" t="s">
        <v>1718</v>
      </c>
      <c r="M2045" t="s">
        <v>165</v>
      </c>
      <c r="N2045" t="b">
        <f t="shared" si="162"/>
        <v>0</v>
      </c>
    </row>
    <row r="2046" spans="1:14" x14ac:dyDescent="0.15">
      <c r="A2046" t="s">
        <v>14128</v>
      </c>
      <c r="B2046" t="s">
        <v>14131</v>
      </c>
      <c r="C2046" t="s">
        <v>14141</v>
      </c>
      <c r="D2046" t="s">
        <v>23</v>
      </c>
      <c r="E2046" t="s">
        <v>14142</v>
      </c>
      <c r="F2046" s="5">
        <v>8140000</v>
      </c>
      <c r="G2046" s="5">
        <v>8140000</v>
      </c>
      <c r="H2046" s="4">
        <v>6485108</v>
      </c>
      <c r="I2046" s="2">
        <f t="shared" si="160"/>
        <v>0.79669631449631451</v>
      </c>
      <c r="J2046" s="4">
        <v>7800000</v>
      </c>
      <c r="K2046" s="2">
        <f t="shared" si="161"/>
        <v>0.95823095823095827</v>
      </c>
      <c r="L2046" t="s">
        <v>4816</v>
      </c>
      <c r="M2046" t="s">
        <v>1015</v>
      </c>
      <c r="N2046" t="b">
        <f t="shared" si="162"/>
        <v>0</v>
      </c>
    </row>
    <row r="2047" spans="1:14" x14ac:dyDescent="0.15">
      <c r="A2047" t="s">
        <v>14128</v>
      </c>
      <c r="B2047" t="s">
        <v>14131</v>
      </c>
      <c r="C2047" t="s">
        <v>14143</v>
      </c>
      <c r="D2047" t="s">
        <v>23</v>
      </c>
      <c r="E2047" t="s">
        <v>14144</v>
      </c>
      <c r="F2047" s="5">
        <v>12800000</v>
      </c>
      <c r="G2047" s="5">
        <v>12800000</v>
      </c>
      <c r="H2047" s="4">
        <v>10194913</v>
      </c>
      <c r="I2047" s="2">
        <f t="shared" si="160"/>
        <v>0.79647757812499997</v>
      </c>
      <c r="J2047" s="4">
        <v>10500000</v>
      </c>
      <c r="K2047" s="2">
        <f t="shared" si="161"/>
        <v>0.8203125</v>
      </c>
      <c r="L2047" t="s">
        <v>14145</v>
      </c>
      <c r="M2047" t="s">
        <v>165</v>
      </c>
      <c r="N2047" t="b">
        <f t="shared" si="162"/>
        <v>0</v>
      </c>
    </row>
    <row r="2048" spans="1:14" x14ac:dyDescent="0.15">
      <c r="A2048" t="s">
        <v>14128</v>
      </c>
      <c r="B2048" t="s">
        <v>14131</v>
      </c>
      <c r="C2048" t="s">
        <v>14146</v>
      </c>
      <c r="D2048" t="s">
        <v>23</v>
      </c>
      <c r="E2048" t="s">
        <v>14147</v>
      </c>
      <c r="F2048" s="5">
        <v>10830000</v>
      </c>
      <c r="G2048" s="5">
        <v>10830000</v>
      </c>
      <c r="H2048" s="4">
        <v>8624241</v>
      </c>
      <c r="I2048" s="2">
        <f t="shared" si="160"/>
        <v>0.79632880886426594</v>
      </c>
      <c r="J2048" s="4">
        <v>9500000</v>
      </c>
      <c r="K2048" s="2">
        <f t="shared" si="161"/>
        <v>0.8771929824561403</v>
      </c>
      <c r="L2048" t="s">
        <v>10326</v>
      </c>
      <c r="M2048" t="s">
        <v>174</v>
      </c>
      <c r="N2048" t="b">
        <f t="shared" si="162"/>
        <v>0</v>
      </c>
    </row>
    <row r="2049" spans="1:14" x14ac:dyDescent="0.15">
      <c r="A2049" t="s">
        <v>14128</v>
      </c>
      <c r="B2049" t="s">
        <v>14131</v>
      </c>
      <c r="C2049" t="s">
        <v>14148</v>
      </c>
      <c r="D2049" t="s">
        <v>23</v>
      </c>
      <c r="E2049" t="s">
        <v>14149</v>
      </c>
      <c r="F2049" s="5">
        <v>3877000</v>
      </c>
      <c r="G2049" s="5">
        <v>3877000</v>
      </c>
      <c r="H2049" s="4">
        <v>3087092</v>
      </c>
      <c r="I2049" s="2">
        <f t="shared" si="160"/>
        <v>0.79625793139025014</v>
      </c>
      <c r="J2049" s="4">
        <v>3600000</v>
      </c>
      <c r="K2049" s="2">
        <f t="shared" si="161"/>
        <v>0.92855300490069637</v>
      </c>
      <c r="L2049" t="s">
        <v>2406</v>
      </c>
      <c r="M2049" t="s">
        <v>126</v>
      </c>
      <c r="N2049" t="b">
        <f t="shared" si="162"/>
        <v>0</v>
      </c>
    </row>
    <row r="2050" spans="1:14" x14ac:dyDescent="0.15">
      <c r="A2050" t="s">
        <v>14128</v>
      </c>
      <c r="B2050" t="s">
        <v>14131</v>
      </c>
      <c r="C2050" t="s">
        <v>14150</v>
      </c>
      <c r="D2050" t="s">
        <v>23</v>
      </c>
      <c r="E2050" t="s">
        <v>14151</v>
      </c>
      <c r="F2050" s="5">
        <v>3863000</v>
      </c>
      <c r="G2050" s="5">
        <v>3863000</v>
      </c>
      <c r="H2050" s="4">
        <v>3072156</v>
      </c>
      <c r="I2050" s="2">
        <f t="shared" si="160"/>
        <v>0.79527724566399172</v>
      </c>
      <c r="J2050" s="4">
        <v>3670000</v>
      </c>
      <c r="K2050" s="2">
        <f t="shared" si="161"/>
        <v>0.95003882992492883</v>
      </c>
      <c r="L2050" t="s">
        <v>14036</v>
      </c>
      <c r="M2050" t="s">
        <v>165</v>
      </c>
      <c r="N2050" t="b">
        <f t="shared" si="162"/>
        <v>0</v>
      </c>
    </row>
    <row r="2051" spans="1:14" x14ac:dyDescent="0.15">
      <c r="A2051" t="s">
        <v>14128</v>
      </c>
      <c r="B2051" t="s">
        <v>14131</v>
      </c>
      <c r="C2051" t="s">
        <v>14152</v>
      </c>
      <c r="D2051" t="s">
        <v>23</v>
      </c>
      <c r="E2051" t="s">
        <v>12041</v>
      </c>
      <c r="F2051" s="5">
        <v>1600000</v>
      </c>
      <c r="G2051" s="5">
        <v>1600000</v>
      </c>
      <c r="H2051" s="4">
        <v>1311279</v>
      </c>
      <c r="I2051" s="2">
        <f t="shared" si="160"/>
        <v>0.81954937500000002</v>
      </c>
      <c r="J2051" s="4">
        <v>1600000</v>
      </c>
      <c r="K2051" s="2">
        <f t="shared" si="161"/>
        <v>1</v>
      </c>
      <c r="L2051" t="s">
        <v>14153</v>
      </c>
      <c r="M2051" t="s">
        <v>1015</v>
      </c>
      <c r="N2051" t="b">
        <f t="shared" si="162"/>
        <v>0</v>
      </c>
    </row>
    <row r="2052" spans="1:14" x14ac:dyDescent="0.15">
      <c r="A2052" t="s">
        <v>14128</v>
      </c>
      <c r="B2052" t="s">
        <v>14131</v>
      </c>
      <c r="C2052" t="s">
        <v>14154</v>
      </c>
      <c r="D2052" t="s">
        <v>23</v>
      </c>
      <c r="E2052" t="s">
        <v>14155</v>
      </c>
      <c r="F2052" s="5">
        <v>1368000</v>
      </c>
      <c r="G2052" s="5">
        <v>1368000</v>
      </c>
      <c r="H2052" s="4">
        <v>912000</v>
      </c>
      <c r="I2052" s="2">
        <f t="shared" ref="I2052:I2115" si="163">H2052/G2052</f>
        <v>0.66666666666666663</v>
      </c>
      <c r="J2052" s="4">
        <v>930000</v>
      </c>
      <c r="K2052" s="2">
        <f t="shared" ref="K2052:K2115" si="164">J2052/G2052</f>
        <v>0.67982456140350878</v>
      </c>
      <c r="L2052" t="s">
        <v>12502</v>
      </c>
      <c r="M2052" t="s">
        <v>1015</v>
      </c>
      <c r="N2052" t="b">
        <f t="shared" ref="N2052:N2115" si="165">F2052&lt;&gt;G2052</f>
        <v>0</v>
      </c>
    </row>
    <row r="2053" spans="1:14" x14ac:dyDescent="0.15">
      <c r="A2053" t="s">
        <v>14128</v>
      </c>
      <c r="B2053" t="s">
        <v>14131</v>
      </c>
      <c r="C2053" t="s">
        <v>14156</v>
      </c>
      <c r="D2053" t="s">
        <v>23</v>
      </c>
      <c r="E2053" t="s">
        <v>14157</v>
      </c>
      <c r="F2053" s="5">
        <v>3400000</v>
      </c>
      <c r="G2053" s="5">
        <v>3400000</v>
      </c>
      <c r="H2053" s="4">
        <v>2266666</v>
      </c>
      <c r="I2053" s="2">
        <f t="shared" si="163"/>
        <v>0.66666647058823525</v>
      </c>
      <c r="J2053" s="4">
        <v>2680000</v>
      </c>
      <c r="K2053" s="2">
        <f t="shared" si="164"/>
        <v>0.78823529411764703</v>
      </c>
      <c r="L2053" t="s">
        <v>12502</v>
      </c>
      <c r="M2053" t="s">
        <v>1015</v>
      </c>
      <c r="N2053" t="b">
        <f t="shared" si="165"/>
        <v>0</v>
      </c>
    </row>
    <row r="2054" spans="1:14" x14ac:dyDescent="0.15">
      <c r="A2054" t="s">
        <v>14128</v>
      </c>
      <c r="B2054" t="s">
        <v>14131</v>
      </c>
      <c r="C2054" t="s">
        <v>14158</v>
      </c>
      <c r="D2054" t="s">
        <v>23</v>
      </c>
      <c r="E2054" t="s">
        <v>14159</v>
      </c>
      <c r="F2054" s="5">
        <v>1790000</v>
      </c>
      <c r="G2054" s="5">
        <v>1790000</v>
      </c>
      <c r="H2054" s="4">
        <v>1425331</v>
      </c>
      <c r="I2054" s="2">
        <f t="shared" si="163"/>
        <v>0.79627430167597768</v>
      </c>
      <c r="J2054" s="4">
        <v>1700000</v>
      </c>
      <c r="K2054" s="2">
        <f t="shared" si="164"/>
        <v>0.94972067039106145</v>
      </c>
      <c r="L2054" t="s">
        <v>4816</v>
      </c>
      <c r="M2054" t="s">
        <v>1015</v>
      </c>
      <c r="N2054" t="b">
        <f t="shared" si="165"/>
        <v>0</v>
      </c>
    </row>
    <row r="2055" spans="1:14" x14ac:dyDescent="0.15">
      <c r="A2055" t="s">
        <v>14128</v>
      </c>
      <c r="B2055" t="s">
        <v>14131</v>
      </c>
      <c r="C2055" t="s">
        <v>14160</v>
      </c>
      <c r="D2055" t="s">
        <v>23</v>
      </c>
      <c r="E2055" t="s">
        <v>14161</v>
      </c>
      <c r="F2055" s="5">
        <v>1800000</v>
      </c>
      <c r="G2055" s="5">
        <v>1800000</v>
      </c>
      <c r="H2055" s="4">
        <v>1432916</v>
      </c>
      <c r="I2055" s="2">
        <f t="shared" si="163"/>
        <v>0.79606444444444446</v>
      </c>
      <c r="J2055" s="4">
        <v>1700000</v>
      </c>
      <c r="K2055" s="2">
        <f t="shared" si="164"/>
        <v>0.94444444444444442</v>
      </c>
      <c r="L2055" t="s">
        <v>4816</v>
      </c>
      <c r="M2055" t="s">
        <v>1015</v>
      </c>
      <c r="N2055" t="b">
        <f t="shared" si="165"/>
        <v>0</v>
      </c>
    </row>
    <row r="2056" spans="1:14" x14ac:dyDescent="0.15">
      <c r="A2056" t="s">
        <v>14128</v>
      </c>
      <c r="B2056" t="s">
        <v>14131</v>
      </c>
      <c r="C2056" t="s">
        <v>14162</v>
      </c>
      <c r="D2056" t="s">
        <v>23</v>
      </c>
      <c r="E2056" t="s">
        <v>14163</v>
      </c>
      <c r="F2056" s="5">
        <v>6060000</v>
      </c>
      <c r="G2056" s="5">
        <v>6060000</v>
      </c>
      <c r="H2056" s="4">
        <v>4821856</v>
      </c>
      <c r="I2056" s="2">
        <f t="shared" si="163"/>
        <v>0.79568580858085813</v>
      </c>
      <c r="J2056" s="4">
        <v>5750000</v>
      </c>
      <c r="K2056" s="2">
        <f t="shared" si="164"/>
        <v>0.94884488448844884</v>
      </c>
      <c r="L2056" t="s">
        <v>14134</v>
      </c>
      <c r="M2056" t="s">
        <v>174</v>
      </c>
      <c r="N2056" t="b">
        <f t="shared" si="165"/>
        <v>0</v>
      </c>
    </row>
    <row r="2057" spans="1:14" x14ac:dyDescent="0.15">
      <c r="A2057" t="s">
        <v>14128</v>
      </c>
      <c r="B2057" t="s">
        <v>14131</v>
      </c>
      <c r="C2057" t="s">
        <v>14164</v>
      </c>
      <c r="D2057" t="s">
        <v>23</v>
      </c>
      <c r="E2057" t="s">
        <v>10923</v>
      </c>
      <c r="F2057" s="5">
        <v>6420000</v>
      </c>
      <c r="G2057" s="5">
        <v>6420000</v>
      </c>
      <c r="H2057" s="4">
        <v>5108499</v>
      </c>
      <c r="I2057" s="2">
        <f t="shared" si="163"/>
        <v>0.7957163551401869</v>
      </c>
      <c r="J2057" s="4">
        <v>6300000</v>
      </c>
      <c r="K2057" s="2">
        <f t="shared" si="164"/>
        <v>0.98130841121495327</v>
      </c>
      <c r="L2057" t="s">
        <v>10217</v>
      </c>
      <c r="M2057" t="s">
        <v>174</v>
      </c>
      <c r="N2057" t="b">
        <f t="shared" si="165"/>
        <v>0</v>
      </c>
    </row>
    <row r="2058" spans="1:14" x14ac:dyDescent="0.15">
      <c r="A2058" t="s">
        <v>14128</v>
      </c>
      <c r="B2058" t="s">
        <v>14131</v>
      </c>
      <c r="C2058" t="s">
        <v>14165</v>
      </c>
      <c r="D2058" t="s">
        <v>23</v>
      </c>
      <c r="E2058" t="s">
        <v>14166</v>
      </c>
      <c r="F2058" s="5">
        <v>7230000</v>
      </c>
      <c r="G2058" s="5">
        <v>7230000</v>
      </c>
      <c r="H2058" s="4">
        <v>5754116</v>
      </c>
      <c r="I2058" s="2">
        <f t="shared" si="163"/>
        <v>0.79586666666666661</v>
      </c>
      <c r="J2058" s="4">
        <v>6900000</v>
      </c>
      <c r="K2058" s="2">
        <f t="shared" si="164"/>
        <v>0.9543568464730291</v>
      </c>
      <c r="L2058" t="s">
        <v>10217</v>
      </c>
      <c r="M2058" t="s">
        <v>174</v>
      </c>
      <c r="N2058" t="b">
        <f t="shared" si="165"/>
        <v>0</v>
      </c>
    </row>
    <row r="2059" spans="1:14" x14ac:dyDescent="0.15">
      <c r="A2059" t="s">
        <v>14128</v>
      </c>
      <c r="B2059" t="s">
        <v>14131</v>
      </c>
      <c r="C2059" t="s">
        <v>14129</v>
      </c>
      <c r="D2059" t="s">
        <v>23</v>
      </c>
      <c r="E2059" t="s">
        <v>14167</v>
      </c>
      <c r="F2059" s="5">
        <v>1492000</v>
      </c>
      <c r="G2059" s="5">
        <v>1492000</v>
      </c>
      <c r="H2059" s="4">
        <v>1172101</v>
      </c>
      <c r="I2059" s="2">
        <f t="shared" si="163"/>
        <v>0.78559048257372655</v>
      </c>
      <c r="J2059" s="4">
        <v>1350000</v>
      </c>
      <c r="K2059" s="2">
        <f t="shared" si="164"/>
        <v>0.9048257372654156</v>
      </c>
      <c r="L2059" t="s">
        <v>1008</v>
      </c>
      <c r="M2059" t="s">
        <v>1015</v>
      </c>
      <c r="N2059" t="b">
        <f t="shared" si="165"/>
        <v>0</v>
      </c>
    </row>
    <row r="2060" spans="1:14" x14ac:dyDescent="0.15">
      <c r="A2060" t="s">
        <v>14128</v>
      </c>
      <c r="B2060" t="s">
        <v>14131</v>
      </c>
      <c r="C2060" t="s">
        <v>11762</v>
      </c>
      <c r="D2060" t="s">
        <v>23</v>
      </c>
      <c r="E2060" t="s">
        <v>14168</v>
      </c>
      <c r="F2060" s="5">
        <v>1979000</v>
      </c>
      <c r="G2060" s="5">
        <v>1979000</v>
      </c>
      <c r="H2060" s="4">
        <v>1578527</v>
      </c>
      <c r="I2060" s="2">
        <f t="shared" si="163"/>
        <v>0.79763870641738255</v>
      </c>
      <c r="J2060" s="4">
        <v>1720000</v>
      </c>
      <c r="K2060" s="2">
        <f t="shared" si="164"/>
        <v>0.86912582112177872</v>
      </c>
      <c r="L2060" t="s">
        <v>574</v>
      </c>
      <c r="M2060" t="s">
        <v>1015</v>
      </c>
      <c r="N2060" t="b">
        <f t="shared" si="165"/>
        <v>0</v>
      </c>
    </row>
    <row r="2061" spans="1:14" x14ac:dyDescent="0.15">
      <c r="A2061" t="s">
        <v>14128</v>
      </c>
      <c r="B2061" t="s">
        <v>14131</v>
      </c>
      <c r="C2061" t="s">
        <v>14169</v>
      </c>
      <c r="D2061" t="s">
        <v>23</v>
      </c>
      <c r="E2061" t="s">
        <v>14170</v>
      </c>
      <c r="F2061" s="5">
        <v>3800000</v>
      </c>
      <c r="G2061" s="5">
        <v>3800000</v>
      </c>
      <c r="H2061" s="4">
        <v>3027263</v>
      </c>
      <c r="I2061" s="2">
        <f t="shared" si="163"/>
        <v>0.79664815789473686</v>
      </c>
      <c r="J2061" s="4">
        <v>3480000</v>
      </c>
      <c r="K2061" s="2">
        <f t="shared" si="164"/>
        <v>0.91578947368421049</v>
      </c>
      <c r="L2061" t="s">
        <v>4816</v>
      </c>
      <c r="M2061" t="s">
        <v>1015</v>
      </c>
      <c r="N2061" t="b">
        <f t="shared" si="165"/>
        <v>0</v>
      </c>
    </row>
    <row r="2062" spans="1:14" x14ac:dyDescent="0.15">
      <c r="A2062" t="s">
        <v>14128</v>
      </c>
      <c r="B2062" t="s">
        <v>14131</v>
      </c>
      <c r="C2062" t="s">
        <v>14171</v>
      </c>
      <c r="D2062" t="s">
        <v>23</v>
      </c>
      <c r="E2062" t="s">
        <v>14172</v>
      </c>
      <c r="F2062" s="5">
        <v>3976000</v>
      </c>
      <c r="G2062" s="5">
        <v>3976000</v>
      </c>
      <c r="H2062" s="4">
        <v>3190134</v>
      </c>
      <c r="I2062" s="2">
        <f t="shared" si="163"/>
        <v>0.8023475855130785</v>
      </c>
      <c r="J2062" s="4">
        <v>3970000</v>
      </c>
      <c r="K2062" s="2">
        <f t="shared" si="164"/>
        <v>0.99849094567404428</v>
      </c>
      <c r="L2062" t="s">
        <v>1078</v>
      </c>
      <c r="M2062" t="s">
        <v>126</v>
      </c>
      <c r="N2062" t="b">
        <f t="shared" si="165"/>
        <v>0</v>
      </c>
    </row>
    <row r="2063" spans="1:14" x14ac:dyDescent="0.15">
      <c r="A2063" t="s">
        <v>14128</v>
      </c>
      <c r="B2063" t="s">
        <v>14131</v>
      </c>
      <c r="C2063" t="s">
        <v>14173</v>
      </c>
      <c r="D2063" t="s">
        <v>23</v>
      </c>
      <c r="E2063" t="s">
        <v>14174</v>
      </c>
      <c r="F2063" s="5">
        <v>6040000</v>
      </c>
      <c r="G2063" s="5">
        <v>6040000</v>
      </c>
      <c r="H2063" s="4">
        <v>4804349</v>
      </c>
      <c r="I2063" s="2">
        <f t="shared" si="163"/>
        <v>0.79542201986754968</v>
      </c>
      <c r="J2063" s="4">
        <v>5400000</v>
      </c>
      <c r="K2063" s="2">
        <f t="shared" si="164"/>
        <v>0.89403973509933776</v>
      </c>
      <c r="L2063" t="s">
        <v>4816</v>
      </c>
      <c r="M2063" t="s">
        <v>1015</v>
      </c>
      <c r="N2063" t="b">
        <f t="shared" si="165"/>
        <v>0</v>
      </c>
    </row>
    <row r="2064" spans="1:14" x14ac:dyDescent="0.15">
      <c r="A2064" t="s">
        <v>14128</v>
      </c>
      <c r="B2064" t="s">
        <v>14131</v>
      </c>
      <c r="C2064" t="s">
        <v>14175</v>
      </c>
      <c r="D2064" t="s">
        <v>23</v>
      </c>
      <c r="E2064" t="s">
        <v>14176</v>
      </c>
      <c r="F2064" s="5">
        <v>14766000</v>
      </c>
      <c r="G2064" s="5">
        <v>14766000</v>
      </c>
      <c r="H2064" s="4">
        <v>11742821</v>
      </c>
      <c r="I2064" s="2">
        <f t="shared" si="163"/>
        <v>0.7952608018420696</v>
      </c>
      <c r="J2064" s="4">
        <v>11742821</v>
      </c>
      <c r="K2064" s="2">
        <f t="shared" si="164"/>
        <v>0.7952608018420696</v>
      </c>
      <c r="L2064" t="s">
        <v>12216</v>
      </c>
      <c r="M2064" t="s">
        <v>104</v>
      </c>
      <c r="N2064" t="b">
        <f t="shared" si="165"/>
        <v>0</v>
      </c>
    </row>
    <row r="2065" spans="1:14" x14ac:dyDescent="0.15">
      <c r="A2065" t="s">
        <v>14128</v>
      </c>
      <c r="B2065" t="s">
        <v>14131</v>
      </c>
      <c r="C2065" t="s">
        <v>14177</v>
      </c>
      <c r="D2065" t="s">
        <v>23</v>
      </c>
      <c r="E2065" t="s">
        <v>14178</v>
      </c>
      <c r="F2065" s="5">
        <v>8750000</v>
      </c>
      <c r="G2065" s="5">
        <v>8750000</v>
      </c>
      <c r="H2065" s="4">
        <v>5833333</v>
      </c>
      <c r="I2065" s="2">
        <f t="shared" si="163"/>
        <v>0.66666662857142855</v>
      </c>
      <c r="K2065" s="2">
        <f t="shared" si="164"/>
        <v>0</v>
      </c>
      <c r="M2065" t="s">
        <v>216</v>
      </c>
      <c r="N2065" t="b">
        <f t="shared" si="165"/>
        <v>0</v>
      </c>
    </row>
    <row r="2066" spans="1:14" x14ac:dyDescent="0.15">
      <c r="A2066" t="s">
        <v>14128</v>
      </c>
      <c r="B2066" t="s">
        <v>14131</v>
      </c>
      <c r="C2066" t="s">
        <v>14179</v>
      </c>
      <c r="D2066" t="s">
        <v>23</v>
      </c>
      <c r="E2066" t="s">
        <v>14180</v>
      </c>
      <c r="F2066" s="5">
        <v>2810000</v>
      </c>
      <c r="G2066" s="5">
        <v>2810000</v>
      </c>
      <c r="H2066" s="4">
        <v>2250461</v>
      </c>
      <c r="I2066" s="2">
        <f t="shared" si="163"/>
        <v>0.8008758007117438</v>
      </c>
      <c r="J2066" s="4">
        <v>2600000</v>
      </c>
      <c r="K2066" s="2">
        <f t="shared" si="164"/>
        <v>0.92526690391459077</v>
      </c>
      <c r="L2066" t="s">
        <v>10326</v>
      </c>
      <c r="M2066" t="s">
        <v>174</v>
      </c>
      <c r="N2066" t="b">
        <f t="shared" si="165"/>
        <v>0</v>
      </c>
    </row>
    <row r="2067" spans="1:14" x14ac:dyDescent="0.15">
      <c r="A2067" t="s">
        <v>14128</v>
      </c>
      <c r="B2067" t="s">
        <v>14131</v>
      </c>
      <c r="C2067" t="s">
        <v>14181</v>
      </c>
      <c r="D2067" t="s">
        <v>23</v>
      </c>
      <c r="E2067" t="s">
        <v>14182</v>
      </c>
      <c r="F2067" s="5">
        <v>63520000</v>
      </c>
      <c r="G2067" s="5">
        <v>63520000</v>
      </c>
      <c r="H2067" s="4">
        <v>50536570</v>
      </c>
      <c r="I2067" s="2">
        <f t="shared" si="163"/>
        <v>0.79560091309823677</v>
      </c>
      <c r="J2067" s="4">
        <v>53000000</v>
      </c>
      <c r="K2067" s="2">
        <f t="shared" si="164"/>
        <v>0.83438287153652391</v>
      </c>
      <c r="L2067" t="s">
        <v>1321</v>
      </c>
      <c r="M2067" t="s">
        <v>279</v>
      </c>
      <c r="N2067" t="b">
        <f t="shared" si="165"/>
        <v>0</v>
      </c>
    </row>
    <row r="2068" spans="1:14" x14ac:dyDescent="0.15">
      <c r="A2068" t="s">
        <v>14128</v>
      </c>
      <c r="B2068" t="s">
        <v>14131</v>
      </c>
      <c r="C2068" t="s">
        <v>14183</v>
      </c>
      <c r="D2068" t="s">
        <v>23</v>
      </c>
      <c r="E2068" t="s">
        <v>14184</v>
      </c>
      <c r="F2068" s="5">
        <v>10700000</v>
      </c>
      <c r="G2068" s="5">
        <v>10700000</v>
      </c>
      <c r="H2068" s="4">
        <v>8585458</v>
      </c>
      <c r="I2068" s="2">
        <f t="shared" si="163"/>
        <v>0.80237925233644858</v>
      </c>
      <c r="J2068" s="4">
        <v>10000000</v>
      </c>
      <c r="K2068" s="2">
        <f t="shared" si="164"/>
        <v>0.93457943925233644</v>
      </c>
      <c r="L2068" t="s">
        <v>10326</v>
      </c>
      <c r="M2068" t="s">
        <v>174</v>
      </c>
      <c r="N2068" t="b">
        <f t="shared" si="165"/>
        <v>0</v>
      </c>
    </row>
    <row r="2069" spans="1:14" x14ac:dyDescent="0.15">
      <c r="A2069" t="s">
        <v>14128</v>
      </c>
      <c r="B2069" t="s">
        <v>14131</v>
      </c>
      <c r="C2069" t="s">
        <v>14185</v>
      </c>
      <c r="D2069" t="s">
        <v>23</v>
      </c>
      <c r="E2069" t="s">
        <v>14186</v>
      </c>
      <c r="F2069" s="5">
        <v>27520000</v>
      </c>
      <c r="G2069" s="5">
        <v>27520000</v>
      </c>
      <c r="H2069" s="4">
        <v>19254211</v>
      </c>
      <c r="I2069" s="2">
        <f t="shared" si="163"/>
        <v>0.69964429505813952</v>
      </c>
      <c r="J2069" s="4">
        <v>24800000</v>
      </c>
      <c r="K2069" s="2">
        <f t="shared" si="164"/>
        <v>0.90116279069767447</v>
      </c>
      <c r="L2069" t="s">
        <v>4816</v>
      </c>
      <c r="M2069" t="s">
        <v>353</v>
      </c>
      <c r="N2069" t="b">
        <f t="shared" si="165"/>
        <v>0</v>
      </c>
    </row>
    <row r="2070" spans="1:14" x14ac:dyDescent="0.15">
      <c r="A2070" t="s">
        <v>14128</v>
      </c>
      <c r="B2070" t="s">
        <v>14131</v>
      </c>
      <c r="C2070" t="s">
        <v>14187</v>
      </c>
      <c r="D2070" t="s">
        <v>23</v>
      </c>
      <c r="E2070" t="s">
        <v>14188</v>
      </c>
      <c r="F2070" s="5">
        <v>7590000</v>
      </c>
      <c r="G2070" s="5">
        <v>7590000</v>
      </c>
      <c r="H2070" s="4">
        <v>6048610</v>
      </c>
      <c r="I2070" s="2">
        <f t="shared" si="163"/>
        <v>0.79691831357048748</v>
      </c>
      <c r="J2070" s="4">
        <v>7000000</v>
      </c>
      <c r="K2070" s="2">
        <f t="shared" si="164"/>
        <v>0.92226613965744397</v>
      </c>
      <c r="L2070" t="s">
        <v>182</v>
      </c>
      <c r="M2070" t="s">
        <v>432</v>
      </c>
      <c r="N2070" t="b">
        <f t="shared" si="165"/>
        <v>0</v>
      </c>
    </row>
    <row r="2071" spans="1:14" x14ac:dyDescent="0.15">
      <c r="A2071" t="s">
        <v>14128</v>
      </c>
      <c r="B2071" t="s">
        <v>14131</v>
      </c>
      <c r="C2071" t="s">
        <v>14189</v>
      </c>
      <c r="D2071" t="s">
        <v>23</v>
      </c>
      <c r="E2071" t="s">
        <v>14190</v>
      </c>
      <c r="F2071" s="5">
        <v>9894000</v>
      </c>
      <c r="G2071" s="5">
        <v>9894000</v>
      </c>
      <c r="H2071" s="4">
        <v>7867764</v>
      </c>
      <c r="I2071" s="2">
        <f t="shared" si="163"/>
        <v>0.79520557913887202</v>
      </c>
      <c r="J2071" s="4">
        <v>8400000</v>
      </c>
      <c r="K2071" s="2">
        <f t="shared" si="164"/>
        <v>0.84899939357186172</v>
      </c>
      <c r="L2071" t="s">
        <v>14191</v>
      </c>
      <c r="M2071" t="s">
        <v>80</v>
      </c>
      <c r="N2071" t="b">
        <f t="shared" si="165"/>
        <v>0</v>
      </c>
    </row>
    <row r="2072" spans="1:14" x14ac:dyDescent="0.15">
      <c r="A2072" t="s">
        <v>14128</v>
      </c>
      <c r="B2072" t="s">
        <v>14131</v>
      </c>
      <c r="C2072" t="s">
        <v>14192</v>
      </c>
      <c r="D2072" t="s">
        <v>23</v>
      </c>
      <c r="E2072" t="s">
        <v>14193</v>
      </c>
      <c r="F2072" s="5">
        <v>9920000</v>
      </c>
      <c r="G2072" s="5">
        <v>9920000</v>
      </c>
      <c r="H2072" s="4">
        <v>7901194</v>
      </c>
      <c r="I2072" s="2">
        <f t="shared" si="163"/>
        <v>0.79649133064516131</v>
      </c>
      <c r="J2072" s="4">
        <v>9800000</v>
      </c>
      <c r="K2072" s="2">
        <f t="shared" si="164"/>
        <v>0.98790322580645162</v>
      </c>
      <c r="L2072" t="s">
        <v>14036</v>
      </c>
      <c r="M2072" t="s">
        <v>165</v>
      </c>
      <c r="N2072" t="b">
        <f t="shared" si="165"/>
        <v>0</v>
      </c>
    </row>
    <row r="2073" spans="1:14" x14ac:dyDescent="0.15">
      <c r="A2073" t="s">
        <v>14128</v>
      </c>
      <c r="B2073" t="s">
        <v>14131</v>
      </c>
      <c r="C2073" t="s">
        <v>14194</v>
      </c>
      <c r="D2073" t="s">
        <v>23</v>
      </c>
      <c r="E2073" t="s">
        <v>14195</v>
      </c>
      <c r="F2073" s="5">
        <v>11152000</v>
      </c>
      <c r="G2073" s="5">
        <v>11152000</v>
      </c>
      <c r="H2073" s="4">
        <v>8788663</v>
      </c>
      <c r="I2073" s="2">
        <f t="shared" si="163"/>
        <v>0.78807953730272595</v>
      </c>
      <c r="J2073" s="4">
        <v>9000000</v>
      </c>
      <c r="K2073" s="2">
        <f t="shared" si="164"/>
        <v>0.80703012912482064</v>
      </c>
      <c r="L2073" t="s">
        <v>30</v>
      </c>
      <c r="M2073" t="s">
        <v>432</v>
      </c>
      <c r="N2073" t="b">
        <f t="shared" si="165"/>
        <v>0</v>
      </c>
    </row>
    <row r="2074" spans="1:14" x14ac:dyDescent="0.15">
      <c r="A2074" t="s">
        <v>14128</v>
      </c>
      <c r="B2074" t="s">
        <v>14131</v>
      </c>
      <c r="C2074" t="s">
        <v>14154</v>
      </c>
      <c r="D2074" t="s">
        <v>23</v>
      </c>
      <c r="E2074" t="s">
        <v>14196</v>
      </c>
      <c r="F2074" s="5">
        <v>1290000</v>
      </c>
      <c r="G2074" s="5">
        <v>1290000</v>
      </c>
      <c r="H2074" s="4">
        <v>860000</v>
      </c>
      <c r="I2074" s="2">
        <f t="shared" si="163"/>
        <v>0.66666666666666663</v>
      </c>
      <c r="J2074" s="4">
        <v>950000</v>
      </c>
      <c r="K2074" s="2">
        <f t="shared" si="164"/>
        <v>0.73643410852713176</v>
      </c>
      <c r="L2074" t="s">
        <v>12502</v>
      </c>
      <c r="M2074" t="s">
        <v>1015</v>
      </c>
      <c r="N2074" t="b">
        <f t="shared" si="165"/>
        <v>0</v>
      </c>
    </row>
    <row r="2075" spans="1:14" x14ac:dyDescent="0.15">
      <c r="A2075" t="s">
        <v>14197</v>
      </c>
      <c r="B2075" t="s">
        <v>14200</v>
      </c>
      <c r="C2075" t="s">
        <v>14198</v>
      </c>
      <c r="D2075" t="s">
        <v>23</v>
      </c>
      <c r="E2075" t="s">
        <v>14199</v>
      </c>
      <c r="F2075" s="5">
        <f t="shared" ref="F2075:F2138" si="166">G2075</f>
        <v>2546364</v>
      </c>
      <c r="G2075" s="5">
        <v>2546364</v>
      </c>
      <c r="H2075" s="4">
        <v>2043000</v>
      </c>
      <c r="I2075" s="2">
        <f t="shared" si="163"/>
        <v>0.80232048520949872</v>
      </c>
      <c r="J2075" s="4">
        <v>2400000</v>
      </c>
      <c r="K2075" s="2">
        <f t="shared" si="164"/>
        <v>0.9425203937850205</v>
      </c>
      <c r="L2075" t="s">
        <v>263</v>
      </c>
      <c r="M2075" t="s">
        <v>1015</v>
      </c>
      <c r="N2075" t="b">
        <f t="shared" si="165"/>
        <v>0</v>
      </c>
    </row>
    <row r="2076" spans="1:14" x14ac:dyDescent="0.15">
      <c r="A2076" t="s">
        <v>14197</v>
      </c>
      <c r="B2076" t="s">
        <v>14200</v>
      </c>
      <c r="C2076" t="s">
        <v>14201</v>
      </c>
      <c r="D2076" t="s">
        <v>23</v>
      </c>
      <c r="E2076" t="s">
        <v>14202</v>
      </c>
      <c r="F2076" s="5">
        <f t="shared" si="166"/>
        <v>4700000</v>
      </c>
      <c r="G2076" s="5">
        <v>4700000</v>
      </c>
      <c r="H2076" s="4">
        <v>3771000</v>
      </c>
      <c r="I2076" s="2">
        <f t="shared" si="163"/>
        <v>0.80234042553191487</v>
      </c>
      <c r="J2076" s="4">
        <v>4450000</v>
      </c>
      <c r="K2076" s="2">
        <f t="shared" si="164"/>
        <v>0.94680851063829785</v>
      </c>
      <c r="L2076" t="s">
        <v>14134</v>
      </c>
      <c r="M2076" t="s">
        <v>432</v>
      </c>
      <c r="N2076" t="b">
        <f t="shared" si="165"/>
        <v>0</v>
      </c>
    </row>
    <row r="2077" spans="1:14" x14ac:dyDescent="0.15">
      <c r="A2077" t="s">
        <v>14197</v>
      </c>
      <c r="B2077" t="s">
        <v>14200</v>
      </c>
      <c r="C2077" t="s">
        <v>14203</v>
      </c>
      <c r="D2077" t="s">
        <v>23</v>
      </c>
      <c r="E2077" t="s">
        <v>14204</v>
      </c>
      <c r="F2077" s="5">
        <f t="shared" si="166"/>
        <v>8750000</v>
      </c>
      <c r="G2077" s="5">
        <v>8750000</v>
      </c>
      <c r="H2077" s="4">
        <v>7023000</v>
      </c>
      <c r="I2077" s="2">
        <f t="shared" si="163"/>
        <v>0.80262857142857147</v>
      </c>
      <c r="J2077" s="4">
        <v>8300000</v>
      </c>
      <c r="K2077" s="2">
        <f t="shared" si="164"/>
        <v>0.94857142857142862</v>
      </c>
      <c r="L2077" t="s">
        <v>263</v>
      </c>
      <c r="M2077" t="s">
        <v>432</v>
      </c>
      <c r="N2077" t="b">
        <f t="shared" si="165"/>
        <v>0</v>
      </c>
    </row>
    <row r="2078" spans="1:14" x14ac:dyDescent="0.15">
      <c r="A2078" t="s">
        <v>14197</v>
      </c>
      <c r="B2078" t="s">
        <v>14200</v>
      </c>
      <c r="C2078" t="s">
        <v>14205</v>
      </c>
      <c r="D2078" t="s">
        <v>23</v>
      </c>
      <c r="E2078" t="s">
        <v>14206</v>
      </c>
      <c r="F2078" s="5">
        <f t="shared" si="166"/>
        <v>7618000</v>
      </c>
      <c r="G2078" s="5">
        <v>7618000</v>
      </c>
      <c r="H2078" s="4">
        <v>6018000</v>
      </c>
      <c r="I2078" s="2">
        <f t="shared" si="163"/>
        <v>0.78997112102914147</v>
      </c>
      <c r="J2078" s="4">
        <v>7200000</v>
      </c>
      <c r="K2078" s="2">
        <f t="shared" si="164"/>
        <v>0.94512995536886324</v>
      </c>
      <c r="L2078" t="s">
        <v>14036</v>
      </c>
      <c r="M2078" t="s">
        <v>432</v>
      </c>
      <c r="N2078" t="b">
        <f t="shared" si="165"/>
        <v>0</v>
      </c>
    </row>
    <row r="2079" spans="1:14" x14ac:dyDescent="0.15">
      <c r="A2079" t="s">
        <v>14197</v>
      </c>
      <c r="B2079" t="s">
        <v>14200</v>
      </c>
      <c r="C2079" t="s">
        <v>14207</v>
      </c>
      <c r="D2079" t="s">
        <v>23</v>
      </c>
      <c r="E2079" t="s">
        <v>13168</v>
      </c>
      <c r="F2079" s="5">
        <f t="shared" si="166"/>
        <v>3980000</v>
      </c>
      <c r="G2079" s="5">
        <v>3980000</v>
      </c>
      <c r="H2079" s="4">
        <v>3194000</v>
      </c>
      <c r="I2079" s="2">
        <f t="shared" si="163"/>
        <v>0.80251256281407035</v>
      </c>
      <c r="J2079" s="4">
        <v>3194000</v>
      </c>
      <c r="K2079" s="2">
        <f t="shared" si="164"/>
        <v>0.80251256281407035</v>
      </c>
      <c r="L2079" t="s">
        <v>12534</v>
      </c>
      <c r="M2079" t="s">
        <v>1015</v>
      </c>
      <c r="N2079" t="b">
        <f t="shared" si="165"/>
        <v>0</v>
      </c>
    </row>
    <row r="2080" spans="1:14" x14ac:dyDescent="0.15">
      <c r="A2080" t="s">
        <v>14197</v>
      </c>
      <c r="B2080" t="s">
        <v>14200</v>
      </c>
      <c r="C2080" t="s">
        <v>14208</v>
      </c>
      <c r="D2080" t="s">
        <v>23</v>
      </c>
      <c r="E2080" t="s">
        <v>14209</v>
      </c>
      <c r="F2080" s="5">
        <f t="shared" si="166"/>
        <v>3852000</v>
      </c>
      <c r="G2080" s="5">
        <v>3852000</v>
      </c>
      <c r="H2080" s="4">
        <v>3097000</v>
      </c>
      <c r="I2080" s="2">
        <f t="shared" si="163"/>
        <v>0.80399792315680163</v>
      </c>
      <c r="J2080" s="4">
        <v>3650000</v>
      </c>
      <c r="K2080" s="2">
        <f t="shared" si="164"/>
        <v>0.94755970924195221</v>
      </c>
      <c r="L2080" t="s">
        <v>1104</v>
      </c>
      <c r="M2080" t="s">
        <v>1015</v>
      </c>
      <c r="N2080" t="b">
        <f t="shared" si="165"/>
        <v>0</v>
      </c>
    </row>
    <row r="2081" spans="1:14" x14ac:dyDescent="0.15">
      <c r="A2081" t="s">
        <v>14197</v>
      </c>
      <c r="B2081" t="s">
        <v>14200</v>
      </c>
      <c r="C2081" t="s">
        <v>14210</v>
      </c>
      <c r="D2081" t="s">
        <v>23</v>
      </c>
      <c r="E2081" t="s">
        <v>13471</v>
      </c>
      <c r="F2081" s="5">
        <f t="shared" si="166"/>
        <v>8574000</v>
      </c>
      <c r="G2081" s="5">
        <v>8574000</v>
      </c>
      <c r="H2081" s="4">
        <v>6887000</v>
      </c>
      <c r="I2081" s="2">
        <f t="shared" si="163"/>
        <v>0.80324236062514576</v>
      </c>
      <c r="J2081" s="4">
        <v>8050000</v>
      </c>
      <c r="K2081" s="2">
        <f t="shared" si="164"/>
        <v>0.93888500116631679</v>
      </c>
      <c r="L2081" t="s">
        <v>14036</v>
      </c>
      <c r="M2081" t="s">
        <v>432</v>
      </c>
      <c r="N2081" t="b">
        <f t="shared" si="165"/>
        <v>0</v>
      </c>
    </row>
    <row r="2082" spans="1:14" x14ac:dyDescent="0.15">
      <c r="A2082" t="s">
        <v>14197</v>
      </c>
      <c r="B2082" t="s">
        <v>14200</v>
      </c>
      <c r="C2082" t="s">
        <v>14211</v>
      </c>
      <c r="D2082" t="s">
        <v>118</v>
      </c>
      <c r="E2082" t="s">
        <v>14212</v>
      </c>
      <c r="F2082" s="5">
        <f t="shared" si="166"/>
        <v>19361000</v>
      </c>
      <c r="G2082" s="5">
        <v>19361000</v>
      </c>
      <c r="H2082" s="4">
        <v>15682000</v>
      </c>
      <c r="I2082" s="2">
        <f t="shared" si="163"/>
        <v>0.80997882340788185</v>
      </c>
      <c r="J2082" s="4">
        <v>17000000</v>
      </c>
      <c r="K2082" s="2">
        <f t="shared" si="164"/>
        <v>0.87805381953411499</v>
      </c>
      <c r="L2082" t="s">
        <v>10364</v>
      </c>
      <c r="M2082" t="s">
        <v>21</v>
      </c>
      <c r="N2082" t="b">
        <f t="shared" si="165"/>
        <v>0</v>
      </c>
    </row>
    <row r="2083" spans="1:14" x14ac:dyDescent="0.15">
      <c r="A2083" t="s">
        <v>14197</v>
      </c>
      <c r="B2083" t="s">
        <v>14200</v>
      </c>
      <c r="C2083" t="s">
        <v>14213</v>
      </c>
      <c r="D2083" t="s">
        <v>23</v>
      </c>
      <c r="E2083" t="s">
        <v>14214</v>
      </c>
      <c r="F2083" s="5">
        <f t="shared" si="166"/>
        <v>20178000</v>
      </c>
      <c r="G2083" s="5">
        <v>20178000</v>
      </c>
      <c r="H2083" s="4">
        <v>16187000</v>
      </c>
      <c r="I2083" s="2">
        <f t="shared" si="163"/>
        <v>0.80221032808008719</v>
      </c>
      <c r="J2083" s="4">
        <v>19700000</v>
      </c>
      <c r="K2083" s="2">
        <f t="shared" si="164"/>
        <v>0.97631083358112791</v>
      </c>
      <c r="L2083" t="s">
        <v>14058</v>
      </c>
      <c r="M2083" t="s">
        <v>165</v>
      </c>
      <c r="N2083" t="b">
        <f t="shared" si="165"/>
        <v>0</v>
      </c>
    </row>
    <row r="2084" spans="1:14" x14ac:dyDescent="0.15">
      <c r="A2084" t="s">
        <v>14197</v>
      </c>
      <c r="B2084" t="s">
        <v>14200</v>
      </c>
      <c r="C2084" t="s">
        <v>14215</v>
      </c>
      <c r="D2084" t="s">
        <v>23</v>
      </c>
      <c r="E2084" t="s">
        <v>14216</v>
      </c>
      <c r="F2084" s="5">
        <f t="shared" si="166"/>
        <v>8312000</v>
      </c>
      <c r="G2084" s="5">
        <v>8312000</v>
      </c>
      <c r="H2084" s="4">
        <v>6566000</v>
      </c>
      <c r="I2084" s="2">
        <f t="shared" si="163"/>
        <v>0.78994225216554381</v>
      </c>
      <c r="J2084" s="4">
        <v>7850000</v>
      </c>
      <c r="K2084" s="2">
        <f t="shared" si="164"/>
        <v>0.94441770933589986</v>
      </c>
      <c r="L2084" t="s">
        <v>263</v>
      </c>
      <c r="M2084" t="s">
        <v>432</v>
      </c>
      <c r="N2084" t="b">
        <f t="shared" si="165"/>
        <v>0</v>
      </c>
    </row>
    <row r="2085" spans="1:14" x14ac:dyDescent="0.15">
      <c r="A2085" t="s">
        <v>14197</v>
      </c>
      <c r="B2085" t="s">
        <v>14200</v>
      </c>
      <c r="C2085" t="s">
        <v>14217</v>
      </c>
      <c r="D2085" t="s">
        <v>118</v>
      </c>
      <c r="E2085" t="s">
        <v>14218</v>
      </c>
      <c r="F2085" s="5">
        <f t="shared" si="166"/>
        <v>12020000</v>
      </c>
      <c r="G2085" s="5">
        <v>12020000</v>
      </c>
      <c r="H2085" s="4">
        <v>9656000</v>
      </c>
      <c r="I2085" s="2">
        <f t="shared" si="163"/>
        <v>0.80332778702163066</v>
      </c>
      <c r="J2085" s="4">
        <v>9657000</v>
      </c>
      <c r="K2085" s="2">
        <f t="shared" si="164"/>
        <v>0.8034109816971714</v>
      </c>
      <c r="L2085" t="s">
        <v>182</v>
      </c>
      <c r="M2085" t="s">
        <v>126</v>
      </c>
      <c r="N2085" t="b">
        <f t="shared" si="165"/>
        <v>0</v>
      </c>
    </row>
    <row r="2086" spans="1:14" x14ac:dyDescent="0.15">
      <c r="A2086" t="s">
        <v>14197</v>
      </c>
      <c r="B2086" t="s">
        <v>14200</v>
      </c>
      <c r="C2086" t="s">
        <v>14219</v>
      </c>
      <c r="D2086" t="s">
        <v>118</v>
      </c>
      <c r="E2086" t="s">
        <v>14220</v>
      </c>
      <c r="F2086" s="5">
        <f t="shared" si="166"/>
        <v>12991000</v>
      </c>
      <c r="G2086" s="5">
        <v>12991000</v>
      </c>
      <c r="H2086" s="4">
        <v>10522000</v>
      </c>
      <c r="I2086" s="2">
        <f t="shared" si="163"/>
        <v>0.80994534677853902</v>
      </c>
      <c r="J2086" s="4">
        <v>10522000</v>
      </c>
      <c r="K2086" s="2">
        <f t="shared" si="164"/>
        <v>0.80994534677853902</v>
      </c>
      <c r="L2086" t="s">
        <v>247</v>
      </c>
      <c r="M2086" t="s">
        <v>21</v>
      </c>
      <c r="N2086" t="b">
        <f t="shared" si="165"/>
        <v>0</v>
      </c>
    </row>
    <row r="2087" spans="1:14" x14ac:dyDescent="0.15">
      <c r="A2087" t="s">
        <v>14197</v>
      </c>
      <c r="B2087" t="s">
        <v>14200</v>
      </c>
      <c r="C2087" t="s">
        <v>14221</v>
      </c>
      <c r="D2087" t="s">
        <v>23</v>
      </c>
      <c r="E2087" t="s">
        <v>14222</v>
      </c>
      <c r="F2087" s="5">
        <f t="shared" si="166"/>
        <v>7124000</v>
      </c>
      <c r="G2087" s="5">
        <v>7124000</v>
      </c>
      <c r="H2087" s="4">
        <v>5715000</v>
      </c>
      <c r="I2087" s="2">
        <f t="shared" si="163"/>
        <v>0.80221785513756316</v>
      </c>
      <c r="J2087" s="4">
        <v>6780000</v>
      </c>
      <c r="K2087" s="2">
        <f t="shared" si="164"/>
        <v>0.95171252105558679</v>
      </c>
      <c r="L2087" t="s">
        <v>14058</v>
      </c>
      <c r="M2087" t="s">
        <v>432</v>
      </c>
      <c r="N2087" t="b">
        <f t="shared" si="165"/>
        <v>0</v>
      </c>
    </row>
    <row r="2088" spans="1:14" x14ac:dyDescent="0.15">
      <c r="A2088" t="s">
        <v>14197</v>
      </c>
      <c r="B2088" t="s">
        <v>14200</v>
      </c>
      <c r="C2088" t="s">
        <v>14223</v>
      </c>
      <c r="D2088" t="s">
        <v>118</v>
      </c>
      <c r="E2088" t="s">
        <v>14224</v>
      </c>
      <c r="F2088" s="5">
        <f t="shared" si="166"/>
        <v>18129000</v>
      </c>
      <c r="G2088" s="5">
        <v>18129000</v>
      </c>
      <c r="H2088" s="4">
        <v>14684000</v>
      </c>
      <c r="I2088" s="2">
        <f t="shared" si="163"/>
        <v>0.80997297148215563</v>
      </c>
      <c r="J2088" s="4">
        <v>17000000</v>
      </c>
      <c r="K2088" s="2">
        <f t="shared" si="164"/>
        <v>0.93772408847702571</v>
      </c>
      <c r="L2088" t="s">
        <v>10364</v>
      </c>
      <c r="M2088" t="s">
        <v>139</v>
      </c>
      <c r="N2088" t="b">
        <f t="shared" si="165"/>
        <v>0</v>
      </c>
    </row>
    <row r="2089" spans="1:14" x14ac:dyDescent="0.15">
      <c r="A2089" t="s">
        <v>14197</v>
      </c>
      <c r="B2089" t="s">
        <v>14200</v>
      </c>
      <c r="C2089" t="s">
        <v>14225</v>
      </c>
      <c r="D2089" t="s">
        <v>23</v>
      </c>
      <c r="E2089" t="s">
        <v>14226</v>
      </c>
      <c r="F2089" s="5">
        <f t="shared" si="166"/>
        <v>5917000</v>
      </c>
      <c r="G2089" s="5">
        <v>5917000</v>
      </c>
      <c r="H2089" s="4">
        <v>4747000</v>
      </c>
      <c r="I2089" s="2">
        <f t="shared" si="163"/>
        <v>0.80226466114585093</v>
      </c>
      <c r="J2089" s="4">
        <v>5620000</v>
      </c>
      <c r="K2089" s="2">
        <f t="shared" si="164"/>
        <v>0.94980564475240836</v>
      </c>
      <c r="L2089" t="s">
        <v>14134</v>
      </c>
      <c r="M2089" t="s">
        <v>432</v>
      </c>
      <c r="N2089" t="b">
        <f t="shared" si="165"/>
        <v>0</v>
      </c>
    </row>
    <row r="2090" spans="1:14" x14ac:dyDescent="0.15">
      <c r="A2090" t="s">
        <v>14197</v>
      </c>
      <c r="B2090" t="s">
        <v>14200</v>
      </c>
      <c r="C2090" t="s">
        <v>14227</v>
      </c>
      <c r="D2090" t="s">
        <v>23</v>
      </c>
      <c r="E2090" t="s">
        <v>14228</v>
      </c>
      <c r="F2090" s="5">
        <f t="shared" si="166"/>
        <v>8753000</v>
      </c>
      <c r="G2090" s="5">
        <v>8753000</v>
      </c>
      <c r="H2090" s="4">
        <v>7022000</v>
      </c>
      <c r="I2090" s="2">
        <f t="shared" si="163"/>
        <v>0.80223923226322402</v>
      </c>
      <c r="J2090" s="4">
        <v>8200000</v>
      </c>
      <c r="K2090" s="2">
        <f t="shared" si="164"/>
        <v>0.93682166114475041</v>
      </c>
      <c r="L2090" t="s">
        <v>5068</v>
      </c>
      <c r="M2090" t="s">
        <v>432</v>
      </c>
      <c r="N2090" t="b">
        <f t="shared" si="165"/>
        <v>0</v>
      </c>
    </row>
    <row r="2091" spans="1:14" x14ac:dyDescent="0.15">
      <c r="A2091" t="s">
        <v>14197</v>
      </c>
      <c r="B2091" t="s">
        <v>14200</v>
      </c>
      <c r="C2091" t="s">
        <v>14229</v>
      </c>
      <c r="D2091" t="s">
        <v>23</v>
      </c>
      <c r="E2091" t="s">
        <v>14230</v>
      </c>
      <c r="F2091" s="5">
        <f t="shared" si="166"/>
        <v>28953000</v>
      </c>
      <c r="G2091" s="5">
        <v>28953000</v>
      </c>
      <c r="H2091" s="4">
        <v>23227000</v>
      </c>
      <c r="I2091" s="2">
        <f t="shared" si="163"/>
        <v>0.80223120229337197</v>
      </c>
      <c r="J2091" s="4">
        <v>23227000</v>
      </c>
      <c r="K2091" s="2">
        <f t="shared" si="164"/>
        <v>0.80223120229337197</v>
      </c>
      <c r="L2091" t="s">
        <v>182</v>
      </c>
      <c r="M2091" t="s">
        <v>432</v>
      </c>
      <c r="N2091" t="b">
        <f t="shared" si="165"/>
        <v>0</v>
      </c>
    </row>
    <row r="2092" spans="1:14" x14ac:dyDescent="0.15">
      <c r="A2092" t="s">
        <v>14197</v>
      </c>
      <c r="B2092" t="s">
        <v>14200</v>
      </c>
      <c r="C2092" t="s">
        <v>14231</v>
      </c>
      <c r="D2092" t="s">
        <v>23</v>
      </c>
      <c r="E2092" t="s">
        <v>14232</v>
      </c>
      <c r="F2092" s="5">
        <f t="shared" si="166"/>
        <v>6042000</v>
      </c>
      <c r="G2092" s="5">
        <v>6042000</v>
      </c>
      <c r="H2092" s="4">
        <v>4856000</v>
      </c>
      <c r="I2092" s="2">
        <f t="shared" si="163"/>
        <v>0.80370738166170141</v>
      </c>
      <c r="J2092" s="4">
        <v>5700000</v>
      </c>
      <c r="K2092" s="2">
        <f t="shared" si="164"/>
        <v>0.94339622641509435</v>
      </c>
      <c r="L2092" t="s">
        <v>5186</v>
      </c>
      <c r="M2092" t="s">
        <v>432</v>
      </c>
      <c r="N2092" t="b">
        <f t="shared" si="165"/>
        <v>0</v>
      </c>
    </row>
    <row r="2093" spans="1:14" x14ac:dyDescent="0.15">
      <c r="A2093" t="s">
        <v>14197</v>
      </c>
      <c r="B2093" t="s">
        <v>14200</v>
      </c>
      <c r="C2093" t="s">
        <v>14233</v>
      </c>
      <c r="D2093" t="s">
        <v>23</v>
      </c>
      <c r="E2093" t="s">
        <v>14234</v>
      </c>
      <c r="F2093" s="5">
        <f t="shared" si="166"/>
        <v>6920000</v>
      </c>
      <c r="G2093" s="5">
        <v>6920000</v>
      </c>
      <c r="H2093" s="4">
        <v>5397000</v>
      </c>
      <c r="I2093" s="2">
        <f t="shared" si="163"/>
        <v>0.77991329479768789</v>
      </c>
      <c r="J2093" s="4">
        <v>6570000</v>
      </c>
      <c r="K2093" s="2">
        <f t="shared" si="164"/>
        <v>0.94942196531791911</v>
      </c>
      <c r="L2093" t="s">
        <v>14036</v>
      </c>
      <c r="M2093" t="s">
        <v>432</v>
      </c>
      <c r="N2093" t="b">
        <f t="shared" si="165"/>
        <v>0</v>
      </c>
    </row>
    <row r="2094" spans="1:14" x14ac:dyDescent="0.15">
      <c r="A2094" t="s">
        <v>14197</v>
      </c>
      <c r="B2094" t="s">
        <v>14200</v>
      </c>
      <c r="C2094" t="s">
        <v>14235</v>
      </c>
      <c r="D2094" t="s">
        <v>23</v>
      </c>
      <c r="E2094" t="s">
        <v>14236</v>
      </c>
      <c r="F2094" s="5">
        <f t="shared" si="166"/>
        <v>5784000</v>
      </c>
      <c r="G2094" s="5">
        <v>5784000</v>
      </c>
      <c r="H2094" s="4">
        <v>4640000</v>
      </c>
      <c r="I2094" s="2">
        <f t="shared" si="163"/>
        <v>0.8022130013831259</v>
      </c>
      <c r="J2094" s="4">
        <v>5400000</v>
      </c>
      <c r="K2094" s="2">
        <f t="shared" si="164"/>
        <v>0.93360995850622408</v>
      </c>
      <c r="L2094" t="s">
        <v>4415</v>
      </c>
      <c r="M2094" t="s">
        <v>432</v>
      </c>
      <c r="N2094" t="b">
        <f t="shared" si="165"/>
        <v>0</v>
      </c>
    </row>
    <row r="2095" spans="1:14" x14ac:dyDescent="0.15">
      <c r="A2095" t="s">
        <v>14197</v>
      </c>
      <c r="B2095" t="s">
        <v>14200</v>
      </c>
      <c r="C2095" t="s">
        <v>14237</v>
      </c>
      <c r="D2095" t="s">
        <v>23</v>
      </c>
      <c r="E2095" t="s">
        <v>14238</v>
      </c>
      <c r="F2095" s="5">
        <f t="shared" si="166"/>
        <v>8595000</v>
      </c>
      <c r="G2095" s="5">
        <v>8595000</v>
      </c>
      <c r="H2095" s="4">
        <v>6895000</v>
      </c>
      <c r="I2095" s="2">
        <f t="shared" si="163"/>
        <v>0.80221058755090169</v>
      </c>
      <c r="J2095" s="4">
        <v>7950000</v>
      </c>
      <c r="K2095" s="2">
        <f t="shared" si="164"/>
        <v>0.92495636998254804</v>
      </c>
      <c r="L2095" t="s">
        <v>5068</v>
      </c>
      <c r="M2095" t="s">
        <v>432</v>
      </c>
      <c r="N2095" t="b">
        <f t="shared" si="165"/>
        <v>0</v>
      </c>
    </row>
    <row r="2096" spans="1:14" x14ac:dyDescent="0.15">
      <c r="A2096" t="s">
        <v>14197</v>
      </c>
      <c r="B2096" t="s">
        <v>14200</v>
      </c>
      <c r="C2096" t="s">
        <v>14239</v>
      </c>
      <c r="D2096" t="s">
        <v>23</v>
      </c>
      <c r="E2096" t="s">
        <v>14240</v>
      </c>
      <c r="F2096" s="5">
        <f t="shared" si="166"/>
        <v>8458000</v>
      </c>
      <c r="G2096" s="5">
        <v>8458000</v>
      </c>
      <c r="H2096" s="4">
        <v>6789000</v>
      </c>
      <c r="I2096" s="2">
        <f t="shared" si="163"/>
        <v>0.80267202648380231</v>
      </c>
      <c r="J2096" s="4">
        <v>8000000</v>
      </c>
      <c r="K2096" s="2">
        <f t="shared" si="164"/>
        <v>0.9458500827618822</v>
      </c>
      <c r="L2096" t="s">
        <v>263</v>
      </c>
      <c r="M2096" t="s">
        <v>432</v>
      </c>
      <c r="N2096" t="b">
        <f t="shared" si="165"/>
        <v>0</v>
      </c>
    </row>
    <row r="2097" spans="1:14" x14ac:dyDescent="0.15">
      <c r="A2097" t="s">
        <v>14197</v>
      </c>
      <c r="B2097" t="s">
        <v>14200</v>
      </c>
      <c r="C2097" t="s">
        <v>14241</v>
      </c>
      <c r="D2097" t="s">
        <v>118</v>
      </c>
      <c r="E2097" t="s">
        <v>13518</v>
      </c>
      <c r="F2097" s="5">
        <f t="shared" si="166"/>
        <v>20524000</v>
      </c>
      <c r="G2097" s="5">
        <v>20524000</v>
      </c>
      <c r="H2097" s="4">
        <v>16624000</v>
      </c>
      <c r="I2097" s="2">
        <f t="shared" si="163"/>
        <v>0.80997856168388227</v>
      </c>
      <c r="J2097" s="4">
        <v>16627000</v>
      </c>
      <c r="K2097" s="2">
        <f t="shared" si="164"/>
        <v>0.81012473202104851</v>
      </c>
      <c r="L2097" t="s">
        <v>5422</v>
      </c>
      <c r="M2097" t="s">
        <v>1498</v>
      </c>
      <c r="N2097" t="b">
        <f t="shared" si="165"/>
        <v>0</v>
      </c>
    </row>
    <row r="2098" spans="1:14" x14ac:dyDescent="0.15">
      <c r="A2098" t="s">
        <v>14197</v>
      </c>
      <c r="B2098" t="s">
        <v>14200</v>
      </c>
      <c r="C2098" t="s">
        <v>14242</v>
      </c>
      <c r="D2098" t="s">
        <v>23</v>
      </c>
      <c r="E2098" t="s">
        <v>14243</v>
      </c>
      <c r="F2098" s="5">
        <f t="shared" si="166"/>
        <v>5908000</v>
      </c>
      <c r="G2098" s="5">
        <v>5908000</v>
      </c>
      <c r="H2098" s="4">
        <v>4739000</v>
      </c>
      <c r="I2098" s="2">
        <f t="shared" si="163"/>
        <v>0.80213270142180093</v>
      </c>
      <c r="J2098" s="4">
        <v>4739000</v>
      </c>
      <c r="K2098" s="2">
        <f t="shared" si="164"/>
        <v>0.80213270142180093</v>
      </c>
      <c r="L2098" t="s">
        <v>14134</v>
      </c>
      <c r="M2098" t="s">
        <v>432</v>
      </c>
      <c r="N2098" t="b">
        <f t="shared" si="165"/>
        <v>0</v>
      </c>
    </row>
    <row r="2099" spans="1:14" x14ac:dyDescent="0.15">
      <c r="A2099" t="s">
        <v>14197</v>
      </c>
      <c r="B2099" t="s">
        <v>14200</v>
      </c>
      <c r="C2099" t="s">
        <v>14244</v>
      </c>
      <c r="D2099" t="s">
        <v>23</v>
      </c>
      <c r="E2099" t="s">
        <v>14245</v>
      </c>
      <c r="F2099" s="5">
        <f t="shared" si="166"/>
        <v>9074000</v>
      </c>
      <c r="G2099" s="5">
        <v>9074000</v>
      </c>
      <c r="H2099" s="4">
        <v>7279000</v>
      </c>
      <c r="I2099" s="2">
        <f t="shared" si="163"/>
        <v>0.80218205862905001</v>
      </c>
      <c r="J2099" s="4">
        <v>8700000</v>
      </c>
      <c r="K2099" s="2">
        <f t="shared" si="164"/>
        <v>0.95878333700683271</v>
      </c>
      <c r="L2099" t="s">
        <v>1384</v>
      </c>
      <c r="M2099" t="s">
        <v>432</v>
      </c>
      <c r="N2099" t="b">
        <f t="shared" si="165"/>
        <v>0</v>
      </c>
    </row>
    <row r="2100" spans="1:14" x14ac:dyDescent="0.15">
      <c r="A2100" t="s">
        <v>14197</v>
      </c>
      <c r="B2100" t="s">
        <v>14200</v>
      </c>
      <c r="C2100" t="s">
        <v>14246</v>
      </c>
      <c r="D2100" t="s">
        <v>23</v>
      </c>
      <c r="E2100" t="s">
        <v>11801</v>
      </c>
      <c r="F2100" s="5">
        <f t="shared" si="166"/>
        <v>5112000</v>
      </c>
      <c r="G2100" s="5">
        <v>5112000</v>
      </c>
      <c r="H2100" s="4">
        <v>4104000</v>
      </c>
      <c r="I2100" s="2">
        <f t="shared" si="163"/>
        <v>0.80281690140845074</v>
      </c>
      <c r="J2100" s="4">
        <v>4850000</v>
      </c>
      <c r="K2100" s="2">
        <f t="shared" si="164"/>
        <v>0.94874804381846634</v>
      </c>
      <c r="L2100" t="s">
        <v>14036</v>
      </c>
      <c r="M2100" t="s">
        <v>432</v>
      </c>
      <c r="N2100" t="b">
        <f t="shared" si="165"/>
        <v>0</v>
      </c>
    </row>
    <row r="2101" spans="1:14" x14ac:dyDescent="0.15">
      <c r="A2101" t="s">
        <v>14197</v>
      </c>
      <c r="B2101" t="s">
        <v>14200</v>
      </c>
      <c r="C2101" t="s">
        <v>14247</v>
      </c>
      <c r="D2101" t="s">
        <v>23</v>
      </c>
      <c r="E2101" t="s">
        <v>14248</v>
      </c>
      <c r="F2101" s="5">
        <f t="shared" si="166"/>
        <v>4710000</v>
      </c>
      <c r="G2101" s="5">
        <v>4710000</v>
      </c>
      <c r="H2101" s="4">
        <v>3788000</v>
      </c>
      <c r="I2101" s="2">
        <f t="shared" si="163"/>
        <v>0.80424628450106161</v>
      </c>
      <c r="J2101" s="4">
        <v>4480000</v>
      </c>
      <c r="K2101" s="2">
        <f t="shared" si="164"/>
        <v>0.95116772823779194</v>
      </c>
      <c r="L2101" t="s">
        <v>39</v>
      </c>
      <c r="M2101" t="s">
        <v>432</v>
      </c>
      <c r="N2101" t="b">
        <f t="shared" si="165"/>
        <v>0</v>
      </c>
    </row>
    <row r="2102" spans="1:14" x14ac:dyDescent="0.15">
      <c r="A2102" t="s">
        <v>14197</v>
      </c>
      <c r="B2102" t="s">
        <v>14200</v>
      </c>
      <c r="C2102" t="s">
        <v>14249</v>
      </c>
      <c r="D2102" t="s">
        <v>118</v>
      </c>
      <c r="E2102" t="s">
        <v>14250</v>
      </c>
      <c r="F2102" s="5">
        <f t="shared" si="166"/>
        <v>10650000</v>
      </c>
      <c r="G2102" s="5">
        <v>10650000</v>
      </c>
      <c r="H2102" s="4">
        <v>8556000</v>
      </c>
      <c r="I2102" s="2">
        <f t="shared" si="163"/>
        <v>0.80338028169014086</v>
      </c>
      <c r="J2102" s="4">
        <v>8557000</v>
      </c>
      <c r="K2102" s="2">
        <f t="shared" si="164"/>
        <v>0.8034741784037559</v>
      </c>
      <c r="L2102" t="s">
        <v>9367</v>
      </c>
      <c r="M2102" t="s">
        <v>165</v>
      </c>
      <c r="N2102" t="b">
        <f t="shared" si="165"/>
        <v>0</v>
      </c>
    </row>
    <row r="2103" spans="1:14" x14ac:dyDescent="0.15">
      <c r="A2103" t="s">
        <v>14197</v>
      </c>
      <c r="B2103" t="s">
        <v>14200</v>
      </c>
      <c r="C2103" t="s">
        <v>14251</v>
      </c>
      <c r="D2103" t="s">
        <v>23</v>
      </c>
      <c r="E2103" t="s">
        <v>14252</v>
      </c>
      <c r="F2103" s="5">
        <f t="shared" si="166"/>
        <v>8655000</v>
      </c>
      <c r="G2103" s="5">
        <v>8655000</v>
      </c>
      <c r="H2103" s="4">
        <v>6924000</v>
      </c>
      <c r="I2103" s="2">
        <f t="shared" si="163"/>
        <v>0.8</v>
      </c>
      <c r="J2103" s="4">
        <v>8180000</v>
      </c>
      <c r="K2103" s="2">
        <f t="shared" si="164"/>
        <v>0.94511842865395723</v>
      </c>
      <c r="L2103" t="s">
        <v>14036</v>
      </c>
      <c r="M2103" t="s">
        <v>432</v>
      </c>
      <c r="N2103" t="b">
        <f t="shared" si="165"/>
        <v>0</v>
      </c>
    </row>
    <row r="2104" spans="1:14" x14ac:dyDescent="0.15">
      <c r="A2104" t="s">
        <v>14197</v>
      </c>
      <c r="B2104" t="s">
        <v>14200</v>
      </c>
      <c r="C2104" t="s">
        <v>14253</v>
      </c>
      <c r="D2104" t="s">
        <v>118</v>
      </c>
      <c r="E2104" t="s">
        <v>14254</v>
      </c>
      <c r="F2104" s="5">
        <f t="shared" si="166"/>
        <v>14241000</v>
      </c>
      <c r="G2104" s="5">
        <v>14241000</v>
      </c>
      <c r="H2104" s="4">
        <v>11250000</v>
      </c>
      <c r="I2104" s="2">
        <f t="shared" si="163"/>
        <v>0.78997261428270482</v>
      </c>
      <c r="J2104" s="4">
        <v>11342000</v>
      </c>
      <c r="K2104" s="2">
        <f t="shared" si="164"/>
        <v>0.79643283477283899</v>
      </c>
      <c r="L2104" t="s">
        <v>1384</v>
      </c>
      <c r="M2104" t="s">
        <v>2017</v>
      </c>
      <c r="N2104" t="b">
        <f t="shared" si="165"/>
        <v>0</v>
      </c>
    </row>
    <row r="2105" spans="1:14" x14ac:dyDescent="0.15">
      <c r="A2105" t="s">
        <v>14197</v>
      </c>
      <c r="B2105" t="s">
        <v>14200</v>
      </c>
      <c r="C2105" t="s">
        <v>14255</v>
      </c>
      <c r="D2105" t="s">
        <v>118</v>
      </c>
      <c r="E2105" t="s">
        <v>14256</v>
      </c>
      <c r="F2105" s="5">
        <f t="shared" si="166"/>
        <v>14450000</v>
      </c>
      <c r="G2105" s="5">
        <v>14450000</v>
      </c>
      <c r="H2105" s="4">
        <v>11592000</v>
      </c>
      <c r="I2105" s="2">
        <f t="shared" si="163"/>
        <v>0.80221453287197231</v>
      </c>
      <c r="J2105" s="4">
        <v>11592000</v>
      </c>
      <c r="K2105" s="2">
        <f t="shared" si="164"/>
        <v>0.80221453287197231</v>
      </c>
      <c r="L2105" t="s">
        <v>12393</v>
      </c>
      <c r="M2105" t="s">
        <v>1411</v>
      </c>
      <c r="N2105" t="b">
        <f t="shared" si="165"/>
        <v>0</v>
      </c>
    </row>
    <row r="2106" spans="1:14" x14ac:dyDescent="0.15">
      <c r="A2106" t="s">
        <v>14197</v>
      </c>
      <c r="B2106" t="s">
        <v>14200</v>
      </c>
      <c r="C2106" t="s">
        <v>14198</v>
      </c>
      <c r="D2106" t="s">
        <v>23</v>
      </c>
      <c r="E2106" t="s">
        <v>14257</v>
      </c>
      <c r="F2106" s="5">
        <f t="shared" si="166"/>
        <v>2550000</v>
      </c>
      <c r="G2106" s="5">
        <v>2550000</v>
      </c>
      <c r="H2106" s="4">
        <v>2046000</v>
      </c>
      <c r="I2106" s="2">
        <f t="shared" si="163"/>
        <v>0.8023529411764706</v>
      </c>
      <c r="J2106" s="4">
        <v>2400000</v>
      </c>
      <c r="K2106" s="2">
        <f t="shared" si="164"/>
        <v>0.94117647058823528</v>
      </c>
      <c r="L2106" t="s">
        <v>263</v>
      </c>
      <c r="M2106" t="s">
        <v>1015</v>
      </c>
      <c r="N2106" t="b">
        <f t="shared" si="165"/>
        <v>0</v>
      </c>
    </row>
    <row r="2107" spans="1:14" x14ac:dyDescent="0.15">
      <c r="A2107" t="s">
        <v>14197</v>
      </c>
      <c r="B2107" t="s">
        <v>14200</v>
      </c>
      <c r="C2107" t="s">
        <v>14258</v>
      </c>
      <c r="D2107" t="s">
        <v>23</v>
      </c>
      <c r="E2107" t="s">
        <v>13806</v>
      </c>
      <c r="F2107" s="5">
        <f t="shared" si="166"/>
        <v>4020000</v>
      </c>
      <c r="G2107" s="5">
        <v>4020000</v>
      </c>
      <c r="H2107" s="4">
        <v>3226000</v>
      </c>
      <c r="I2107" s="2">
        <f t="shared" si="163"/>
        <v>0.8024875621890547</v>
      </c>
      <c r="J2107" s="4">
        <v>3800000</v>
      </c>
      <c r="K2107" s="2">
        <f t="shared" si="164"/>
        <v>0.94527363184079605</v>
      </c>
      <c r="L2107" t="s">
        <v>263</v>
      </c>
      <c r="M2107" t="s">
        <v>1015</v>
      </c>
      <c r="N2107" t="b">
        <f t="shared" si="165"/>
        <v>0</v>
      </c>
    </row>
    <row r="2108" spans="1:14" x14ac:dyDescent="0.15">
      <c r="A2108" t="s">
        <v>14197</v>
      </c>
      <c r="B2108" t="s">
        <v>14200</v>
      </c>
      <c r="C2108" t="s">
        <v>14259</v>
      </c>
      <c r="D2108" t="s">
        <v>23</v>
      </c>
      <c r="E2108" t="s">
        <v>14260</v>
      </c>
      <c r="F2108" s="5">
        <f t="shared" si="166"/>
        <v>4960000</v>
      </c>
      <c r="G2108" s="5">
        <v>4960000</v>
      </c>
      <c r="H2108" s="4">
        <v>3981000</v>
      </c>
      <c r="I2108" s="2">
        <f t="shared" si="163"/>
        <v>0.80262096774193548</v>
      </c>
      <c r="J2108" s="4">
        <v>3981000</v>
      </c>
      <c r="K2108" s="2">
        <f t="shared" si="164"/>
        <v>0.80262096774193548</v>
      </c>
      <c r="L2108" t="s">
        <v>14261</v>
      </c>
      <c r="M2108" t="s">
        <v>432</v>
      </c>
      <c r="N2108" t="b">
        <f t="shared" si="165"/>
        <v>0</v>
      </c>
    </row>
    <row r="2109" spans="1:14" x14ac:dyDescent="0.15">
      <c r="A2109" t="s">
        <v>14197</v>
      </c>
      <c r="B2109" t="s">
        <v>14200</v>
      </c>
      <c r="C2109" t="s">
        <v>14262</v>
      </c>
      <c r="D2109" t="s">
        <v>23</v>
      </c>
      <c r="E2109" t="s">
        <v>14263</v>
      </c>
      <c r="F2109" s="5">
        <f t="shared" si="166"/>
        <v>8726000</v>
      </c>
      <c r="G2109" s="5">
        <v>8726000</v>
      </c>
      <c r="H2109" s="4">
        <v>7011000</v>
      </c>
      <c r="I2109" s="2">
        <f t="shared" si="163"/>
        <v>0.80346092138436853</v>
      </c>
      <c r="J2109" s="4">
        <v>8500000</v>
      </c>
      <c r="K2109" s="2">
        <f t="shared" si="164"/>
        <v>0.97410038964015588</v>
      </c>
      <c r="L2109" t="s">
        <v>360</v>
      </c>
      <c r="M2109" t="s">
        <v>432</v>
      </c>
      <c r="N2109" t="b">
        <f t="shared" si="165"/>
        <v>0</v>
      </c>
    </row>
    <row r="2110" spans="1:14" x14ac:dyDescent="0.15">
      <c r="A2110" t="s">
        <v>14197</v>
      </c>
      <c r="B2110" t="s">
        <v>14200</v>
      </c>
      <c r="C2110" t="s">
        <v>14264</v>
      </c>
      <c r="D2110" t="s">
        <v>23</v>
      </c>
      <c r="E2110" t="s">
        <v>14265</v>
      </c>
      <c r="F2110" s="5">
        <f t="shared" si="166"/>
        <v>18260000</v>
      </c>
      <c r="G2110" s="5">
        <v>18260000</v>
      </c>
      <c r="H2110" s="4">
        <v>14711000</v>
      </c>
      <c r="I2110" s="2">
        <f t="shared" si="163"/>
        <v>0.80564074479737136</v>
      </c>
      <c r="J2110" s="4">
        <v>17000000</v>
      </c>
      <c r="K2110" s="2">
        <f t="shared" si="164"/>
        <v>0.93099671412924423</v>
      </c>
      <c r="L2110" t="s">
        <v>1262</v>
      </c>
      <c r="M2110" t="s">
        <v>165</v>
      </c>
      <c r="N2110" t="b">
        <f t="shared" si="165"/>
        <v>0</v>
      </c>
    </row>
    <row r="2111" spans="1:14" x14ac:dyDescent="0.15">
      <c r="A2111" t="s">
        <v>14197</v>
      </c>
      <c r="B2111" t="s">
        <v>14200</v>
      </c>
      <c r="C2111" t="s">
        <v>14266</v>
      </c>
      <c r="D2111" t="s">
        <v>118</v>
      </c>
      <c r="E2111" t="s">
        <v>14267</v>
      </c>
      <c r="F2111" s="5">
        <f t="shared" si="166"/>
        <v>25156000</v>
      </c>
      <c r="G2111" s="5">
        <v>25156000</v>
      </c>
      <c r="H2111" s="4">
        <v>20329000</v>
      </c>
      <c r="I2111" s="2">
        <f t="shared" si="163"/>
        <v>0.80811734775003974</v>
      </c>
      <c r="J2111" s="4">
        <v>20370000</v>
      </c>
      <c r="K2111" s="2">
        <f t="shared" si="164"/>
        <v>0.80974717761170301</v>
      </c>
      <c r="L2111" t="s">
        <v>839</v>
      </c>
      <c r="M2111" t="s">
        <v>2017</v>
      </c>
      <c r="N2111" t="b">
        <f t="shared" si="165"/>
        <v>0</v>
      </c>
    </row>
    <row r="2112" spans="1:14" x14ac:dyDescent="0.15">
      <c r="A2112" t="s">
        <v>14197</v>
      </c>
      <c r="B2112" t="s">
        <v>14200</v>
      </c>
      <c r="C2112" t="s">
        <v>14268</v>
      </c>
      <c r="D2112" t="s">
        <v>118</v>
      </c>
      <c r="E2112" t="s">
        <v>14269</v>
      </c>
      <c r="F2112" s="5">
        <f t="shared" si="166"/>
        <v>13872000</v>
      </c>
      <c r="G2112" s="5">
        <v>13872000</v>
      </c>
      <c r="H2112" s="4">
        <v>10958000</v>
      </c>
      <c r="I2112" s="2">
        <f t="shared" si="163"/>
        <v>0.78993656286043834</v>
      </c>
      <c r="J2112" s="4">
        <v>12480000</v>
      </c>
      <c r="K2112" s="2">
        <f t="shared" si="164"/>
        <v>0.89965397923875434</v>
      </c>
      <c r="L2112" t="s">
        <v>14036</v>
      </c>
      <c r="M2112" t="s">
        <v>165</v>
      </c>
      <c r="N2112" t="b">
        <f t="shared" si="165"/>
        <v>0</v>
      </c>
    </row>
    <row r="2113" spans="1:14" x14ac:dyDescent="0.15">
      <c r="A2113" t="s">
        <v>14197</v>
      </c>
      <c r="B2113" t="s">
        <v>14200</v>
      </c>
      <c r="C2113" t="s">
        <v>14270</v>
      </c>
      <c r="D2113" t="s">
        <v>118</v>
      </c>
      <c r="E2113" t="s">
        <v>14271</v>
      </c>
      <c r="F2113" s="5">
        <f t="shared" si="166"/>
        <v>23976000</v>
      </c>
      <c r="G2113" s="5">
        <v>23976000</v>
      </c>
      <c r="H2113" s="4">
        <v>19180000</v>
      </c>
      <c r="I2113" s="2">
        <f t="shared" si="163"/>
        <v>0.79996663329996665</v>
      </c>
      <c r="J2113" s="4">
        <v>20900000</v>
      </c>
      <c r="K2113" s="2">
        <f t="shared" si="164"/>
        <v>0.87170503837170499</v>
      </c>
      <c r="L2113" t="s">
        <v>14036</v>
      </c>
      <c r="M2113" t="s">
        <v>1015</v>
      </c>
      <c r="N2113" t="b">
        <f t="shared" si="165"/>
        <v>0</v>
      </c>
    </row>
    <row r="2114" spans="1:14" x14ac:dyDescent="0.15">
      <c r="A2114" t="s">
        <v>14197</v>
      </c>
      <c r="B2114" t="s">
        <v>14200</v>
      </c>
      <c r="C2114" t="s">
        <v>14272</v>
      </c>
      <c r="D2114" t="s">
        <v>23</v>
      </c>
      <c r="E2114" t="s">
        <v>14273</v>
      </c>
      <c r="F2114" s="5">
        <f t="shared" si="166"/>
        <v>5499000</v>
      </c>
      <c r="G2114" s="5">
        <v>5499000</v>
      </c>
      <c r="H2114" s="4">
        <v>4411000</v>
      </c>
      <c r="I2114" s="2">
        <f t="shared" si="163"/>
        <v>0.80214584469903616</v>
      </c>
      <c r="J2114" s="4">
        <v>5250000</v>
      </c>
      <c r="K2114" s="2">
        <f t="shared" si="164"/>
        <v>0.95471903982542283</v>
      </c>
      <c r="L2114" t="s">
        <v>14274</v>
      </c>
      <c r="M2114" t="s">
        <v>432</v>
      </c>
      <c r="N2114" t="b">
        <f t="shared" si="165"/>
        <v>0</v>
      </c>
    </row>
    <row r="2115" spans="1:14" x14ac:dyDescent="0.15">
      <c r="A2115" t="s">
        <v>14197</v>
      </c>
      <c r="B2115" t="s">
        <v>14200</v>
      </c>
      <c r="C2115" t="s">
        <v>14275</v>
      </c>
      <c r="D2115" t="s">
        <v>23</v>
      </c>
      <c r="E2115" t="s">
        <v>14276</v>
      </c>
      <c r="F2115" s="5">
        <f t="shared" si="166"/>
        <v>3300000</v>
      </c>
      <c r="G2115" s="5">
        <v>3300000</v>
      </c>
      <c r="H2115" s="4">
        <v>2649000</v>
      </c>
      <c r="I2115" s="2">
        <f t="shared" si="163"/>
        <v>0.80272727272727273</v>
      </c>
      <c r="J2115" s="4">
        <v>3100000</v>
      </c>
      <c r="K2115" s="2">
        <f t="shared" si="164"/>
        <v>0.93939393939393945</v>
      </c>
      <c r="L2115" t="s">
        <v>14274</v>
      </c>
      <c r="M2115" t="s">
        <v>1015</v>
      </c>
      <c r="N2115" t="b">
        <f t="shared" si="165"/>
        <v>0</v>
      </c>
    </row>
    <row r="2116" spans="1:14" x14ac:dyDescent="0.15">
      <c r="A2116" t="s">
        <v>14197</v>
      </c>
      <c r="B2116" t="s">
        <v>14200</v>
      </c>
      <c r="C2116" t="s">
        <v>14211</v>
      </c>
      <c r="D2116" t="s">
        <v>118</v>
      </c>
      <c r="E2116" t="s">
        <v>14277</v>
      </c>
      <c r="F2116" s="5">
        <f t="shared" si="166"/>
        <v>18352000</v>
      </c>
      <c r="G2116" s="5">
        <v>18352000</v>
      </c>
      <c r="H2116" s="4">
        <v>14865000</v>
      </c>
      <c r="I2116" s="2">
        <f t="shared" ref="I2116:I2179" si="167">H2116/G2116</f>
        <v>0.80999346120313864</v>
      </c>
      <c r="J2116" s="4">
        <v>14865000</v>
      </c>
      <c r="K2116" s="2">
        <f t="shared" ref="K2116:K2179" si="168">J2116/G2116</f>
        <v>0.80999346120313864</v>
      </c>
      <c r="L2116" t="s">
        <v>247</v>
      </c>
      <c r="M2116" t="s">
        <v>1015</v>
      </c>
      <c r="N2116" t="b">
        <f t="shared" ref="N2116:N2179" si="169">F2116&lt;&gt;G2116</f>
        <v>0</v>
      </c>
    </row>
    <row r="2117" spans="1:14" x14ac:dyDescent="0.15">
      <c r="A2117" t="s">
        <v>14197</v>
      </c>
      <c r="B2117" t="s">
        <v>14200</v>
      </c>
      <c r="C2117" t="s">
        <v>14278</v>
      </c>
      <c r="D2117" t="s">
        <v>23</v>
      </c>
      <c r="E2117" t="s">
        <v>14279</v>
      </c>
      <c r="F2117" s="5">
        <f t="shared" si="166"/>
        <v>8969000</v>
      </c>
      <c r="G2117" s="5">
        <v>8969000</v>
      </c>
      <c r="H2117" s="4">
        <v>7206000</v>
      </c>
      <c r="I2117" s="2">
        <f t="shared" si="167"/>
        <v>0.80343405061879813</v>
      </c>
      <c r="J2117" s="4">
        <v>8500000</v>
      </c>
      <c r="K2117" s="2">
        <f t="shared" si="168"/>
        <v>0.94770877466830195</v>
      </c>
      <c r="L2117" t="s">
        <v>5186</v>
      </c>
      <c r="M2117" t="s">
        <v>432</v>
      </c>
      <c r="N2117" t="b">
        <f t="shared" si="169"/>
        <v>0</v>
      </c>
    </row>
    <row r="2118" spans="1:14" x14ac:dyDescent="0.15">
      <c r="A2118" t="s">
        <v>14197</v>
      </c>
      <c r="B2118" t="s">
        <v>14200</v>
      </c>
      <c r="C2118" t="s">
        <v>14280</v>
      </c>
      <c r="D2118" t="s">
        <v>23</v>
      </c>
      <c r="E2118" t="s">
        <v>14281</v>
      </c>
      <c r="F2118" s="5">
        <f t="shared" si="166"/>
        <v>5320000</v>
      </c>
      <c r="G2118" s="5">
        <v>5320000</v>
      </c>
      <c r="H2118" s="4">
        <v>4276000</v>
      </c>
      <c r="I2118" s="2">
        <f t="shared" si="167"/>
        <v>0.80375939849624056</v>
      </c>
      <c r="J2118" s="4">
        <v>5180000</v>
      </c>
      <c r="K2118" s="2">
        <f t="shared" si="168"/>
        <v>0.97368421052631582</v>
      </c>
      <c r="L2118" t="s">
        <v>14036</v>
      </c>
      <c r="M2118" t="s">
        <v>432</v>
      </c>
      <c r="N2118" t="b">
        <f t="shared" si="169"/>
        <v>0</v>
      </c>
    </row>
    <row r="2119" spans="1:14" x14ac:dyDescent="0.15">
      <c r="A2119" t="s">
        <v>14197</v>
      </c>
      <c r="B2119" t="s">
        <v>14200</v>
      </c>
      <c r="C2119" t="s">
        <v>14223</v>
      </c>
      <c r="D2119" t="s">
        <v>118</v>
      </c>
      <c r="E2119" t="s">
        <v>14282</v>
      </c>
      <c r="F2119" s="5">
        <f t="shared" si="166"/>
        <v>18159000</v>
      </c>
      <c r="G2119" s="5">
        <v>18159000</v>
      </c>
      <c r="H2119" s="4">
        <v>14708000</v>
      </c>
      <c r="I2119" s="2">
        <f t="shared" si="167"/>
        <v>0.8099564954017292</v>
      </c>
      <c r="J2119" s="4">
        <v>14890000</v>
      </c>
      <c r="K2119" s="2">
        <f t="shared" si="168"/>
        <v>0.81997907373754064</v>
      </c>
      <c r="L2119" t="s">
        <v>10364</v>
      </c>
      <c r="M2119" t="s">
        <v>1015</v>
      </c>
      <c r="N2119" t="b">
        <f t="shared" si="169"/>
        <v>0</v>
      </c>
    </row>
    <row r="2120" spans="1:14" x14ac:dyDescent="0.15">
      <c r="A2120" t="s">
        <v>14197</v>
      </c>
      <c r="B2120" t="s">
        <v>14200</v>
      </c>
      <c r="C2120" t="s">
        <v>14283</v>
      </c>
      <c r="D2120" t="s">
        <v>23</v>
      </c>
      <c r="E2120" t="s">
        <v>14284</v>
      </c>
      <c r="F2120" s="5">
        <f t="shared" si="166"/>
        <v>5040000</v>
      </c>
      <c r="G2120" s="5">
        <v>5040000</v>
      </c>
      <c r="H2120" s="4">
        <v>4050000</v>
      </c>
      <c r="I2120" s="2">
        <f t="shared" si="167"/>
        <v>0.8035714285714286</v>
      </c>
      <c r="J2120" s="4">
        <v>4600000</v>
      </c>
      <c r="K2120" s="2">
        <f t="shared" si="168"/>
        <v>0.91269841269841268</v>
      </c>
      <c r="L2120" t="s">
        <v>263</v>
      </c>
      <c r="M2120" t="s">
        <v>432</v>
      </c>
      <c r="N2120" t="b">
        <f t="shared" si="169"/>
        <v>0</v>
      </c>
    </row>
    <row r="2121" spans="1:14" x14ac:dyDescent="0.15">
      <c r="A2121" t="s">
        <v>14197</v>
      </c>
      <c r="B2121" t="s">
        <v>14200</v>
      </c>
      <c r="C2121" t="s">
        <v>14285</v>
      </c>
      <c r="D2121" t="s">
        <v>23</v>
      </c>
      <c r="E2121" t="s">
        <v>14286</v>
      </c>
      <c r="F2121" s="5">
        <f t="shared" si="166"/>
        <v>5745000</v>
      </c>
      <c r="G2121" s="5">
        <v>5745000</v>
      </c>
      <c r="H2121" s="4">
        <v>4608000</v>
      </c>
      <c r="I2121" s="2">
        <f t="shared" si="167"/>
        <v>0.80208877284595304</v>
      </c>
      <c r="J2121" s="4">
        <v>4900000</v>
      </c>
      <c r="K2121" s="2">
        <f t="shared" si="168"/>
        <v>0.8529155787641427</v>
      </c>
      <c r="L2121" t="s">
        <v>4415</v>
      </c>
      <c r="M2121" t="s">
        <v>432</v>
      </c>
      <c r="N2121" t="b">
        <f t="shared" si="169"/>
        <v>0</v>
      </c>
    </row>
    <row r="2122" spans="1:14" x14ac:dyDescent="0.15">
      <c r="A2122" t="s">
        <v>14197</v>
      </c>
      <c r="B2122" t="s">
        <v>14200</v>
      </c>
      <c r="C2122" t="s">
        <v>14287</v>
      </c>
      <c r="D2122" t="s">
        <v>23</v>
      </c>
      <c r="E2122" t="s">
        <v>14288</v>
      </c>
      <c r="F2122" s="5">
        <f t="shared" si="166"/>
        <v>3010000</v>
      </c>
      <c r="G2122" s="5">
        <v>3010000</v>
      </c>
      <c r="H2122" s="4">
        <v>2421000</v>
      </c>
      <c r="I2122" s="2">
        <f t="shared" si="167"/>
        <v>0.80431893687707645</v>
      </c>
      <c r="J2122" s="4">
        <v>2850000</v>
      </c>
      <c r="K2122" s="2">
        <f t="shared" si="168"/>
        <v>0.94684385382059799</v>
      </c>
      <c r="L2122" t="s">
        <v>5186</v>
      </c>
      <c r="M2122" t="s">
        <v>1015</v>
      </c>
      <c r="N2122" t="b">
        <f t="shared" si="169"/>
        <v>0</v>
      </c>
    </row>
    <row r="2123" spans="1:14" x14ac:dyDescent="0.15">
      <c r="A2123" t="s">
        <v>14197</v>
      </c>
      <c r="B2123" t="s">
        <v>14200</v>
      </c>
      <c r="C2123" t="s">
        <v>14289</v>
      </c>
      <c r="D2123" t="s">
        <v>118</v>
      </c>
      <c r="E2123" t="s">
        <v>13255</v>
      </c>
      <c r="F2123" s="5">
        <f t="shared" si="166"/>
        <v>18134000</v>
      </c>
      <c r="G2123" s="5">
        <v>18134000</v>
      </c>
      <c r="H2123" s="4">
        <v>14688000</v>
      </c>
      <c r="I2123" s="2">
        <f t="shared" si="167"/>
        <v>0.80997022168302635</v>
      </c>
      <c r="J2123" s="4">
        <v>14688000</v>
      </c>
      <c r="K2123" s="2">
        <f t="shared" si="168"/>
        <v>0.80997022168302635</v>
      </c>
      <c r="L2123" t="s">
        <v>4415</v>
      </c>
      <c r="M2123" t="s">
        <v>1015</v>
      </c>
      <c r="N2123" t="b">
        <f t="shared" si="169"/>
        <v>0</v>
      </c>
    </row>
    <row r="2124" spans="1:14" x14ac:dyDescent="0.15">
      <c r="A2124" t="s">
        <v>14197</v>
      </c>
      <c r="B2124" t="s">
        <v>14200</v>
      </c>
      <c r="C2124" t="s">
        <v>14237</v>
      </c>
      <c r="D2124" t="s">
        <v>23</v>
      </c>
      <c r="E2124" t="s">
        <v>14290</v>
      </c>
      <c r="F2124" s="5">
        <f t="shared" si="166"/>
        <v>8249000</v>
      </c>
      <c r="G2124" s="5">
        <v>8249000</v>
      </c>
      <c r="H2124" s="4">
        <v>6617000</v>
      </c>
      <c r="I2124" s="2">
        <f t="shared" si="167"/>
        <v>0.80215783731361379</v>
      </c>
      <c r="J2124" s="4">
        <v>7500000</v>
      </c>
      <c r="K2124" s="2">
        <f t="shared" si="168"/>
        <v>0.90920111528670144</v>
      </c>
      <c r="L2124" t="s">
        <v>5068</v>
      </c>
      <c r="M2124" t="s">
        <v>432</v>
      </c>
      <c r="N2124" t="b">
        <f t="shared" si="169"/>
        <v>0</v>
      </c>
    </row>
    <row r="2125" spans="1:14" x14ac:dyDescent="0.15">
      <c r="A2125" t="s">
        <v>14197</v>
      </c>
      <c r="B2125" t="s">
        <v>14200</v>
      </c>
      <c r="C2125" t="s">
        <v>14233</v>
      </c>
      <c r="D2125" t="s">
        <v>23</v>
      </c>
      <c r="E2125" t="s">
        <v>14291</v>
      </c>
      <c r="F2125" s="5">
        <f t="shared" si="166"/>
        <v>7010000</v>
      </c>
      <c r="G2125" s="5">
        <v>7010000</v>
      </c>
      <c r="H2125" s="4">
        <v>5537000</v>
      </c>
      <c r="I2125" s="2">
        <f t="shared" si="167"/>
        <v>0.78987161198288158</v>
      </c>
      <c r="J2125" s="4">
        <v>6450000</v>
      </c>
      <c r="K2125" s="2">
        <f t="shared" si="168"/>
        <v>0.92011412268188297</v>
      </c>
      <c r="L2125" t="s">
        <v>14036</v>
      </c>
      <c r="M2125" t="s">
        <v>432</v>
      </c>
      <c r="N2125" t="b">
        <f t="shared" si="169"/>
        <v>0</v>
      </c>
    </row>
    <row r="2126" spans="1:14" x14ac:dyDescent="0.15">
      <c r="A2126" t="s">
        <v>14197</v>
      </c>
      <c r="B2126" t="s">
        <v>14200</v>
      </c>
      <c r="C2126" t="s">
        <v>14292</v>
      </c>
      <c r="D2126" t="s">
        <v>23</v>
      </c>
      <c r="E2126" t="s">
        <v>14293</v>
      </c>
      <c r="F2126" s="5">
        <f t="shared" si="166"/>
        <v>5487000</v>
      </c>
      <c r="G2126" s="5">
        <v>5487000</v>
      </c>
      <c r="H2126" s="4">
        <v>4410000</v>
      </c>
      <c r="I2126" s="2">
        <f t="shared" si="167"/>
        <v>0.8037178786221979</v>
      </c>
      <c r="J2126" s="4">
        <v>5200000</v>
      </c>
      <c r="K2126" s="2">
        <f t="shared" si="168"/>
        <v>0.94769455075633313</v>
      </c>
      <c r="L2126" t="s">
        <v>5186</v>
      </c>
      <c r="M2126" t="s">
        <v>432</v>
      </c>
      <c r="N2126" t="b">
        <f t="shared" si="169"/>
        <v>0</v>
      </c>
    </row>
    <row r="2127" spans="1:14" x14ac:dyDescent="0.15">
      <c r="A2127" t="s">
        <v>14197</v>
      </c>
      <c r="B2127" t="s">
        <v>14200</v>
      </c>
      <c r="C2127" t="s">
        <v>14294</v>
      </c>
      <c r="D2127" t="s">
        <v>23</v>
      </c>
      <c r="E2127" t="s">
        <v>14295</v>
      </c>
      <c r="F2127" s="5">
        <f t="shared" si="166"/>
        <v>8420000</v>
      </c>
      <c r="G2127" s="5">
        <v>8420000</v>
      </c>
      <c r="H2127" s="4">
        <v>6707000</v>
      </c>
      <c r="I2127" s="2">
        <f t="shared" si="167"/>
        <v>0.7965558194774347</v>
      </c>
      <c r="J2127" s="4">
        <v>8000000</v>
      </c>
      <c r="K2127" s="2">
        <f t="shared" si="168"/>
        <v>0.95011876484560565</v>
      </c>
      <c r="L2127" t="s">
        <v>5186</v>
      </c>
      <c r="M2127" t="s">
        <v>432</v>
      </c>
      <c r="N2127" t="b">
        <f t="shared" si="169"/>
        <v>0</v>
      </c>
    </row>
    <row r="2128" spans="1:14" x14ac:dyDescent="0.15">
      <c r="A2128" t="s">
        <v>14197</v>
      </c>
      <c r="B2128" t="s">
        <v>14200</v>
      </c>
      <c r="C2128" t="s">
        <v>14296</v>
      </c>
      <c r="D2128" t="s">
        <v>118</v>
      </c>
      <c r="E2128" t="s">
        <v>14297</v>
      </c>
      <c r="F2128" s="5">
        <f t="shared" si="166"/>
        <v>12213000</v>
      </c>
      <c r="G2128" s="5">
        <v>12213000</v>
      </c>
      <c r="H2128" s="4">
        <v>9708000</v>
      </c>
      <c r="I2128" s="2">
        <f t="shared" si="167"/>
        <v>0.79489069024809633</v>
      </c>
      <c r="J2128" s="4">
        <v>10740000</v>
      </c>
      <c r="K2128" s="2">
        <f t="shared" si="168"/>
        <v>0.87939081306804223</v>
      </c>
      <c r="L2128" t="s">
        <v>14036</v>
      </c>
      <c r="M2128" t="s">
        <v>1015</v>
      </c>
      <c r="N2128" t="b">
        <f t="shared" si="169"/>
        <v>0</v>
      </c>
    </row>
    <row r="2129" spans="1:14" x14ac:dyDescent="0.15">
      <c r="A2129" t="s">
        <v>14197</v>
      </c>
      <c r="B2129" t="s">
        <v>14200</v>
      </c>
      <c r="C2129" t="s">
        <v>14298</v>
      </c>
      <c r="D2129" t="s">
        <v>23</v>
      </c>
      <c r="E2129" t="s">
        <v>14299</v>
      </c>
      <c r="F2129" s="5">
        <f t="shared" si="166"/>
        <v>8858000</v>
      </c>
      <c r="G2129" s="5">
        <v>8858000</v>
      </c>
      <c r="H2129" s="4">
        <v>7044000</v>
      </c>
      <c r="I2129" s="2">
        <f t="shared" si="167"/>
        <v>0.79521336644840823</v>
      </c>
      <c r="J2129" s="4">
        <v>8500000</v>
      </c>
      <c r="K2129" s="2">
        <f t="shared" si="168"/>
        <v>0.95958455633325812</v>
      </c>
      <c r="L2129" t="s">
        <v>1384</v>
      </c>
      <c r="M2129" t="s">
        <v>432</v>
      </c>
      <c r="N2129" t="b">
        <f t="shared" si="169"/>
        <v>0</v>
      </c>
    </row>
    <row r="2130" spans="1:14" x14ac:dyDescent="0.15">
      <c r="A2130" t="s">
        <v>14197</v>
      </c>
      <c r="B2130" t="s">
        <v>14200</v>
      </c>
      <c r="C2130" t="s">
        <v>14300</v>
      </c>
      <c r="D2130" t="s">
        <v>118</v>
      </c>
      <c r="E2130" t="s">
        <v>14301</v>
      </c>
      <c r="F2130" s="5">
        <f t="shared" si="166"/>
        <v>15557000</v>
      </c>
      <c r="G2130" s="5">
        <v>15557000</v>
      </c>
      <c r="H2130" s="4">
        <v>12371000</v>
      </c>
      <c r="I2130" s="2">
        <f t="shared" si="167"/>
        <v>0.79520473098926525</v>
      </c>
      <c r="J2130" s="4">
        <v>12371000</v>
      </c>
      <c r="K2130" s="2">
        <f t="shared" si="168"/>
        <v>0.79520473098926525</v>
      </c>
      <c r="L2130" t="s">
        <v>12534</v>
      </c>
      <c r="M2130" t="s">
        <v>2579</v>
      </c>
      <c r="N2130" t="b">
        <f t="shared" si="169"/>
        <v>0</v>
      </c>
    </row>
    <row r="2131" spans="1:14" x14ac:dyDescent="0.15">
      <c r="A2131" t="s">
        <v>14197</v>
      </c>
      <c r="B2131" t="s">
        <v>14200</v>
      </c>
      <c r="C2131" t="s">
        <v>14242</v>
      </c>
      <c r="D2131" t="s">
        <v>23</v>
      </c>
      <c r="E2131" t="s">
        <v>14302</v>
      </c>
      <c r="F2131" s="5">
        <f t="shared" si="166"/>
        <v>7331000</v>
      </c>
      <c r="G2131" s="5">
        <v>7331000</v>
      </c>
      <c r="H2131" s="4">
        <v>5830000</v>
      </c>
      <c r="I2131" s="2">
        <f t="shared" si="167"/>
        <v>0.79525303505660894</v>
      </c>
      <c r="J2131" s="4">
        <v>5830000</v>
      </c>
      <c r="K2131" s="2">
        <f t="shared" si="168"/>
        <v>0.79525303505660894</v>
      </c>
      <c r="L2131" t="s">
        <v>12534</v>
      </c>
      <c r="M2131" t="s">
        <v>432</v>
      </c>
      <c r="N2131" t="b">
        <f t="shared" si="169"/>
        <v>0</v>
      </c>
    </row>
    <row r="2132" spans="1:14" x14ac:dyDescent="0.15">
      <c r="A2132" t="s">
        <v>14197</v>
      </c>
      <c r="B2132" t="s">
        <v>14200</v>
      </c>
      <c r="C2132" t="s">
        <v>14303</v>
      </c>
      <c r="D2132" t="s">
        <v>23</v>
      </c>
      <c r="E2132" t="s">
        <v>14304</v>
      </c>
      <c r="F2132" s="5">
        <f t="shared" si="166"/>
        <v>8934000</v>
      </c>
      <c r="G2132" s="5">
        <v>8934000</v>
      </c>
      <c r="H2132" s="4">
        <v>7104000</v>
      </c>
      <c r="I2132" s="2">
        <f t="shared" si="167"/>
        <v>0.79516453995970449</v>
      </c>
      <c r="J2132" s="4">
        <v>8500000</v>
      </c>
      <c r="K2132" s="2">
        <f t="shared" si="168"/>
        <v>0.95142153570629062</v>
      </c>
      <c r="L2132" t="s">
        <v>14274</v>
      </c>
      <c r="M2132" t="s">
        <v>432</v>
      </c>
      <c r="N2132" t="b">
        <f t="shared" si="169"/>
        <v>0</v>
      </c>
    </row>
    <row r="2133" spans="1:14" x14ac:dyDescent="0.15">
      <c r="A2133" t="s">
        <v>14197</v>
      </c>
      <c r="B2133" t="s">
        <v>14200</v>
      </c>
      <c r="C2133" t="s">
        <v>14305</v>
      </c>
      <c r="D2133" t="s">
        <v>23</v>
      </c>
      <c r="E2133" t="s">
        <v>14306</v>
      </c>
      <c r="F2133" s="5">
        <f t="shared" si="166"/>
        <v>8033000</v>
      </c>
      <c r="G2133" s="5">
        <v>8033000</v>
      </c>
      <c r="H2133" s="4">
        <v>6388000</v>
      </c>
      <c r="I2133" s="2">
        <f t="shared" si="167"/>
        <v>0.79521971866052532</v>
      </c>
      <c r="J2133" s="4">
        <v>6388000</v>
      </c>
      <c r="K2133" s="2">
        <f t="shared" si="168"/>
        <v>0.79521971866052532</v>
      </c>
      <c r="L2133" t="s">
        <v>4415</v>
      </c>
      <c r="M2133" t="s">
        <v>432</v>
      </c>
      <c r="N2133" t="b">
        <f t="shared" si="169"/>
        <v>0</v>
      </c>
    </row>
    <row r="2134" spans="1:14" x14ac:dyDescent="0.15">
      <c r="A2134" t="s">
        <v>14197</v>
      </c>
      <c r="B2134" t="s">
        <v>14200</v>
      </c>
      <c r="C2134" t="s">
        <v>14307</v>
      </c>
      <c r="D2134" t="s">
        <v>23</v>
      </c>
      <c r="E2134" t="s">
        <v>14308</v>
      </c>
      <c r="F2134" s="5">
        <f t="shared" si="166"/>
        <v>5799000</v>
      </c>
      <c r="G2134" s="5">
        <v>5799000</v>
      </c>
      <c r="H2134" s="4">
        <v>4611000</v>
      </c>
      <c r="I2134" s="2">
        <f t="shared" si="167"/>
        <v>0.7951370926021728</v>
      </c>
      <c r="J2134" s="4">
        <v>4611000</v>
      </c>
      <c r="K2134" s="2">
        <f t="shared" si="168"/>
        <v>0.7951370926021728</v>
      </c>
      <c r="L2134" t="s">
        <v>3258</v>
      </c>
      <c r="M2134" t="s">
        <v>432</v>
      </c>
      <c r="N2134" t="b">
        <f t="shared" si="169"/>
        <v>0</v>
      </c>
    </row>
    <row r="2135" spans="1:14" x14ac:dyDescent="0.15">
      <c r="A2135" t="s">
        <v>14197</v>
      </c>
      <c r="B2135" t="s">
        <v>14200</v>
      </c>
      <c r="C2135" t="s">
        <v>14309</v>
      </c>
      <c r="D2135" t="s">
        <v>23</v>
      </c>
      <c r="E2135" t="s">
        <v>14310</v>
      </c>
      <c r="F2135" s="5">
        <f t="shared" si="166"/>
        <v>3448000</v>
      </c>
      <c r="G2135" s="5">
        <v>3448000</v>
      </c>
      <c r="H2135" s="4">
        <v>2806000</v>
      </c>
      <c r="I2135" s="2">
        <f t="shared" si="167"/>
        <v>0.81380510440835263</v>
      </c>
      <c r="J2135" s="4">
        <v>3400000</v>
      </c>
      <c r="K2135" s="2">
        <f t="shared" si="168"/>
        <v>0.9860788863109049</v>
      </c>
      <c r="L2135" t="s">
        <v>819</v>
      </c>
      <c r="M2135" t="s">
        <v>1015</v>
      </c>
      <c r="N2135" t="b">
        <f t="shared" si="169"/>
        <v>0</v>
      </c>
    </row>
    <row r="2136" spans="1:14" x14ac:dyDescent="0.15">
      <c r="A2136" t="s">
        <v>14197</v>
      </c>
      <c r="B2136" t="s">
        <v>14200</v>
      </c>
      <c r="C2136" t="s">
        <v>14311</v>
      </c>
      <c r="D2136" t="s">
        <v>23</v>
      </c>
      <c r="E2136" t="s">
        <v>14312</v>
      </c>
      <c r="F2136" s="5">
        <f t="shared" si="166"/>
        <v>4346000</v>
      </c>
      <c r="G2136" s="5">
        <v>4346000</v>
      </c>
      <c r="H2136" s="4">
        <v>3463000</v>
      </c>
      <c r="I2136" s="2">
        <f t="shared" si="167"/>
        <v>0.79682466635987115</v>
      </c>
      <c r="J2136" s="4">
        <v>4250000</v>
      </c>
      <c r="K2136" s="2">
        <f t="shared" si="168"/>
        <v>0.97791072250345146</v>
      </c>
      <c r="L2136" t="s">
        <v>360</v>
      </c>
      <c r="M2136" t="s">
        <v>1015</v>
      </c>
      <c r="N2136" t="b">
        <f t="shared" si="169"/>
        <v>0</v>
      </c>
    </row>
    <row r="2137" spans="1:14" x14ac:dyDescent="0.15">
      <c r="A2137" t="s">
        <v>14197</v>
      </c>
      <c r="B2137" t="s">
        <v>14200</v>
      </c>
      <c r="C2137" t="s">
        <v>14313</v>
      </c>
      <c r="D2137" t="s">
        <v>23</v>
      </c>
      <c r="E2137" t="s">
        <v>14314</v>
      </c>
      <c r="F2137" s="5">
        <f t="shared" si="166"/>
        <v>8843000</v>
      </c>
      <c r="G2137" s="5">
        <v>8843000</v>
      </c>
      <c r="H2137" s="4">
        <v>7143000</v>
      </c>
      <c r="I2137" s="2">
        <f t="shared" si="167"/>
        <v>0.80775754834332236</v>
      </c>
      <c r="J2137" s="4">
        <v>7950000</v>
      </c>
      <c r="K2137" s="2">
        <f t="shared" si="168"/>
        <v>0.89901617098269815</v>
      </c>
      <c r="L2137" t="s">
        <v>14036</v>
      </c>
      <c r="M2137" t="s">
        <v>432</v>
      </c>
      <c r="N2137" t="b">
        <f t="shared" si="169"/>
        <v>0</v>
      </c>
    </row>
    <row r="2138" spans="1:14" x14ac:dyDescent="0.15">
      <c r="A2138" t="s">
        <v>14197</v>
      </c>
      <c r="B2138" t="s">
        <v>14200</v>
      </c>
      <c r="C2138" t="s">
        <v>14315</v>
      </c>
      <c r="D2138" t="s">
        <v>118</v>
      </c>
      <c r="E2138" t="s">
        <v>14316</v>
      </c>
      <c r="F2138" s="5">
        <f t="shared" si="166"/>
        <v>14170000</v>
      </c>
      <c r="G2138" s="5">
        <v>14170000</v>
      </c>
      <c r="H2138" s="4">
        <v>11277000</v>
      </c>
      <c r="I2138" s="2">
        <f t="shared" si="167"/>
        <v>0.79583627381792521</v>
      </c>
      <c r="J2138" s="4">
        <v>11277000</v>
      </c>
      <c r="K2138" s="2">
        <f t="shared" si="168"/>
        <v>0.79583627381792521</v>
      </c>
      <c r="L2138" t="s">
        <v>1262</v>
      </c>
      <c r="M2138" t="s">
        <v>183</v>
      </c>
      <c r="N2138" t="b">
        <f t="shared" si="169"/>
        <v>0</v>
      </c>
    </row>
    <row r="2139" spans="1:14" x14ac:dyDescent="0.15">
      <c r="A2139" t="s">
        <v>14197</v>
      </c>
      <c r="B2139" t="s">
        <v>14200</v>
      </c>
      <c r="C2139" t="s">
        <v>14317</v>
      </c>
      <c r="D2139" t="s">
        <v>23</v>
      </c>
      <c r="E2139" t="s">
        <v>14318</v>
      </c>
      <c r="F2139" s="5">
        <f t="shared" ref="F2139:F2143" si="170">G2139</f>
        <v>4470000</v>
      </c>
      <c r="G2139" s="5">
        <v>4470000</v>
      </c>
      <c r="H2139" s="4">
        <v>3564000</v>
      </c>
      <c r="I2139" s="2">
        <f t="shared" si="167"/>
        <v>0.79731543624161072</v>
      </c>
      <c r="J2139" s="4">
        <v>4200000</v>
      </c>
      <c r="K2139" s="2">
        <f t="shared" si="168"/>
        <v>0.93959731543624159</v>
      </c>
      <c r="L2139" t="s">
        <v>263</v>
      </c>
      <c r="M2139" t="s">
        <v>1015</v>
      </c>
      <c r="N2139" t="b">
        <f t="shared" si="169"/>
        <v>0</v>
      </c>
    </row>
    <row r="2140" spans="1:14" x14ac:dyDescent="0.15">
      <c r="A2140" t="s">
        <v>14197</v>
      </c>
      <c r="B2140" t="s">
        <v>14200</v>
      </c>
      <c r="C2140" t="s">
        <v>14319</v>
      </c>
      <c r="D2140" t="s">
        <v>23</v>
      </c>
      <c r="E2140" t="s">
        <v>14318</v>
      </c>
      <c r="F2140" s="5">
        <f t="shared" si="170"/>
        <v>6150000</v>
      </c>
      <c r="G2140" s="5">
        <v>6150000</v>
      </c>
      <c r="H2140" s="4">
        <v>4901000</v>
      </c>
      <c r="I2140" s="2">
        <f t="shared" si="167"/>
        <v>0.79691056910569102</v>
      </c>
      <c r="J2140" s="4">
        <v>4901000</v>
      </c>
      <c r="K2140" s="2">
        <f t="shared" si="168"/>
        <v>0.79691056910569102</v>
      </c>
      <c r="L2140" t="s">
        <v>12534</v>
      </c>
      <c r="M2140" t="s">
        <v>432</v>
      </c>
      <c r="N2140" t="b">
        <f t="shared" si="169"/>
        <v>0</v>
      </c>
    </row>
    <row r="2141" spans="1:14" x14ac:dyDescent="0.15">
      <c r="A2141" t="s">
        <v>14197</v>
      </c>
      <c r="B2141" t="s">
        <v>14200</v>
      </c>
      <c r="C2141" t="s">
        <v>14320</v>
      </c>
      <c r="D2141" t="s">
        <v>23</v>
      </c>
      <c r="E2141" t="s">
        <v>14321</v>
      </c>
      <c r="F2141" s="5">
        <f t="shared" si="170"/>
        <v>7932000</v>
      </c>
      <c r="G2141" s="5">
        <v>7932000</v>
      </c>
      <c r="H2141" s="4">
        <v>6317000</v>
      </c>
      <c r="I2141" s="2">
        <f t="shared" si="167"/>
        <v>0.79639435199193143</v>
      </c>
      <c r="J2141" s="4">
        <v>6317000</v>
      </c>
      <c r="K2141" s="2">
        <f t="shared" si="168"/>
        <v>0.79639435199193143</v>
      </c>
      <c r="L2141" t="s">
        <v>1582</v>
      </c>
      <c r="M2141" t="s">
        <v>432</v>
      </c>
      <c r="N2141" t="b">
        <f t="shared" si="169"/>
        <v>0</v>
      </c>
    </row>
    <row r="2142" spans="1:14" x14ac:dyDescent="0.15">
      <c r="A2142" t="s">
        <v>14197</v>
      </c>
      <c r="B2142" t="s">
        <v>14200</v>
      </c>
      <c r="C2142" t="s">
        <v>14322</v>
      </c>
      <c r="D2142" t="s">
        <v>23</v>
      </c>
      <c r="E2142" t="s">
        <v>14323</v>
      </c>
      <c r="F2142" s="5">
        <f t="shared" si="170"/>
        <v>8664000</v>
      </c>
      <c r="G2142" s="5">
        <v>8664000</v>
      </c>
      <c r="H2142" s="4">
        <v>6899000</v>
      </c>
      <c r="I2142" s="2">
        <f t="shared" si="167"/>
        <v>0.79628347183748849</v>
      </c>
      <c r="J2142" s="4">
        <v>6899000</v>
      </c>
      <c r="K2142" s="2">
        <f t="shared" si="168"/>
        <v>0.79628347183748849</v>
      </c>
      <c r="L2142" t="s">
        <v>1582</v>
      </c>
      <c r="M2142" t="s">
        <v>432</v>
      </c>
      <c r="N2142" t="b">
        <f t="shared" si="169"/>
        <v>0</v>
      </c>
    </row>
    <row r="2143" spans="1:14" x14ac:dyDescent="0.15">
      <c r="A2143" t="s">
        <v>14197</v>
      </c>
      <c r="B2143" t="s">
        <v>14200</v>
      </c>
      <c r="C2143" t="s">
        <v>14324</v>
      </c>
      <c r="D2143" t="s">
        <v>23</v>
      </c>
      <c r="E2143" t="s">
        <v>14325</v>
      </c>
      <c r="F2143" s="5">
        <f t="shared" si="170"/>
        <v>4250000</v>
      </c>
      <c r="G2143" s="5">
        <v>4250000</v>
      </c>
      <c r="H2143" s="4">
        <v>3387000</v>
      </c>
      <c r="I2143" s="2">
        <f t="shared" si="167"/>
        <v>0.79694117647058826</v>
      </c>
      <c r="J2143" s="4">
        <v>4000000</v>
      </c>
      <c r="K2143" s="2">
        <f t="shared" si="168"/>
        <v>0.94117647058823528</v>
      </c>
      <c r="L2143" t="s">
        <v>14274</v>
      </c>
      <c r="M2143" t="s">
        <v>1015</v>
      </c>
      <c r="N2143" t="b">
        <f t="shared" si="169"/>
        <v>0</v>
      </c>
    </row>
    <row r="2144" spans="1:14" x14ac:dyDescent="0.15">
      <c r="A2144" t="s">
        <v>14326</v>
      </c>
      <c r="B2144" t="s">
        <v>14329</v>
      </c>
      <c r="C2144" t="s">
        <v>14327</v>
      </c>
      <c r="D2144" t="s">
        <v>23</v>
      </c>
      <c r="E2144" t="s">
        <v>14328</v>
      </c>
      <c r="F2144" s="5">
        <v>12340000</v>
      </c>
      <c r="G2144" s="5">
        <v>12340000</v>
      </c>
      <c r="H2144" s="4">
        <v>9906000</v>
      </c>
      <c r="I2144" s="2">
        <f t="shared" si="167"/>
        <v>0.80275526742301462</v>
      </c>
      <c r="J2144" s="4">
        <v>11500000</v>
      </c>
      <c r="K2144" s="2">
        <f t="shared" si="168"/>
        <v>0.93192868719611022</v>
      </c>
      <c r="L2144" t="s">
        <v>5068</v>
      </c>
      <c r="M2144" t="s">
        <v>165</v>
      </c>
      <c r="N2144" t="b">
        <f t="shared" si="169"/>
        <v>0</v>
      </c>
    </row>
    <row r="2145" spans="1:14" x14ac:dyDescent="0.15">
      <c r="A2145" t="s">
        <v>14326</v>
      </c>
      <c r="B2145" t="s">
        <v>14329</v>
      </c>
      <c r="C2145" t="s">
        <v>14330</v>
      </c>
      <c r="D2145" t="s">
        <v>23</v>
      </c>
      <c r="E2145" t="s">
        <v>14331</v>
      </c>
      <c r="F2145" s="5">
        <v>3983000</v>
      </c>
      <c r="G2145" s="5">
        <v>3983000</v>
      </c>
      <c r="I2145" s="2">
        <f t="shared" si="167"/>
        <v>0</v>
      </c>
      <c r="J2145" s="4">
        <v>3780000</v>
      </c>
      <c r="K2145" s="2">
        <f t="shared" si="168"/>
        <v>0.94903339191564151</v>
      </c>
      <c r="L2145" t="s">
        <v>14332</v>
      </c>
      <c r="M2145" t="s">
        <v>1015</v>
      </c>
      <c r="N2145" t="b">
        <f t="shared" si="169"/>
        <v>0</v>
      </c>
    </row>
    <row r="2146" spans="1:14" x14ac:dyDescent="0.15">
      <c r="A2146" t="s">
        <v>14326</v>
      </c>
      <c r="B2146" t="s">
        <v>14329</v>
      </c>
      <c r="C2146" t="s">
        <v>14333</v>
      </c>
      <c r="D2146" t="s">
        <v>23</v>
      </c>
      <c r="E2146" t="s">
        <v>14334</v>
      </c>
      <c r="F2146" s="5">
        <v>8079000</v>
      </c>
      <c r="G2146" s="5">
        <v>8079000</v>
      </c>
      <c r="H2146" s="4">
        <v>6357000</v>
      </c>
      <c r="I2146" s="2">
        <f t="shared" si="167"/>
        <v>0.78685480876346081</v>
      </c>
      <c r="J2146" s="4">
        <v>7550000</v>
      </c>
      <c r="K2146" s="2">
        <f t="shared" si="168"/>
        <v>0.93452159920782274</v>
      </c>
      <c r="L2146" t="s">
        <v>14335</v>
      </c>
      <c r="M2146" t="s">
        <v>165</v>
      </c>
      <c r="N2146" t="b">
        <f t="shared" si="169"/>
        <v>0</v>
      </c>
    </row>
    <row r="2147" spans="1:14" x14ac:dyDescent="0.15">
      <c r="A2147" t="s">
        <v>14326</v>
      </c>
      <c r="B2147" t="s">
        <v>14329</v>
      </c>
      <c r="C2147" t="s">
        <v>14336</v>
      </c>
      <c r="D2147" t="s">
        <v>23</v>
      </c>
      <c r="E2147" t="s">
        <v>14337</v>
      </c>
      <c r="F2147" s="5">
        <v>8260000</v>
      </c>
      <c r="G2147" s="5">
        <v>8260000</v>
      </c>
      <c r="I2147" s="2">
        <f t="shared" si="167"/>
        <v>0</v>
      </c>
      <c r="J2147" s="4">
        <v>7700000</v>
      </c>
      <c r="K2147" s="2">
        <f t="shared" si="168"/>
        <v>0.93220338983050843</v>
      </c>
      <c r="L2147" t="s">
        <v>4816</v>
      </c>
      <c r="M2147" t="s">
        <v>165</v>
      </c>
      <c r="N2147" t="b">
        <f t="shared" si="169"/>
        <v>0</v>
      </c>
    </row>
    <row r="2148" spans="1:14" x14ac:dyDescent="0.15">
      <c r="A2148" t="s">
        <v>14326</v>
      </c>
      <c r="B2148" t="s">
        <v>14329</v>
      </c>
      <c r="C2148" t="s">
        <v>13944</v>
      </c>
      <c r="D2148" t="s">
        <v>23</v>
      </c>
      <c r="E2148" t="s">
        <v>14338</v>
      </c>
      <c r="F2148" s="5">
        <v>6008000</v>
      </c>
      <c r="G2148" s="5">
        <v>6008000</v>
      </c>
      <c r="H2148" s="4">
        <v>4806400</v>
      </c>
      <c r="I2148" s="2">
        <f t="shared" si="167"/>
        <v>0.8</v>
      </c>
      <c r="J2148" s="4">
        <v>4845000</v>
      </c>
      <c r="K2148" s="2">
        <f t="shared" si="168"/>
        <v>0.80642476697736354</v>
      </c>
      <c r="L2148" t="s">
        <v>360</v>
      </c>
      <c r="M2148" t="s">
        <v>165</v>
      </c>
      <c r="N2148" t="b">
        <f t="shared" si="169"/>
        <v>0</v>
      </c>
    </row>
    <row r="2149" spans="1:14" x14ac:dyDescent="0.15">
      <c r="A2149" t="s">
        <v>14326</v>
      </c>
      <c r="B2149" t="s">
        <v>14329</v>
      </c>
      <c r="C2149" t="s">
        <v>14339</v>
      </c>
      <c r="D2149" t="s">
        <v>23</v>
      </c>
      <c r="E2149" t="s">
        <v>14340</v>
      </c>
      <c r="F2149" s="5">
        <v>13506000</v>
      </c>
      <c r="G2149" s="5">
        <v>13506000</v>
      </c>
      <c r="H2149" s="4">
        <v>10804800</v>
      </c>
      <c r="I2149" s="2">
        <f t="shared" si="167"/>
        <v>0.8</v>
      </c>
      <c r="J2149" s="4">
        <v>10900000</v>
      </c>
      <c r="K2149" s="2">
        <f t="shared" si="168"/>
        <v>0.80704871908781284</v>
      </c>
      <c r="L2149" t="s">
        <v>64</v>
      </c>
      <c r="M2149" t="s">
        <v>165</v>
      </c>
      <c r="N2149" t="b">
        <f t="shared" si="169"/>
        <v>0</v>
      </c>
    </row>
    <row r="2150" spans="1:14" x14ac:dyDescent="0.15">
      <c r="A2150" t="s">
        <v>14326</v>
      </c>
      <c r="B2150" t="s">
        <v>14329</v>
      </c>
      <c r="C2150" t="s">
        <v>14341</v>
      </c>
      <c r="D2150" t="s">
        <v>23</v>
      </c>
      <c r="E2150" t="s">
        <v>14342</v>
      </c>
      <c r="F2150" s="5">
        <v>28488000</v>
      </c>
      <c r="G2150" s="5">
        <v>28488000</v>
      </c>
      <c r="H2150" s="4">
        <v>22790400</v>
      </c>
      <c r="I2150" s="2">
        <f t="shared" si="167"/>
        <v>0.8</v>
      </c>
      <c r="J2150" s="4">
        <v>23500000</v>
      </c>
      <c r="K2150" s="2">
        <f t="shared" si="168"/>
        <v>0.82490873350182536</v>
      </c>
      <c r="L2150" t="s">
        <v>5186</v>
      </c>
      <c r="M2150" t="s">
        <v>174</v>
      </c>
      <c r="N2150" t="b">
        <f t="shared" si="169"/>
        <v>0</v>
      </c>
    </row>
    <row r="2151" spans="1:14" x14ac:dyDescent="0.15">
      <c r="A2151" t="s">
        <v>14326</v>
      </c>
      <c r="B2151" t="s">
        <v>14329</v>
      </c>
      <c r="C2151" t="s">
        <v>14343</v>
      </c>
      <c r="D2151" t="s">
        <v>23</v>
      </c>
      <c r="E2151" t="s">
        <v>14344</v>
      </c>
      <c r="F2151" s="5">
        <v>3500000</v>
      </c>
      <c r="G2151" s="5">
        <v>3500000</v>
      </c>
      <c r="I2151" s="2">
        <f t="shared" si="167"/>
        <v>0</v>
      </c>
      <c r="J2151" s="4">
        <v>3480000</v>
      </c>
      <c r="K2151" s="2">
        <f t="shared" si="168"/>
        <v>0.99428571428571433</v>
      </c>
      <c r="L2151" t="s">
        <v>1262</v>
      </c>
      <c r="M2151" t="s">
        <v>1015</v>
      </c>
      <c r="N2151" t="b">
        <f t="shared" si="169"/>
        <v>0</v>
      </c>
    </row>
    <row r="2152" spans="1:14" x14ac:dyDescent="0.15">
      <c r="A2152" t="s">
        <v>14326</v>
      </c>
      <c r="B2152" t="s">
        <v>14329</v>
      </c>
      <c r="C2152" t="s">
        <v>14345</v>
      </c>
      <c r="D2152" t="s">
        <v>23</v>
      </c>
      <c r="E2152" t="s">
        <v>5018</v>
      </c>
      <c r="F2152" s="5">
        <v>6973000</v>
      </c>
      <c r="G2152" s="5">
        <v>6973000</v>
      </c>
      <c r="H2152" s="4">
        <v>5578400</v>
      </c>
      <c r="I2152" s="2">
        <f t="shared" si="167"/>
        <v>0.8</v>
      </c>
      <c r="J2152" s="4">
        <v>6500000</v>
      </c>
      <c r="K2152" s="2">
        <f t="shared" si="168"/>
        <v>0.93216692958554426</v>
      </c>
      <c r="L2152" t="s">
        <v>14346</v>
      </c>
      <c r="M2152" t="s">
        <v>165</v>
      </c>
      <c r="N2152" t="b">
        <f t="shared" si="169"/>
        <v>0</v>
      </c>
    </row>
    <row r="2153" spans="1:14" x14ac:dyDescent="0.15">
      <c r="A2153" t="s">
        <v>14326</v>
      </c>
      <c r="B2153" t="s">
        <v>14329</v>
      </c>
      <c r="C2153" t="s">
        <v>14347</v>
      </c>
      <c r="D2153" t="s">
        <v>23</v>
      </c>
      <c r="E2153" t="s">
        <v>10719</v>
      </c>
      <c r="F2153" s="5">
        <v>8126000</v>
      </c>
      <c r="G2153" s="5">
        <v>8126000</v>
      </c>
      <c r="H2153" s="4">
        <v>6500800</v>
      </c>
      <c r="I2153" s="2">
        <f t="shared" si="167"/>
        <v>0.8</v>
      </c>
      <c r="J2153" s="4">
        <v>7650000</v>
      </c>
      <c r="K2153" s="2">
        <f t="shared" si="168"/>
        <v>0.94142259414225937</v>
      </c>
      <c r="L2153" t="s">
        <v>5068</v>
      </c>
      <c r="M2153" t="s">
        <v>165</v>
      </c>
      <c r="N2153" t="b">
        <f t="shared" si="169"/>
        <v>0</v>
      </c>
    </row>
    <row r="2154" spans="1:14" x14ac:dyDescent="0.15">
      <c r="A2154" t="s">
        <v>14326</v>
      </c>
      <c r="B2154" t="s">
        <v>14329</v>
      </c>
      <c r="C2154" t="s">
        <v>14348</v>
      </c>
      <c r="D2154" t="s">
        <v>23</v>
      </c>
      <c r="E2154" t="s">
        <v>5035</v>
      </c>
      <c r="F2154" s="5">
        <v>2427000</v>
      </c>
      <c r="G2154" s="5">
        <v>2427000</v>
      </c>
      <c r="I2154" s="2">
        <f t="shared" si="167"/>
        <v>0</v>
      </c>
      <c r="J2154" s="4">
        <v>2200000</v>
      </c>
      <c r="K2154" s="2">
        <f t="shared" si="168"/>
        <v>0.90646889163576427</v>
      </c>
      <c r="L2154" t="s">
        <v>360</v>
      </c>
      <c r="M2154" t="s">
        <v>1015</v>
      </c>
      <c r="N2154" t="b">
        <f t="shared" si="169"/>
        <v>0</v>
      </c>
    </row>
    <row r="2155" spans="1:14" x14ac:dyDescent="0.15">
      <c r="A2155" t="s">
        <v>14326</v>
      </c>
      <c r="B2155" t="s">
        <v>14329</v>
      </c>
      <c r="C2155" t="s">
        <v>14349</v>
      </c>
      <c r="D2155" t="s">
        <v>23</v>
      </c>
      <c r="E2155" t="s">
        <v>14350</v>
      </c>
      <c r="F2155" s="5">
        <v>2150000</v>
      </c>
      <c r="G2155" s="5">
        <v>2150000</v>
      </c>
      <c r="I2155" s="2">
        <f t="shared" si="167"/>
        <v>0</v>
      </c>
      <c r="J2155" s="4">
        <v>290000</v>
      </c>
      <c r="K2155" s="2">
        <f t="shared" si="168"/>
        <v>0.13488372093023257</v>
      </c>
      <c r="L2155" t="s">
        <v>1195</v>
      </c>
      <c r="M2155" t="s">
        <v>1015</v>
      </c>
      <c r="N2155" t="b">
        <f t="shared" si="169"/>
        <v>0</v>
      </c>
    </row>
    <row r="2156" spans="1:14" x14ac:dyDescent="0.15">
      <c r="A2156" t="s">
        <v>14326</v>
      </c>
      <c r="B2156" t="s">
        <v>14329</v>
      </c>
      <c r="C2156" t="s">
        <v>14351</v>
      </c>
      <c r="D2156" t="s">
        <v>23</v>
      </c>
      <c r="E2156" t="s">
        <v>14352</v>
      </c>
      <c r="F2156" s="5">
        <v>5965000</v>
      </c>
      <c r="G2156" s="5">
        <v>5965000</v>
      </c>
      <c r="H2156" s="4">
        <v>4766000</v>
      </c>
      <c r="I2156" s="2">
        <f t="shared" si="167"/>
        <v>0.79899413243922879</v>
      </c>
      <c r="J2156" s="4">
        <v>5600000</v>
      </c>
      <c r="K2156" s="2">
        <f t="shared" si="168"/>
        <v>0.93880972338642077</v>
      </c>
      <c r="L2156" t="s">
        <v>701</v>
      </c>
      <c r="M2156" t="s">
        <v>165</v>
      </c>
      <c r="N2156" t="b">
        <f t="shared" si="169"/>
        <v>0</v>
      </c>
    </row>
    <row r="2157" spans="1:14" x14ac:dyDescent="0.15">
      <c r="A2157" t="s">
        <v>14326</v>
      </c>
      <c r="B2157" t="s">
        <v>14329</v>
      </c>
      <c r="C2157" t="s">
        <v>14353</v>
      </c>
      <c r="D2157" t="s">
        <v>23</v>
      </c>
      <c r="E2157" t="s">
        <v>14354</v>
      </c>
      <c r="F2157" s="5">
        <v>1330000</v>
      </c>
      <c r="G2157" s="5">
        <v>1330000</v>
      </c>
      <c r="I2157" s="2">
        <f t="shared" si="167"/>
        <v>0</v>
      </c>
      <c r="J2157" s="4">
        <v>1150000</v>
      </c>
      <c r="K2157" s="2">
        <f t="shared" si="168"/>
        <v>0.86466165413533835</v>
      </c>
      <c r="L2157" t="s">
        <v>4816</v>
      </c>
      <c r="M2157" t="s">
        <v>1015</v>
      </c>
      <c r="N2157" t="b">
        <f t="shared" si="169"/>
        <v>0</v>
      </c>
    </row>
    <row r="2158" spans="1:14" x14ac:dyDescent="0.15">
      <c r="A2158" t="s">
        <v>14326</v>
      </c>
      <c r="B2158" t="s">
        <v>14329</v>
      </c>
      <c r="C2158" t="s">
        <v>14355</v>
      </c>
      <c r="D2158" t="s">
        <v>23</v>
      </c>
      <c r="E2158" t="s">
        <v>14356</v>
      </c>
      <c r="F2158" s="5">
        <v>6795000</v>
      </c>
      <c r="G2158" s="5">
        <v>6795000</v>
      </c>
      <c r="H2158" s="4">
        <v>5387200</v>
      </c>
      <c r="I2158" s="2">
        <f t="shared" si="167"/>
        <v>0.79281824871228845</v>
      </c>
      <c r="J2158" s="4">
        <v>6400000</v>
      </c>
      <c r="K2158" s="2">
        <f t="shared" si="168"/>
        <v>0.94186902133922001</v>
      </c>
      <c r="L2158" t="s">
        <v>14357</v>
      </c>
      <c r="M2158" t="s">
        <v>165</v>
      </c>
      <c r="N2158" t="b">
        <f t="shared" si="169"/>
        <v>0</v>
      </c>
    </row>
    <row r="2159" spans="1:14" x14ac:dyDescent="0.15">
      <c r="A2159" t="s">
        <v>14326</v>
      </c>
      <c r="B2159" t="s">
        <v>14329</v>
      </c>
      <c r="C2159" t="s">
        <v>14358</v>
      </c>
      <c r="D2159" t="s">
        <v>23</v>
      </c>
      <c r="E2159" t="s">
        <v>14359</v>
      </c>
      <c r="F2159" s="5">
        <v>7226000</v>
      </c>
      <c r="G2159" s="5">
        <v>7226000</v>
      </c>
      <c r="H2159" s="4">
        <v>5755000</v>
      </c>
      <c r="I2159" s="2">
        <f t="shared" si="167"/>
        <v>0.79642955992250208</v>
      </c>
      <c r="J2159" s="4">
        <v>6200000</v>
      </c>
      <c r="K2159" s="2">
        <f t="shared" si="168"/>
        <v>0.85801273180182669</v>
      </c>
      <c r="L2159" t="s">
        <v>360</v>
      </c>
      <c r="M2159" t="s">
        <v>165</v>
      </c>
      <c r="N2159" t="b">
        <f t="shared" si="169"/>
        <v>0</v>
      </c>
    </row>
    <row r="2160" spans="1:14" x14ac:dyDescent="0.15">
      <c r="A2160" t="s">
        <v>14326</v>
      </c>
      <c r="B2160" t="s">
        <v>14329</v>
      </c>
      <c r="C2160" t="s">
        <v>14360</v>
      </c>
      <c r="D2160" t="s">
        <v>23</v>
      </c>
      <c r="E2160" t="s">
        <v>14361</v>
      </c>
      <c r="F2160" s="5">
        <v>18681000</v>
      </c>
      <c r="G2160" s="5">
        <v>18681000</v>
      </c>
      <c r="H2160" s="4">
        <v>14697000</v>
      </c>
      <c r="I2160" s="2">
        <f t="shared" si="167"/>
        <v>0.78673518548257593</v>
      </c>
      <c r="J2160" s="4">
        <v>15150000</v>
      </c>
      <c r="K2160" s="2">
        <f t="shared" si="168"/>
        <v>0.81098442267544568</v>
      </c>
      <c r="L2160" t="s">
        <v>5068</v>
      </c>
      <c r="M2160" t="s">
        <v>174</v>
      </c>
      <c r="N2160" t="b">
        <f t="shared" si="169"/>
        <v>0</v>
      </c>
    </row>
    <row r="2161" spans="1:14" x14ac:dyDescent="0.15">
      <c r="A2161" t="s">
        <v>14326</v>
      </c>
      <c r="B2161" t="s">
        <v>14329</v>
      </c>
      <c r="C2161" t="s">
        <v>14362</v>
      </c>
      <c r="D2161" t="s">
        <v>23</v>
      </c>
      <c r="E2161" t="s">
        <v>14363</v>
      </c>
      <c r="F2161" s="5">
        <v>6530000</v>
      </c>
      <c r="G2161" s="5">
        <v>6530000</v>
      </c>
      <c r="I2161" s="2">
        <f t="shared" si="167"/>
        <v>0</v>
      </c>
      <c r="J2161" s="4">
        <v>5800000</v>
      </c>
      <c r="K2161" s="2">
        <f t="shared" si="168"/>
        <v>0.88820826952526799</v>
      </c>
      <c r="L2161" t="s">
        <v>4797</v>
      </c>
      <c r="M2161" t="s">
        <v>165</v>
      </c>
      <c r="N2161" t="b">
        <f t="shared" si="169"/>
        <v>0</v>
      </c>
    </row>
    <row r="2162" spans="1:14" x14ac:dyDescent="0.15">
      <c r="A2162" t="s">
        <v>14326</v>
      </c>
      <c r="B2162" t="s">
        <v>14329</v>
      </c>
      <c r="C2162" t="s">
        <v>14364</v>
      </c>
      <c r="D2162" t="s">
        <v>23</v>
      </c>
      <c r="E2162" t="s">
        <v>14119</v>
      </c>
      <c r="F2162" s="5">
        <f>G2162</f>
        <v>17900000</v>
      </c>
      <c r="G2162" s="5">
        <v>17900000</v>
      </c>
      <c r="H2162" s="4">
        <v>14240000</v>
      </c>
      <c r="I2162" s="2">
        <f t="shared" si="167"/>
        <v>0.79553072625698329</v>
      </c>
      <c r="J2162" s="4">
        <v>16500000</v>
      </c>
      <c r="K2162" s="2">
        <f t="shared" si="168"/>
        <v>0.92178770949720668</v>
      </c>
      <c r="L2162" t="s">
        <v>5068</v>
      </c>
      <c r="M2162" t="s">
        <v>165</v>
      </c>
      <c r="N2162" t="b">
        <f t="shared" si="169"/>
        <v>0</v>
      </c>
    </row>
    <row r="2163" spans="1:14" x14ac:dyDescent="0.15">
      <c r="A2163" t="s">
        <v>14326</v>
      </c>
      <c r="B2163" t="s">
        <v>14329</v>
      </c>
      <c r="C2163" t="s">
        <v>14365</v>
      </c>
      <c r="D2163" t="s">
        <v>23</v>
      </c>
      <c r="E2163" t="s">
        <v>14366</v>
      </c>
      <c r="F2163" s="5">
        <v>5873000</v>
      </c>
      <c r="G2163" s="5">
        <v>5873000</v>
      </c>
      <c r="I2163" s="2">
        <f t="shared" si="167"/>
        <v>0</v>
      </c>
      <c r="J2163" s="4">
        <v>5250000</v>
      </c>
      <c r="K2163" s="2">
        <f t="shared" si="168"/>
        <v>0.89392133492252679</v>
      </c>
      <c r="L2163" t="s">
        <v>5068</v>
      </c>
      <c r="M2163" t="s">
        <v>165</v>
      </c>
      <c r="N2163" t="b">
        <f t="shared" si="169"/>
        <v>0</v>
      </c>
    </row>
    <row r="2164" spans="1:14" x14ac:dyDescent="0.15">
      <c r="A2164" t="s">
        <v>14326</v>
      </c>
      <c r="B2164" t="s">
        <v>14329</v>
      </c>
      <c r="C2164" t="s">
        <v>14367</v>
      </c>
      <c r="D2164" t="s">
        <v>23</v>
      </c>
      <c r="E2164" t="s">
        <v>14368</v>
      </c>
      <c r="F2164" s="5">
        <v>6353000</v>
      </c>
      <c r="G2164" s="5">
        <v>6353000</v>
      </c>
      <c r="I2164" s="2">
        <f t="shared" si="167"/>
        <v>0</v>
      </c>
      <c r="J2164" s="4">
        <v>5540000</v>
      </c>
      <c r="K2164" s="2">
        <f t="shared" si="168"/>
        <v>0.87202896269478991</v>
      </c>
      <c r="L2164" t="s">
        <v>5186</v>
      </c>
      <c r="M2164" t="s">
        <v>192</v>
      </c>
      <c r="N2164" t="b">
        <f t="shared" si="169"/>
        <v>0</v>
      </c>
    </row>
    <row r="2165" spans="1:14" x14ac:dyDescent="0.15">
      <c r="A2165" t="s">
        <v>14326</v>
      </c>
      <c r="B2165" t="s">
        <v>14329</v>
      </c>
      <c r="C2165" t="s">
        <v>14369</v>
      </c>
      <c r="D2165" t="s">
        <v>23</v>
      </c>
      <c r="E2165" t="s">
        <v>14370</v>
      </c>
      <c r="F2165" s="5">
        <v>14740000</v>
      </c>
      <c r="G2165" s="5">
        <v>14740000</v>
      </c>
      <c r="H2165" s="4">
        <v>11727000</v>
      </c>
      <c r="I2165" s="2">
        <f t="shared" si="167"/>
        <v>0.79559023066485757</v>
      </c>
      <c r="J2165" s="4">
        <v>13800000</v>
      </c>
      <c r="K2165" s="2">
        <f t="shared" si="168"/>
        <v>0.93622795115332424</v>
      </c>
      <c r="L2165" t="s">
        <v>4816</v>
      </c>
      <c r="M2165" t="s">
        <v>165</v>
      </c>
      <c r="N2165" t="b">
        <f t="shared" si="169"/>
        <v>0</v>
      </c>
    </row>
    <row r="2166" spans="1:14" x14ac:dyDescent="0.15">
      <c r="A2166" t="s">
        <v>14371</v>
      </c>
      <c r="B2166" t="s">
        <v>14374</v>
      </c>
      <c r="C2166" t="s">
        <v>14372</v>
      </c>
      <c r="D2166" t="s">
        <v>23</v>
      </c>
      <c r="E2166" t="s">
        <v>14373</v>
      </c>
      <c r="F2166" s="5">
        <f t="shared" ref="F2166:F2229" si="171">G2166</f>
        <v>12320000</v>
      </c>
      <c r="G2166" s="5">
        <v>12320000</v>
      </c>
      <c r="H2166" s="4">
        <v>9892000</v>
      </c>
      <c r="I2166" s="2">
        <f t="shared" si="167"/>
        <v>0.80292207792207793</v>
      </c>
      <c r="J2166" s="4">
        <v>11400000</v>
      </c>
      <c r="K2166" s="2">
        <f t="shared" si="168"/>
        <v>0.92532467532467533</v>
      </c>
      <c r="L2166" t="s">
        <v>4042</v>
      </c>
      <c r="M2166" t="s">
        <v>174</v>
      </c>
      <c r="N2166" t="b">
        <f t="shared" si="169"/>
        <v>0</v>
      </c>
    </row>
    <row r="2167" spans="1:14" x14ac:dyDescent="0.15">
      <c r="A2167" t="s">
        <v>14371</v>
      </c>
      <c r="B2167" t="s">
        <v>14376</v>
      </c>
      <c r="C2167" t="s">
        <v>14375</v>
      </c>
      <c r="D2167" t="s">
        <v>23</v>
      </c>
      <c r="E2167" t="s">
        <v>13168</v>
      </c>
      <c r="F2167" s="5">
        <f t="shared" si="171"/>
        <v>12935000</v>
      </c>
      <c r="G2167" s="5">
        <v>12935000</v>
      </c>
      <c r="H2167" s="4">
        <v>10377000</v>
      </c>
      <c r="I2167" s="2">
        <f t="shared" si="167"/>
        <v>0.80224197912640127</v>
      </c>
      <c r="J2167" s="4">
        <v>12500000</v>
      </c>
      <c r="K2167" s="2">
        <f t="shared" si="168"/>
        <v>0.96637031310398147</v>
      </c>
      <c r="L2167" t="s">
        <v>64</v>
      </c>
      <c r="M2167" t="s">
        <v>165</v>
      </c>
      <c r="N2167" t="b">
        <f t="shared" si="169"/>
        <v>0</v>
      </c>
    </row>
    <row r="2168" spans="1:14" x14ac:dyDescent="0.15">
      <c r="A2168" t="s">
        <v>14371</v>
      </c>
      <c r="B2168" t="s">
        <v>14376</v>
      </c>
      <c r="C2168" t="s">
        <v>14377</v>
      </c>
      <c r="D2168" t="s">
        <v>23</v>
      </c>
      <c r="E2168" t="s">
        <v>14378</v>
      </c>
      <c r="F2168" s="5">
        <f t="shared" si="171"/>
        <v>1567000</v>
      </c>
      <c r="G2168" s="5">
        <v>1567000</v>
      </c>
      <c r="I2168" s="2">
        <f t="shared" si="167"/>
        <v>0</v>
      </c>
      <c r="J2168" s="4">
        <v>1550000</v>
      </c>
      <c r="K2168" s="2">
        <f t="shared" si="168"/>
        <v>0.98915124441608171</v>
      </c>
      <c r="L2168" t="s">
        <v>64</v>
      </c>
      <c r="M2168" t="s">
        <v>21</v>
      </c>
      <c r="N2168" t="b">
        <f t="shared" si="169"/>
        <v>0</v>
      </c>
    </row>
    <row r="2169" spans="1:14" x14ac:dyDescent="0.15">
      <c r="A2169" t="s">
        <v>14371</v>
      </c>
      <c r="B2169" t="s">
        <v>14376</v>
      </c>
      <c r="C2169" t="s">
        <v>14379</v>
      </c>
      <c r="D2169" t="s">
        <v>23</v>
      </c>
      <c r="E2169" t="s">
        <v>14380</v>
      </c>
      <c r="F2169" s="5">
        <f t="shared" si="171"/>
        <v>11749000</v>
      </c>
      <c r="G2169" s="5">
        <v>11749000</v>
      </c>
      <c r="H2169" s="4">
        <v>9428000</v>
      </c>
      <c r="I2169" s="2">
        <f t="shared" si="167"/>
        <v>0.80245127244871906</v>
      </c>
      <c r="J2169" s="4">
        <v>9428000</v>
      </c>
      <c r="K2169" s="2">
        <f t="shared" si="168"/>
        <v>0.80245127244871906</v>
      </c>
      <c r="L2169" t="s">
        <v>633</v>
      </c>
      <c r="M2169" t="s">
        <v>165</v>
      </c>
      <c r="N2169" t="b">
        <f t="shared" si="169"/>
        <v>0</v>
      </c>
    </row>
    <row r="2170" spans="1:14" x14ac:dyDescent="0.15">
      <c r="A2170" t="s">
        <v>14371</v>
      </c>
      <c r="B2170" t="s">
        <v>14383</v>
      </c>
      <c r="C2170" t="s">
        <v>14381</v>
      </c>
      <c r="D2170" t="s">
        <v>23</v>
      </c>
      <c r="E2170" t="s">
        <v>14382</v>
      </c>
      <c r="F2170" s="5">
        <f t="shared" si="171"/>
        <v>2717000</v>
      </c>
      <c r="G2170" s="5">
        <v>2717000</v>
      </c>
      <c r="I2170" s="2">
        <f t="shared" si="167"/>
        <v>0</v>
      </c>
      <c r="J2170" s="4">
        <v>2550000</v>
      </c>
      <c r="K2170" s="2">
        <f t="shared" si="168"/>
        <v>0.93853514906146485</v>
      </c>
      <c r="L2170" t="s">
        <v>6112</v>
      </c>
      <c r="M2170" t="s">
        <v>21</v>
      </c>
      <c r="N2170" t="b">
        <f t="shared" si="169"/>
        <v>0</v>
      </c>
    </row>
    <row r="2171" spans="1:14" x14ac:dyDescent="0.15">
      <c r="A2171" t="s">
        <v>14371</v>
      </c>
      <c r="B2171" t="s">
        <v>14376</v>
      </c>
      <c r="C2171" t="s">
        <v>14384</v>
      </c>
      <c r="D2171" t="s">
        <v>23</v>
      </c>
      <c r="E2171" t="s">
        <v>14385</v>
      </c>
      <c r="F2171" s="5">
        <f t="shared" si="171"/>
        <v>9174000</v>
      </c>
      <c r="G2171" s="5">
        <v>9174000</v>
      </c>
      <c r="H2171" s="4">
        <v>7363000</v>
      </c>
      <c r="I2171" s="2">
        <f t="shared" si="167"/>
        <v>0.80259428820579903</v>
      </c>
      <c r="J2171" s="4">
        <v>7363000</v>
      </c>
      <c r="K2171" s="2">
        <f t="shared" si="168"/>
        <v>0.80259428820579903</v>
      </c>
      <c r="L2171" t="s">
        <v>39</v>
      </c>
      <c r="M2171" t="s">
        <v>165</v>
      </c>
      <c r="N2171" t="b">
        <f t="shared" si="169"/>
        <v>0</v>
      </c>
    </row>
    <row r="2172" spans="1:14" x14ac:dyDescent="0.15">
      <c r="A2172" t="s">
        <v>14371</v>
      </c>
      <c r="B2172" t="s">
        <v>14374</v>
      </c>
      <c r="C2172" t="s">
        <v>14386</v>
      </c>
      <c r="D2172" t="s">
        <v>23</v>
      </c>
      <c r="E2172" t="s">
        <v>14387</v>
      </c>
      <c r="F2172" s="5">
        <f t="shared" si="171"/>
        <v>35870000</v>
      </c>
      <c r="G2172" s="5">
        <v>35870000</v>
      </c>
      <c r="H2172" s="4">
        <v>28800000</v>
      </c>
      <c r="I2172" s="2">
        <f t="shared" si="167"/>
        <v>0.802899358795651</v>
      </c>
      <c r="J2172" s="4">
        <v>34000000</v>
      </c>
      <c r="K2172" s="2">
        <f t="shared" si="168"/>
        <v>0.94786729857819907</v>
      </c>
      <c r="L2172" t="s">
        <v>819</v>
      </c>
      <c r="M2172" t="s">
        <v>432</v>
      </c>
      <c r="N2172" t="b">
        <f t="shared" si="169"/>
        <v>0</v>
      </c>
    </row>
    <row r="2173" spans="1:14" x14ac:dyDescent="0.15">
      <c r="A2173" t="s">
        <v>14371</v>
      </c>
      <c r="B2173" t="s">
        <v>14376</v>
      </c>
      <c r="C2173" t="s">
        <v>14388</v>
      </c>
      <c r="D2173" t="s">
        <v>23</v>
      </c>
      <c r="E2173" t="s">
        <v>14389</v>
      </c>
      <c r="F2173" s="5">
        <f t="shared" si="171"/>
        <v>13176000</v>
      </c>
      <c r="G2173" s="5">
        <v>13176000</v>
      </c>
      <c r="H2173" s="4">
        <v>10573000</v>
      </c>
      <c r="I2173" s="2">
        <f t="shared" si="167"/>
        <v>0.80244383727990287</v>
      </c>
      <c r="J2173" s="4">
        <v>12500000</v>
      </c>
      <c r="K2173" s="2">
        <f t="shared" si="168"/>
        <v>0.94869459623557983</v>
      </c>
      <c r="L2173" t="s">
        <v>1104</v>
      </c>
      <c r="M2173" t="s">
        <v>165</v>
      </c>
      <c r="N2173" t="b">
        <f t="shared" si="169"/>
        <v>0</v>
      </c>
    </row>
    <row r="2174" spans="1:14" x14ac:dyDescent="0.15">
      <c r="A2174" t="s">
        <v>14371</v>
      </c>
      <c r="B2174" t="s">
        <v>14383</v>
      </c>
      <c r="C2174" t="s">
        <v>14390</v>
      </c>
      <c r="D2174" t="s">
        <v>23</v>
      </c>
      <c r="E2174" t="s">
        <v>14391</v>
      </c>
      <c r="F2174" s="5">
        <f t="shared" si="171"/>
        <v>15240000</v>
      </c>
      <c r="G2174" s="5">
        <v>15240000</v>
      </c>
      <c r="H2174" s="4">
        <v>12226000</v>
      </c>
      <c r="I2174" s="2">
        <f t="shared" si="167"/>
        <v>0.80223097112860897</v>
      </c>
      <c r="J2174" s="4">
        <v>13700000</v>
      </c>
      <c r="K2174" s="2">
        <f t="shared" si="168"/>
        <v>0.89895013123359579</v>
      </c>
      <c r="L2174" t="s">
        <v>14392</v>
      </c>
      <c r="M2174" t="s">
        <v>165</v>
      </c>
      <c r="N2174" t="b">
        <f t="shared" si="169"/>
        <v>0</v>
      </c>
    </row>
    <row r="2175" spans="1:14" x14ac:dyDescent="0.15">
      <c r="A2175" t="s">
        <v>14371</v>
      </c>
      <c r="B2175" t="s">
        <v>14374</v>
      </c>
      <c r="C2175" t="s">
        <v>14386</v>
      </c>
      <c r="D2175" t="s">
        <v>23</v>
      </c>
      <c r="E2175" t="s">
        <v>14393</v>
      </c>
      <c r="F2175" s="5">
        <f t="shared" si="171"/>
        <v>34140000</v>
      </c>
      <c r="G2175" s="5">
        <v>34140000</v>
      </c>
      <c r="H2175" t="s">
        <v>145</v>
      </c>
      <c r="I2175" s="2" t="e">
        <f t="shared" si="167"/>
        <v>#VALUE!</v>
      </c>
      <c r="K2175" s="2">
        <f t="shared" si="168"/>
        <v>0</v>
      </c>
      <c r="M2175" t="s">
        <v>432</v>
      </c>
      <c r="N2175" t="b">
        <f t="shared" si="169"/>
        <v>0</v>
      </c>
    </row>
    <row r="2176" spans="1:14" x14ac:dyDescent="0.15">
      <c r="A2176" t="s">
        <v>14371</v>
      </c>
      <c r="B2176" t="s">
        <v>14374</v>
      </c>
      <c r="C2176" t="s">
        <v>14394</v>
      </c>
      <c r="D2176" t="s">
        <v>23</v>
      </c>
      <c r="E2176" t="s">
        <v>14395</v>
      </c>
      <c r="F2176" s="5">
        <f t="shared" si="171"/>
        <v>9990000</v>
      </c>
      <c r="G2176" s="5">
        <v>9990000</v>
      </c>
      <c r="H2176" t="s">
        <v>145</v>
      </c>
      <c r="I2176" s="2" t="e">
        <f t="shared" si="167"/>
        <v>#VALUE!</v>
      </c>
      <c r="J2176" s="4">
        <v>8395000</v>
      </c>
      <c r="K2176" s="2">
        <f t="shared" si="168"/>
        <v>0.84034034034034033</v>
      </c>
      <c r="L2176" t="s">
        <v>4042</v>
      </c>
      <c r="M2176" t="s">
        <v>174</v>
      </c>
      <c r="N2176" t="b">
        <f t="shared" si="169"/>
        <v>0</v>
      </c>
    </row>
    <row r="2177" spans="1:14" x14ac:dyDescent="0.15">
      <c r="A2177" t="s">
        <v>14371</v>
      </c>
      <c r="B2177" t="s">
        <v>14383</v>
      </c>
      <c r="C2177" t="s">
        <v>14396</v>
      </c>
      <c r="D2177" t="s">
        <v>23</v>
      </c>
      <c r="E2177" t="s">
        <v>14397</v>
      </c>
      <c r="F2177" s="5">
        <f t="shared" si="171"/>
        <v>2721000</v>
      </c>
      <c r="G2177" s="5">
        <v>2721000</v>
      </c>
      <c r="I2177" s="2">
        <f t="shared" si="167"/>
        <v>0</v>
      </c>
      <c r="J2177" s="4">
        <v>2550000</v>
      </c>
      <c r="K2177" s="2">
        <f t="shared" si="168"/>
        <v>0.9371554575523704</v>
      </c>
      <c r="L2177" t="s">
        <v>6112</v>
      </c>
      <c r="M2177" t="s">
        <v>1015</v>
      </c>
      <c r="N2177" t="b">
        <f t="shared" si="169"/>
        <v>0</v>
      </c>
    </row>
    <row r="2178" spans="1:14" x14ac:dyDescent="0.15">
      <c r="A2178" t="s">
        <v>14371</v>
      </c>
      <c r="B2178" t="s">
        <v>14376</v>
      </c>
      <c r="C2178" t="s">
        <v>14398</v>
      </c>
      <c r="D2178" t="s">
        <v>23</v>
      </c>
      <c r="E2178" t="s">
        <v>13638</v>
      </c>
      <c r="F2178" s="5">
        <f t="shared" si="171"/>
        <v>8202000</v>
      </c>
      <c r="G2178" s="5">
        <v>8202000</v>
      </c>
      <c r="H2178" s="4">
        <v>6581000</v>
      </c>
      <c r="I2178" s="2">
        <f t="shared" si="167"/>
        <v>0.80236527676176539</v>
      </c>
      <c r="K2178" s="2">
        <f t="shared" si="168"/>
        <v>0</v>
      </c>
      <c r="M2178" t="s">
        <v>432</v>
      </c>
      <c r="N2178" t="b">
        <f t="shared" si="169"/>
        <v>0</v>
      </c>
    </row>
    <row r="2179" spans="1:14" x14ac:dyDescent="0.15">
      <c r="A2179" t="s">
        <v>14371</v>
      </c>
      <c r="B2179" t="s">
        <v>14376</v>
      </c>
      <c r="C2179" t="s">
        <v>14399</v>
      </c>
      <c r="D2179" t="s">
        <v>23</v>
      </c>
      <c r="E2179" t="s">
        <v>14400</v>
      </c>
      <c r="F2179" s="5">
        <f t="shared" si="171"/>
        <v>8903000</v>
      </c>
      <c r="G2179" s="5">
        <v>8903000</v>
      </c>
      <c r="H2179" s="4">
        <v>7144000</v>
      </c>
      <c r="I2179" s="2">
        <f t="shared" si="167"/>
        <v>0.80242614848927329</v>
      </c>
      <c r="J2179" s="4">
        <v>7144000</v>
      </c>
      <c r="K2179" s="2">
        <f t="shared" si="168"/>
        <v>0.80242614848927329</v>
      </c>
      <c r="L2179" t="s">
        <v>431</v>
      </c>
      <c r="M2179" t="s">
        <v>432</v>
      </c>
      <c r="N2179" t="b">
        <f t="shared" si="169"/>
        <v>0</v>
      </c>
    </row>
    <row r="2180" spans="1:14" x14ac:dyDescent="0.15">
      <c r="A2180" t="s">
        <v>14371</v>
      </c>
      <c r="B2180" t="s">
        <v>14376</v>
      </c>
      <c r="C2180" t="s">
        <v>14401</v>
      </c>
      <c r="D2180" t="s">
        <v>23</v>
      </c>
      <c r="E2180" t="s">
        <v>14402</v>
      </c>
      <c r="F2180" s="5">
        <f t="shared" si="171"/>
        <v>21043000</v>
      </c>
      <c r="G2180" s="5">
        <v>21043000</v>
      </c>
      <c r="H2180" s="4">
        <v>16896000</v>
      </c>
      <c r="I2180" s="2">
        <f t="shared" ref="I2180:I2243" si="172">H2180/G2180</f>
        <v>0.80292733925771043</v>
      </c>
      <c r="J2180" s="4">
        <v>16900000</v>
      </c>
      <c r="K2180" s="2">
        <f t="shared" ref="K2180:K2243" si="173">J2180/G2180</f>
        <v>0.80311742622249682</v>
      </c>
      <c r="L2180" t="s">
        <v>64</v>
      </c>
      <c r="M2180" t="s">
        <v>174</v>
      </c>
      <c r="N2180" t="b">
        <f t="shared" ref="N2180:N2243" si="174">F2180&lt;&gt;G2180</f>
        <v>0</v>
      </c>
    </row>
    <row r="2181" spans="1:14" x14ac:dyDescent="0.15">
      <c r="A2181" t="s">
        <v>14371</v>
      </c>
      <c r="B2181" t="s">
        <v>14383</v>
      </c>
      <c r="C2181" t="s">
        <v>14403</v>
      </c>
      <c r="D2181" t="s">
        <v>23</v>
      </c>
      <c r="E2181" t="s">
        <v>14404</v>
      </c>
      <c r="F2181" s="5">
        <f t="shared" si="171"/>
        <v>1400000</v>
      </c>
      <c r="G2181" s="5">
        <v>1400000</v>
      </c>
      <c r="I2181" s="2">
        <f t="shared" si="172"/>
        <v>0</v>
      </c>
      <c r="J2181" s="4">
        <v>1300000</v>
      </c>
      <c r="K2181" s="2">
        <f t="shared" si="173"/>
        <v>0.9285714285714286</v>
      </c>
      <c r="L2181" t="s">
        <v>14392</v>
      </c>
      <c r="M2181" t="s">
        <v>21</v>
      </c>
      <c r="N2181" t="b">
        <f t="shared" si="174"/>
        <v>0</v>
      </c>
    </row>
    <row r="2182" spans="1:14" x14ac:dyDescent="0.15">
      <c r="A2182" t="s">
        <v>14371</v>
      </c>
      <c r="B2182" t="s">
        <v>14407</v>
      </c>
      <c r="C2182" t="s">
        <v>14405</v>
      </c>
      <c r="D2182" t="s">
        <v>23</v>
      </c>
      <c r="E2182" t="s">
        <v>14406</v>
      </c>
      <c r="F2182" s="5">
        <f t="shared" si="171"/>
        <v>7150000</v>
      </c>
      <c r="G2182" s="5">
        <v>7150000</v>
      </c>
      <c r="H2182" s="4">
        <v>5736000</v>
      </c>
      <c r="I2182" s="2">
        <f t="shared" si="172"/>
        <v>0.80223776223776222</v>
      </c>
      <c r="J2182" s="4">
        <v>5739000</v>
      </c>
      <c r="K2182" s="2">
        <f t="shared" si="173"/>
        <v>0.80265734265734268</v>
      </c>
      <c r="L2182" t="s">
        <v>256</v>
      </c>
      <c r="M2182" t="s">
        <v>165</v>
      </c>
      <c r="N2182" t="b">
        <f t="shared" si="174"/>
        <v>0</v>
      </c>
    </row>
    <row r="2183" spans="1:14" x14ac:dyDescent="0.15">
      <c r="A2183" t="s">
        <v>14371</v>
      </c>
      <c r="B2183" t="s">
        <v>14383</v>
      </c>
      <c r="C2183" t="s">
        <v>14408</v>
      </c>
      <c r="D2183" t="s">
        <v>23</v>
      </c>
      <c r="E2183" t="s">
        <v>14409</v>
      </c>
      <c r="F2183" s="5">
        <f t="shared" si="171"/>
        <v>17640000</v>
      </c>
      <c r="G2183" s="5">
        <v>17640000</v>
      </c>
      <c r="H2183" s="4">
        <v>14153000</v>
      </c>
      <c r="I2183" s="2">
        <f t="shared" si="172"/>
        <v>0.80232426303854876</v>
      </c>
      <c r="J2183" s="4">
        <v>15200000</v>
      </c>
      <c r="K2183" s="2">
        <f t="shared" si="173"/>
        <v>0.86167800453514742</v>
      </c>
      <c r="L2183" t="s">
        <v>14392</v>
      </c>
      <c r="M2183" t="s">
        <v>165</v>
      </c>
      <c r="N2183" t="b">
        <f t="shared" si="174"/>
        <v>0</v>
      </c>
    </row>
    <row r="2184" spans="1:14" x14ac:dyDescent="0.15">
      <c r="A2184" t="s">
        <v>14371</v>
      </c>
      <c r="B2184" t="s">
        <v>14383</v>
      </c>
      <c r="C2184" t="s">
        <v>14410</v>
      </c>
      <c r="D2184" t="s">
        <v>23</v>
      </c>
      <c r="E2184" t="s">
        <v>14409</v>
      </c>
      <c r="F2184" s="5">
        <f t="shared" si="171"/>
        <v>6983000</v>
      </c>
      <c r="G2184" s="5">
        <v>6983000</v>
      </c>
      <c r="H2184" s="4">
        <v>5603000</v>
      </c>
      <c r="I2184" s="2">
        <f t="shared" si="172"/>
        <v>0.80237720177574112</v>
      </c>
      <c r="J2184" s="4">
        <v>5604000</v>
      </c>
      <c r="K2184" s="2">
        <f t="shared" si="173"/>
        <v>0.80252040670199054</v>
      </c>
      <c r="L2184" t="s">
        <v>14411</v>
      </c>
      <c r="M2184" t="s">
        <v>165</v>
      </c>
      <c r="N2184" t="b">
        <f t="shared" si="174"/>
        <v>0</v>
      </c>
    </row>
    <row r="2185" spans="1:14" x14ac:dyDescent="0.15">
      <c r="A2185" t="s">
        <v>14371</v>
      </c>
      <c r="B2185" t="s">
        <v>14383</v>
      </c>
      <c r="C2185" t="s">
        <v>14412</v>
      </c>
      <c r="D2185" t="s">
        <v>23</v>
      </c>
      <c r="E2185" t="s">
        <v>14413</v>
      </c>
      <c r="F2185" s="5">
        <f t="shared" si="171"/>
        <v>2259000</v>
      </c>
      <c r="G2185" s="5">
        <v>2259000</v>
      </c>
      <c r="I2185" s="2">
        <f t="shared" si="172"/>
        <v>0</v>
      </c>
      <c r="J2185" s="4">
        <v>2140000</v>
      </c>
      <c r="K2185" s="2">
        <f t="shared" si="173"/>
        <v>0.94732182381584773</v>
      </c>
      <c r="L2185" t="s">
        <v>6112</v>
      </c>
      <c r="M2185" t="s">
        <v>21</v>
      </c>
      <c r="N2185" t="b">
        <f t="shared" si="174"/>
        <v>0</v>
      </c>
    </row>
    <row r="2186" spans="1:14" x14ac:dyDescent="0.15">
      <c r="A2186" t="s">
        <v>14371</v>
      </c>
      <c r="B2186" t="s">
        <v>14383</v>
      </c>
      <c r="C2186" t="s">
        <v>14414</v>
      </c>
      <c r="D2186" t="s">
        <v>23</v>
      </c>
      <c r="E2186" t="s">
        <v>13527</v>
      </c>
      <c r="F2186" s="5">
        <f t="shared" si="171"/>
        <v>65290000</v>
      </c>
      <c r="G2186" s="5">
        <v>65290000</v>
      </c>
      <c r="H2186" s="4">
        <v>52700000</v>
      </c>
      <c r="I2186" s="2">
        <f t="shared" si="172"/>
        <v>0.80716801960483997</v>
      </c>
      <c r="J2186" s="4">
        <v>63500000</v>
      </c>
      <c r="K2186" s="2">
        <f t="shared" si="173"/>
        <v>0.97258385663960789</v>
      </c>
      <c r="L2186" t="s">
        <v>14392</v>
      </c>
      <c r="M2186" t="s">
        <v>165</v>
      </c>
      <c r="N2186" t="b">
        <f t="shared" si="174"/>
        <v>0</v>
      </c>
    </row>
    <row r="2187" spans="1:14" x14ac:dyDescent="0.15">
      <c r="A2187" t="s">
        <v>14371</v>
      </c>
      <c r="B2187" t="s">
        <v>14407</v>
      </c>
      <c r="C2187" t="s">
        <v>14415</v>
      </c>
      <c r="D2187" t="s">
        <v>23</v>
      </c>
      <c r="E2187" t="s">
        <v>14416</v>
      </c>
      <c r="F2187" s="5">
        <f t="shared" si="171"/>
        <v>16193000</v>
      </c>
      <c r="G2187" s="5">
        <v>16193000</v>
      </c>
      <c r="H2187" s="4">
        <v>12852000</v>
      </c>
      <c r="I2187" s="2">
        <f t="shared" si="172"/>
        <v>0.79367627987401967</v>
      </c>
      <c r="J2187" s="4">
        <v>15300000</v>
      </c>
      <c r="K2187" s="2">
        <f t="shared" si="173"/>
        <v>0.94485271413573768</v>
      </c>
      <c r="L2187" t="s">
        <v>6112</v>
      </c>
      <c r="M2187" t="s">
        <v>165</v>
      </c>
      <c r="N2187" t="b">
        <f t="shared" si="174"/>
        <v>0</v>
      </c>
    </row>
    <row r="2188" spans="1:14" x14ac:dyDescent="0.15">
      <c r="A2188" t="s">
        <v>14371</v>
      </c>
      <c r="B2188" t="s">
        <v>14383</v>
      </c>
      <c r="C2188" t="s">
        <v>14417</v>
      </c>
      <c r="D2188" t="s">
        <v>23</v>
      </c>
      <c r="E2188" t="s">
        <v>14418</v>
      </c>
      <c r="F2188" s="5">
        <f t="shared" si="171"/>
        <v>24290000</v>
      </c>
      <c r="G2188" s="5">
        <v>24290000</v>
      </c>
      <c r="H2188" s="4">
        <v>20594000</v>
      </c>
      <c r="I2188" s="2">
        <f t="shared" si="172"/>
        <v>0.8478386167146974</v>
      </c>
      <c r="J2188" s="4">
        <v>22800000</v>
      </c>
      <c r="K2188" s="2">
        <f t="shared" si="173"/>
        <v>0.93865788390284066</v>
      </c>
      <c r="L2188" t="s">
        <v>14392</v>
      </c>
      <c r="M2188" t="s">
        <v>165</v>
      </c>
      <c r="N2188" t="b">
        <f t="shared" si="174"/>
        <v>0</v>
      </c>
    </row>
    <row r="2189" spans="1:14" x14ac:dyDescent="0.15">
      <c r="A2189" t="s">
        <v>14371</v>
      </c>
      <c r="B2189" t="s">
        <v>14383</v>
      </c>
      <c r="C2189" t="s">
        <v>14419</v>
      </c>
      <c r="D2189" t="s">
        <v>23</v>
      </c>
      <c r="E2189" t="s">
        <v>14420</v>
      </c>
      <c r="F2189" s="5">
        <f t="shared" si="171"/>
        <v>11500000</v>
      </c>
      <c r="G2189" s="5">
        <v>11500000</v>
      </c>
      <c r="H2189" t="s">
        <v>145</v>
      </c>
      <c r="I2189" s="2" t="e">
        <f t="shared" si="172"/>
        <v>#VALUE!</v>
      </c>
      <c r="J2189" s="4">
        <v>10800000</v>
      </c>
      <c r="K2189" s="2">
        <f t="shared" si="173"/>
        <v>0.93913043478260871</v>
      </c>
      <c r="L2189" t="s">
        <v>10326</v>
      </c>
      <c r="M2189" t="s">
        <v>165</v>
      </c>
      <c r="N2189" t="b">
        <f t="shared" si="174"/>
        <v>0</v>
      </c>
    </row>
    <row r="2190" spans="1:14" x14ac:dyDescent="0.15">
      <c r="A2190" t="s">
        <v>14371</v>
      </c>
      <c r="B2190" t="s">
        <v>14376</v>
      </c>
      <c r="C2190" t="s">
        <v>14421</v>
      </c>
      <c r="D2190" t="s">
        <v>23</v>
      </c>
      <c r="E2190" t="s">
        <v>14250</v>
      </c>
      <c r="F2190" s="5">
        <f t="shared" si="171"/>
        <v>1490000</v>
      </c>
      <c r="G2190" s="5">
        <v>1490000</v>
      </c>
      <c r="I2190" s="2">
        <f t="shared" si="172"/>
        <v>0</v>
      </c>
      <c r="J2190" s="4">
        <v>1400000</v>
      </c>
      <c r="K2190" s="2">
        <f t="shared" si="173"/>
        <v>0.93959731543624159</v>
      </c>
      <c r="L2190" t="s">
        <v>6112</v>
      </c>
      <c r="M2190" t="s">
        <v>21</v>
      </c>
      <c r="N2190" t="b">
        <f t="shared" si="174"/>
        <v>0</v>
      </c>
    </row>
    <row r="2191" spans="1:14" x14ac:dyDescent="0.15">
      <c r="A2191" t="s">
        <v>14371</v>
      </c>
      <c r="B2191" t="s">
        <v>14383</v>
      </c>
      <c r="C2191" t="s">
        <v>14422</v>
      </c>
      <c r="D2191" t="s">
        <v>23</v>
      </c>
      <c r="E2191" t="s">
        <v>14423</v>
      </c>
      <c r="F2191" s="5">
        <f t="shared" si="171"/>
        <v>7890000</v>
      </c>
      <c r="G2191" s="5">
        <v>7890000</v>
      </c>
      <c r="I2191" s="2">
        <f t="shared" si="172"/>
        <v>0</v>
      </c>
      <c r="J2191" s="4">
        <v>4300000</v>
      </c>
      <c r="K2191" s="2">
        <f t="shared" si="173"/>
        <v>0.54499366286438533</v>
      </c>
      <c r="L2191" t="s">
        <v>14392</v>
      </c>
      <c r="M2191" t="s">
        <v>174</v>
      </c>
      <c r="N2191" t="b">
        <f t="shared" si="174"/>
        <v>0</v>
      </c>
    </row>
    <row r="2192" spans="1:14" x14ac:dyDescent="0.15">
      <c r="A2192" t="s">
        <v>14371</v>
      </c>
      <c r="B2192" t="s">
        <v>14383</v>
      </c>
      <c r="C2192" t="s">
        <v>12409</v>
      </c>
      <c r="D2192" t="s">
        <v>23</v>
      </c>
      <c r="E2192" t="s">
        <v>14424</v>
      </c>
      <c r="F2192" s="5">
        <f t="shared" si="171"/>
        <v>39567000</v>
      </c>
      <c r="G2192" s="5">
        <v>39567000</v>
      </c>
      <c r="I2192" s="2">
        <f t="shared" si="172"/>
        <v>0</v>
      </c>
      <c r="J2192" s="4">
        <v>35000000</v>
      </c>
      <c r="K2192" s="2">
        <f t="shared" si="173"/>
        <v>0.88457553011347845</v>
      </c>
      <c r="L2192" t="s">
        <v>1078</v>
      </c>
      <c r="M2192" t="s">
        <v>165</v>
      </c>
      <c r="N2192" t="b">
        <f t="shared" si="174"/>
        <v>0</v>
      </c>
    </row>
    <row r="2193" spans="1:14" x14ac:dyDescent="0.15">
      <c r="A2193" t="s">
        <v>14371</v>
      </c>
      <c r="B2193" t="s">
        <v>14383</v>
      </c>
      <c r="C2193" t="s">
        <v>14425</v>
      </c>
      <c r="D2193" t="s">
        <v>23</v>
      </c>
      <c r="E2193" t="s">
        <v>14426</v>
      </c>
      <c r="F2193" s="5">
        <f t="shared" si="171"/>
        <v>6459000</v>
      </c>
      <c r="G2193" s="5">
        <v>6459000</v>
      </c>
      <c r="H2193" s="4">
        <v>5294000</v>
      </c>
      <c r="I2193" s="2">
        <f t="shared" si="172"/>
        <v>0.81963152190741606</v>
      </c>
      <c r="J2193" s="4">
        <v>5872000</v>
      </c>
      <c r="K2193" s="2">
        <f t="shared" si="173"/>
        <v>0.90911905867781395</v>
      </c>
      <c r="L2193" t="s">
        <v>14411</v>
      </c>
      <c r="M2193" t="s">
        <v>165</v>
      </c>
      <c r="N2193" t="b">
        <f t="shared" si="174"/>
        <v>0</v>
      </c>
    </row>
    <row r="2194" spans="1:14" x14ac:dyDescent="0.15">
      <c r="A2194" t="s">
        <v>14371</v>
      </c>
      <c r="B2194" t="s">
        <v>14383</v>
      </c>
      <c r="C2194" t="s">
        <v>14427</v>
      </c>
      <c r="D2194" t="s">
        <v>23</v>
      </c>
      <c r="E2194" t="s">
        <v>14428</v>
      </c>
      <c r="F2194" s="5">
        <f t="shared" si="171"/>
        <v>11510000</v>
      </c>
      <c r="G2194" s="5">
        <v>11510000</v>
      </c>
      <c r="H2194" s="4">
        <v>9237000</v>
      </c>
      <c r="I2194" s="2">
        <f t="shared" si="172"/>
        <v>0.80251954821894</v>
      </c>
      <c r="J2194" s="4">
        <v>11500000</v>
      </c>
      <c r="K2194" s="2">
        <f t="shared" si="173"/>
        <v>0.99913119026933106</v>
      </c>
      <c r="L2194" t="s">
        <v>14392</v>
      </c>
      <c r="M2194" t="s">
        <v>165</v>
      </c>
      <c r="N2194" t="b">
        <f t="shared" si="174"/>
        <v>0</v>
      </c>
    </row>
    <row r="2195" spans="1:14" x14ac:dyDescent="0.15">
      <c r="A2195" t="s">
        <v>14371</v>
      </c>
      <c r="B2195" t="s">
        <v>14383</v>
      </c>
      <c r="C2195" t="s">
        <v>14429</v>
      </c>
      <c r="D2195" t="s">
        <v>23</v>
      </c>
      <c r="E2195" t="s">
        <v>14430</v>
      </c>
      <c r="F2195" s="5">
        <f t="shared" si="171"/>
        <v>26008000</v>
      </c>
      <c r="G2195" s="5">
        <v>26008000</v>
      </c>
      <c r="H2195" s="4">
        <v>20868000</v>
      </c>
      <c r="I2195" s="2">
        <f t="shared" si="172"/>
        <v>0.80236850199938481</v>
      </c>
      <c r="J2195" s="4">
        <v>20868000</v>
      </c>
      <c r="K2195" s="2">
        <f t="shared" si="173"/>
        <v>0.80236850199938481</v>
      </c>
      <c r="L2195" t="s">
        <v>6901</v>
      </c>
      <c r="M2195" t="s">
        <v>165</v>
      </c>
      <c r="N2195" t="b">
        <f t="shared" si="174"/>
        <v>0</v>
      </c>
    </row>
    <row r="2196" spans="1:14" x14ac:dyDescent="0.15">
      <c r="A2196" t="s">
        <v>14371</v>
      </c>
      <c r="B2196" t="s">
        <v>14383</v>
      </c>
      <c r="C2196" t="s">
        <v>14431</v>
      </c>
      <c r="D2196" t="s">
        <v>23</v>
      </c>
      <c r="E2196" t="s">
        <v>10705</v>
      </c>
      <c r="F2196" s="5">
        <f t="shared" si="171"/>
        <v>24950000</v>
      </c>
      <c r="G2196" s="5">
        <v>24950000</v>
      </c>
      <c r="H2196" s="4">
        <v>20019000</v>
      </c>
      <c r="I2196" s="2">
        <f t="shared" si="172"/>
        <v>0.80236472945891779</v>
      </c>
      <c r="J2196" s="4">
        <v>23500000</v>
      </c>
      <c r="K2196" s="2">
        <f t="shared" si="173"/>
        <v>0.94188376753507019</v>
      </c>
      <c r="L2196" t="s">
        <v>14432</v>
      </c>
      <c r="M2196" t="s">
        <v>165</v>
      </c>
      <c r="N2196" t="b">
        <f t="shared" si="174"/>
        <v>0</v>
      </c>
    </row>
    <row r="2197" spans="1:14" x14ac:dyDescent="0.15">
      <c r="A2197" t="s">
        <v>14371</v>
      </c>
      <c r="B2197" t="s">
        <v>14383</v>
      </c>
      <c r="C2197" t="s">
        <v>14433</v>
      </c>
      <c r="D2197" t="s">
        <v>23</v>
      </c>
      <c r="E2197" t="s">
        <v>12421</v>
      </c>
      <c r="F2197" s="5">
        <f t="shared" si="171"/>
        <v>9080000</v>
      </c>
      <c r="G2197" s="5">
        <v>9080000</v>
      </c>
      <c r="H2197" s="4">
        <v>7287000</v>
      </c>
      <c r="I2197" s="2">
        <f t="shared" si="172"/>
        <v>0.80253303964757705</v>
      </c>
      <c r="J2197" s="4">
        <v>8600000</v>
      </c>
      <c r="K2197" s="2">
        <f t="shared" si="173"/>
        <v>0.94713656387665202</v>
      </c>
      <c r="L2197" t="s">
        <v>14434</v>
      </c>
      <c r="M2197" t="s">
        <v>165</v>
      </c>
      <c r="N2197" t="b">
        <f t="shared" si="174"/>
        <v>0</v>
      </c>
    </row>
    <row r="2198" spans="1:14" x14ac:dyDescent="0.15">
      <c r="A2198" t="s">
        <v>14371</v>
      </c>
      <c r="B2198" t="s">
        <v>14374</v>
      </c>
      <c r="C2198" t="s">
        <v>14435</v>
      </c>
      <c r="D2198" t="s">
        <v>23</v>
      </c>
      <c r="E2198" t="s">
        <v>14436</v>
      </c>
      <c r="F2198" s="5">
        <f t="shared" si="171"/>
        <v>806000</v>
      </c>
      <c r="G2198" s="5">
        <v>806000</v>
      </c>
      <c r="I2198" s="2">
        <f t="shared" si="172"/>
        <v>0</v>
      </c>
      <c r="J2198" s="4">
        <v>760000</v>
      </c>
      <c r="K2198" s="2">
        <f t="shared" si="173"/>
        <v>0.94292803970223327</v>
      </c>
      <c r="L2198" t="s">
        <v>6112</v>
      </c>
      <c r="M2198" t="s">
        <v>1015</v>
      </c>
      <c r="N2198" t="b">
        <f t="shared" si="174"/>
        <v>0</v>
      </c>
    </row>
    <row r="2199" spans="1:14" x14ac:dyDescent="0.15">
      <c r="A2199" t="s">
        <v>14371</v>
      </c>
      <c r="B2199" t="s">
        <v>14383</v>
      </c>
      <c r="C2199" t="s">
        <v>14437</v>
      </c>
      <c r="D2199" t="s">
        <v>23</v>
      </c>
      <c r="E2199" t="s">
        <v>14438</v>
      </c>
      <c r="F2199" s="5">
        <f t="shared" si="171"/>
        <v>4130000</v>
      </c>
      <c r="G2199" s="5">
        <v>4130000</v>
      </c>
      <c r="H2199" s="4">
        <v>3315000</v>
      </c>
      <c r="I2199" s="2">
        <f t="shared" si="172"/>
        <v>0.80266343825665865</v>
      </c>
      <c r="J2199" s="4">
        <v>3950000</v>
      </c>
      <c r="K2199" s="2">
        <f t="shared" si="173"/>
        <v>0.95641646489104115</v>
      </c>
      <c r="L2199" t="s">
        <v>14432</v>
      </c>
      <c r="M2199" t="s">
        <v>165</v>
      </c>
      <c r="N2199" t="b">
        <f t="shared" si="174"/>
        <v>0</v>
      </c>
    </row>
    <row r="2200" spans="1:14" x14ac:dyDescent="0.15">
      <c r="A2200" t="s">
        <v>14371</v>
      </c>
      <c r="B2200" t="s">
        <v>14383</v>
      </c>
      <c r="C2200" t="s">
        <v>14439</v>
      </c>
      <c r="D2200" t="s">
        <v>23</v>
      </c>
      <c r="E2200" t="s">
        <v>14440</v>
      </c>
      <c r="F2200" s="5">
        <f t="shared" si="171"/>
        <v>16020000</v>
      </c>
      <c r="G2200" s="5">
        <v>16020000</v>
      </c>
      <c r="I2200" s="2">
        <f t="shared" si="172"/>
        <v>0</v>
      </c>
      <c r="J2200" s="4">
        <v>15000000</v>
      </c>
      <c r="K2200" s="2">
        <f t="shared" si="173"/>
        <v>0.93632958801498123</v>
      </c>
      <c r="L2200" t="s">
        <v>10326</v>
      </c>
      <c r="M2200" t="s">
        <v>192</v>
      </c>
      <c r="N2200" t="b">
        <f t="shared" si="174"/>
        <v>0</v>
      </c>
    </row>
    <row r="2201" spans="1:14" x14ac:dyDescent="0.15">
      <c r="A2201" t="s">
        <v>14371</v>
      </c>
      <c r="B2201" t="s">
        <v>14383</v>
      </c>
      <c r="C2201" t="s">
        <v>14441</v>
      </c>
      <c r="D2201" t="s">
        <v>23</v>
      </c>
      <c r="E2201" t="s">
        <v>14442</v>
      </c>
      <c r="F2201" s="5">
        <f t="shared" si="171"/>
        <v>9074000</v>
      </c>
      <c r="G2201" s="5">
        <v>9074000</v>
      </c>
      <c r="H2201" s="4">
        <v>7219000</v>
      </c>
      <c r="I2201" s="2">
        <f t="shared" si="172"/>
        <v>0.79556975975314081</v>
      </c>
      <c r="J2201" s="4">
        <v>8850000</v>
      </c>
      <c r="K2201" s="2">
        <f t="shared" si="173"/>
        <v>0.9753140841966057</v>
      </c>
      <c r="L2201" t="s">
        <v>14443</v>
      </c>
      <c r="M2201" t="s">
        <v>432</v>
      </c>
      <c r="N2201" t="b">
        <f t="shared" si="174"/>
        <v>0</v>
      </c>
    </row>
    <row r="2202" spans="1:14" x14ac:dyDescent="0.15">
      <c r="A2202" t="s">
        <v>14371</v>
      </c>
      <c r="B2202" t="s">
        <v>14407</v>
      </c>
      <c r="C2202" t="s">
        <v>14444</v>
      </c>
      <c r="D2202" t="s">
        <v>23</v>
      </c>
      <c r="E2202" t="s">
        <v>14445</v>
      </c>
      <c r="F2202" s="5">
        <f t="shared" si="171"/>
        <v>5469000</v>
      </c>
      <c r="G2202" s="5">
        <v>5469000</v>
      </c>
      <c r="H2202" s="4">
        <v>4303000</v>
      </c>
      <c r="I2202" s="2">
        <f t="shared" si="172"/>
        <v>0.7867983177911867</v>
      </c>
      <c r="J2202" s="4">
        <v>5140000</v>
      </c>
      <c r="K2202" s="2">
        <f t="shared" si="173"/>
        <v>0.93984275004571216</v>
      </c>
      <c r="L2202" t="s">
        <v>6112</v>
      </c>
      <c r="M2202" t="s">
        <v>165</v>
      </c>
      <c r="N2202" t="b">
        <f t="shared" si="174"/>
        <v>0</v>
      </c>
    </row>
    <row r="2203" spans="1:14" x14ac:dyDescent="0.15">
      <c r="A2203" t="s">
        <v>14371</v>
      </c>
      <c r="B2203" t="s">
        <v>14374</v>
      </c>
      <c r="C2203" t="s">
        <v>14446</v>
      </c>
      <c r="D2203" t="s">
        <v>23</v>
      </c>
      <c r="E2203" t="s">
        <v>14447</v>
      </c>
      <c r="F2203" s="5">
        <f t="shared" si="171"/>
        <v>8902000</v>
      </c>
      <c r="G2203" s="5">
        <v>8902000</v>
      </c>
      <c r="I2203" s="2">
        <f t="shared" si="172"/>
        <v>0</v>
      </c>
      <c r="J2203" s="4">
        <v>8400000</v>
      </c>
      <c r="K2203" s="2">
        <f t="shared" si="173"/>
        <v>0.94360817793754215</v>
      </c>
      <c r="L2203" t="s">
        <v>332</v>
      </c>
      <c r="M2203" t="s">
        <v>174</v>
      </c>
      <c r="N2203" t="b">
        <f t="shared" si="174"/>
        <v>0</v>
      </c>
    </row>
    <row r="2204" spans="1:14" x14ac:dyDescent="0.15">
      <c r="A2204" t="s">
        <v>14371</v>
      </c>
      <c r="B2204" t="s">
        <v>14374</v>
      </c>
      <c r="C2204" t="s">
        <v>14448</v>
      </c>
      <c r="D2204" t="s">
        <v>23</v>
      </c>
      <c r="E2204" t="s">
        <v>14449</v>
      </c>
      <c r="F2204" s="5">
        <f t="shared" si="171"/>
        <v>580000</v>
      </c>
      <c r="G2204" s="5">
        <v>580000</v>
      </c>
      <c r="I2204" s="2">
        <f t="shared" si="172"/>
        <v>0</v>
      </c>
      <c r="J2204" s="4">
        <v>550000</v>
      </c>
      <c r="K2204" s="2">
        <f t="shared" si="173"/>
        <v>0.94827586206896552</v>
      </c>
      <c r="L2204" t="s">
        <v>819</v>
      </c>
      <c r="M2204" t="s">
        <v>21</v>
      </c>
      <c r="N2204" t="b">
        <f t="shared" si="174"/>
        <v>0</v>
      </c>
    </row>
    <row r="2205" spans="1:14" x14ac:dyDescent="0.15">
      <c r="A2205" t="s">
        <v>14371</v>
      </c>
      <c r="B2205" t="s">
        <v>14376</v>
      </c>
      <c r="C2205" t="s">
        <v>14450</v>
      </c>
      <c r="D2205" t="s">
        <v>23</v>
      </c>
      <c r="E2205" t="s">
        <v>14451</v>
      </c>
      <c r="F2205" s="5">
        <f t="shared" si="171"/>
        <v>1360000</v>
      </c>
      <c r="G2205" s="5">
        <v>1360000</v>
      </c>
      <c r="I2205" s="2">
        <f t="shared" si="172"/>
        <v>0</v>
      </c>
      <c r="J2205" s="4">
        <v>1300000</v>
      </c>
      <c r="K2205" s="2">
        <f t="shared" si="173"/>
        <v>0.95588235294117652</v>
      </c>
      <c r="L2205" t="s">
        <v>14452</v>
      </c>
      <c r="M2205" t="s">
        <v>432</v>
      </c>
      <c r="N2205" t="b">
        <f t="shared" si="174"/>
        <v>0</v>
      </c>
    </row>
    <row r="2206" spans="1:14" x14ac:dyDescent="0.15">
      <c r="A2206" t="s">
        <v>14371</v>
      </c>
      <c r="B2206" t="s">
        <v>14407</v>
      </c>
      <c r="C2206" t="s">
        <v>14453</v>
      </c>
      <c r="D2206" t="s">
        <v>23</v>
      </c>
      <c r="E2206" t="s">
        <v>14454</v>
      </c>
      <c r="F2206" s="5">
        <f t="shared" si="171"/>
        <v>1450000</v>
      </c>
      <c r="G2206" s="5">
        <v>1450000</v>
      </c>
      <c r="I2206" s="2">
        <f t="shared" si="172"/>
        <v>0</v>
      </c>
      <c r="J2206" s="4">
        <v>930000</v>
      </c>
      <c r="K2206" s="2">
        <f t="shared" si="173"/>
        <v>0.64137931034482754</v>
      </c>
      <c r="L2206" t="s">
        <v>12643</v>
      </c>
      <c r="M2206" t="s">
        <v>21</v>
      </c>
      <c r="N2206" t="b">
        <f t="shared" si="174"/>
        <v>0</v>
      </c>
    </row>
    <row r="2207" spans="1:14" x14ac:dyDescent="0.15">
      <c r="A2207" t="s">
        <v>14371</v>
      </c>
      <c r="B2207" t="s">
        <v>14376</v>
      </c>
      <c r="C2207" t="s">
        <v>11762</v>
      </c>
      <c r="D2207" t="s">
        <v>23</v>
      </c>
      <c r="E2207" t="s">
        <v>14455</v>
      </c>
      <c r="F2207" s="5">
        <f t="shared" si="171"/>
        <v>3130000</v>
      </c>
      <c r="G2207" s="5">
        <v>3130000</v>
      </c>
      <c r="I2207" s="2">
        <f t="shared" si="172"/>
        <v>0</v>
      </c>
      <c r="J2207" s="4">
        <v>2810000</v>
      </c>
      <c r="K2207" s="2">
        <f t="shared" si="173"/>
        <v>0.89776357827476039</v>
      </c>
      <c r="L2207" t="s">
        <v>1078</v>
      </c>
      <c r="M2207" t="s">
        <v>432</v>
      </c>
      <c r="N2207" t="b">
        <f t="shared" si="174"/>
        <v>0</v>
      </c>
    </row>
    <row r="2208" spans="1:14" x14ac:dyDescent="0.15">
      <c r="A2208" t="s">
        <v>14371</v>
      </c>
      <c r="B2208" t="s">
        <v>14383</v>
      </c>
      <c r="C2208" t="s">
        <v>14441</v>
      </c>
      <c r="D2208" t="s">
        <v>23</v>
      </c>
      <c r="E2208" t="s">
        <v>14455</v>
      </c>
      <c r="F2208" s="5">
        <f t="shared" si="171"/>
        <v>11781000</v>
      </c>
      <c r="G2208" s="5">
        <v>11781000</v>
      </c>
      <c r="H2208" s="4">
        <v>9373000</v>
      </c>
      <c r="I2208" s="2">
        <f t="shared" si="172"/>
        <v>0.79560308972073679</v>
      </c>
      <c r="K2208" s="2">
        <f t="shared" si="173"/>
        <v>0</v>
      </c>
      <c r="M2208" t="s">
        <v>432</v>
      </c>
      <c r="N2208" t="b">
        <f t="shared" si="174"/>
        <v>0</v>
      </c>
    </row>
    <row r="2209" spans="1:14" x14ac:dyDescent="0.15">
      <c r="A2209" t="s">
        <v>14371</v>
      </c>
      <c r="B2209" t="s">
        <v>14383</v>
      </c>
      <c r="C2209" t="s">
        <v>14456</v>
      </c>
      <c r="D2209" t="s">
        <v>23</v>
      </c>
      <c r="E2209" t="s">
        <v>14457</v>
      </c>
      <c r="F2209" s="5">
        <f t="shared" si="171"/>
        <v>2490000</v>
      </c>
      <c r="G2209" s="5">
        <v>2490000</v>
      </c>
      <c r="I2209" s="2">
        <f t="shared" si="172"/>
        <v>0</v>
      </c>
      <c r="J2209" s="4">
        <v>2350000</v>
      </c>
      <c r="K2209" s="2">
        <f t="shared" si="173"/>
        <v>0.94377510040160639</v>
      </c>
      <c r="L2209" t="s">
        <v>14434</v>
      </c>
      <c r="M2209" t="s">
        <v>21</v>
      </c>
      <c r="N2209" t="b">
        <f t="shared" si="174"/>
        <v>0</v>
      </c>
    </row>
    <row r="2210" spans="1:14" x14ac:dyDescent="0.15">
      <c r="A2210" t="s">
        <v>14371</v>
      </c>
      <c r="B2210" t="s">
        <v>14383</v>
      </c>
      <c r="C2210" t="s">
        <v>14458</v>
      </c>
      <c r="D2210" t="s">
        <v>23</v>
      </c>
      <c r="E2210" t="s">
        <v>14459</v>
      </c>
      <c r="F2210" s="5">
        <f t="shared" si="171"/>
        <v>9602000</v>
      </c>
      <c r="G2210" s="5">
        <v>9602000</v>
      </c>
      <c r="H2210" s="4">
        <v>7638000</v>
      </c>
      <c r="I2210" s="2">
        <f t="shared" si="172"/>
        <v>0.79545927931680904</v>
      </c>
      <c r="J2210" s="4">
        <v>9000000</v>
      </c>
      <c r="K2210" s="2">
        <f t="shared" si="173"/>
        <v>0.9373047281816288</v>
      </c>
      <c r="L2210" t="s">
        <v>6112</v>
      </c>
      <c r="M2210" t="s">
        <v>165</v>
      </c>
      <c r="N2210" t="b">
        <f t="shared" si="174"/>
        <v>0</v>
      </c>
    </row>
    <row r="2211" spans="1:14" x14ac:dyDescent="0.15">
      <c r="A2211" t="s">
        <v>14371</v>
      </c>
      <c r="B2211" t="s">
        <v>14374</v>
      </c>
      <c r="C2211" t="s">
        <v>14460</v>
      </c>
      <c r="D2211" t="s">
        <v>23</v>
      </c>
      <c r="E2211" t="s">
        <v>14461</v>
      </c>
      <c r="F2211" s="5">
        <f t="shared" si="171"/>
        <v>9070000</v>
      </c>
      <c r="G2211" s="5">
        <v>9070000</v>
      </c>
      <c r="H2211" s="4">
        <v>7225000</v>
      </c>
      <c r="I2211" s="2">
        <f t="shared" si="172"/>
        <v>0.7965821389195149</v>
      </c>
      <c r="J2211" s="4">
        <v>8340000</v>
      </c>
      <c r="K2211" s="2">
        <f t="shared" si="173"/>
        <v>0.91951488423373762</v>
      </c>
      <c r="L2211" t="s">
        <v>1078</v>
      </c>
      <c r="M2211" t="s">
        <v>165</v>
      </c>
      <c r="N2211" t="b">
        <f t="shared" si="174"/>
        <v>0</v>
      </c>
    </row>
    <row r="2212" spans="1:14" x14ac:dyDescent="0.15">
      <c r="A2212" t="s">
        <v>14371</v>
      </c>
      <c r="B2212" t="s">
        <v>14374</v>
      </c>
      <c r="C2212" t="s">
        <v>14462</v>
      </c>
      <c r="D2212" t="s">
        <v>23</v>
      </c>
      <c r="E2212" t="s">
        <v>13249</v>
      </c>
      <c r="F2212" s="5">
        <f t="shared" si="171"/>
        <v>2615000</v>
      </c>
      <c r="G2212" s="5">
        <v>2615000</v>
      </c>
      <c r="I2212" s="2">
        <f t="shared" si="172"/>
        <v>0</v>
      </c>
      <c r="J2212" s="4">
        <v>2500000</v>
      </c>
      <c r="K2212" s="2">
        <f t="shared" si="173"/>
        <v>0.95602294455066916</v>
      </c>
      <c r="L2212" t="s">
        <v>14463</v>
      </c>
      <c r="M2212" t="s">
        <v>432</v>
      </c>
      <c r="N2212" t="b">
        <f t="shared" si="174"/>
        <v>0</v>
      </c>
    </row>
    <row r="2213" spans="1:14" x14ac:dyDescent="0.15">
      <c r="A2213" t="s">
        <v>14371</v>
      </c>
      <c r="B2213" t="s">
        <v>14374</v>
      </c>
      <c r="C2213" t="s">
        <v>14464</v>
      </c>
      <c r="D2213" t="s">
        <v>23</v>
      </c>
      <c r="E2213" t="s">
        <v>14465</v>
      </c>
      <c r="F2213" s="5" t="str">
        <f t="shared" si="171"/>
        <v>********</v>
      </c>
      <c r="G2213" s="5" t="s">
        <v>145</v>
      </c>
      <c r="H2213" s="4">
        <v>3236000</v>
      </c>
      <c r="I2213" s="2" t="e">
        <f t="shared" si="172"/>
        <v>#VALUE!</v>
      </c>
      <c r="J2213" s="4">
        <v>3750000</v>
      </c>
      <c r="K2213" s="2" t="e">
        <f t="shared" si="173"/>
        <v>#VALUE!</v>
      </c>
      <c r="L2213" t="s">
        <v>173</v>
      </c>
      <c r="M2213" t="s">
        <v>432</v>
      </c>
      <c r="N2213" t="b">
        <f t="shared" si="174"/>
        <v>0</v>
      </c>
    </row>
    <row r="2214" spans="1:14" x14ac:dyDescent="0.15">
      <c r="A2214" t="s">
        <v>14371</v>
      </c>
      <c r="B2214" t="s">
        <v>14374</v>
      </c>
      <c r="C2214" t="s">
        <v>14466</v>
      </c>
      <c r="D2214" t="s">
        <v>23</v>
      </c>
      <c r="E2214" t="s">
        <v>14467</v>
      </c>
      <c r="F2214" s="5">
        <f t="shared" si="171"/>
        <v>870000</v>
      </c>
      <c r="G2214" s="5">
        <v>870000</v>
      </c>
      <c r="I2214" s="2">
        <f t="shared" si="172"/>
        <v>0</v>
      </c>
      <c r="J2214" s="4">
        <v>810000</v>
      </c>
      <c r="K2214" s="2">
        <f t="shared" si="173"/>
        <v>0.93103448275862066</v>
      </c>
      <c r="L2214" t="s">
        <v>1078</v>
      </c>
      <c r="M2214" t="s">
        <v>21</v>
      </c>
      <c r="N2214" t="b">
        <f t="shared" si="174"/>
        <v>0</v>
      </c>
    </row>
    <row r="2215" spans="1:14" x14ac:dyDescent="0.15">
      <c r="A2215" t="s">
        <v>14371</v>
      </c>
      <c r="B2215" t="s">
        <v>14383</v>
      </c>
      <c r="C2215" t="s">
        <v>14429</v>
      </c>
      <c r="D2215" t="s">
        <v>23</v>
      </c>
      <c r="E2215" t="s">
        <v>14468</v>
      </c>
      <c r="F2215" s="5">
        <f t="shared" si="171"/>
        <v>19280000</v>
      </c>
      <c r="G2215" s="5">
        <v>19280000</v>
      </c>
      <c r="H2215" s="4">
        <v>15335000</v>
      </c>
      <c r="I2215" s="2">
        <f t="shared" si="172"/>
        <v>0.79538381742738584</v>
      </c>
      <c r="J2215" s="4">
        <v>15335000</v>
      </c>
      <c r="K2215" s="2">
        <f t="shared" si="173"/>
        <v>0.79538381742738584</v>
      </c>
      <c r="L2215" t="s">
        <v>6901</v>
      </c>
      <c r="M2215" t="s">
        <v>165</v>
      </c>
      <c r="N2215" t="b">
        <f t="shared" si="174"/>
        <v>0</v>
      </c>
    </row>
    <row r="2216" spans="1:14" x14ac:dyDescent="0.15">
      <c r="A2216" t="s">
        <v>14371</v>
      </c>
      <c r="B2216" t="s">
        <v>14383</v>
      </c>
      <c r="C2216" t="s">
        <v>14469</v>
      </c>
      <c r="D2216" t="s">
        <v>23</v>
      </c>
      <c r="E2216" t="s">
        <v>14470</v>
      </c>
      <c r="F2216" s="5">
        <f t="shared" si="171"/>
        <v>2930000</v>
      </c>
      <c r="G2216" s="5">
        <v>2930000</v>
      </c>
      <c r="H2216" t="s">
        <v>145</v>
      </c>
      <c r="I2216" s="2" t="e">
        <f t="shared" si="172"/>
        <v>#VALUE!</v>
      </c>
      <c r="J2216" s="4">
        <v>2700000</v>
      </c>
      <c r="K2216" s="2">
        <f t="shared" si="173"/>
        <v>0.92150170648464169</v>
      </c>
      <c r="L2216" t="s">
        <v>14392</v>
      </c>
      <c r="M2216" t="s">
        <v>432</v>
      </c>
      <c r="N2216" t="b">
        <f t="shared" si="174"/>
        <v>0</v>
      </c>
    </row>
    <row r="2217" spans="1:14" x14ac:dyDescent="0.15">
      <c r="A2217" t="s">
        <v>14371</v>
      </c>
      <c r="B2217" t="s">
        <v>14383</v>
      </c>
      <c r="C2217" t="s">
        <v>14471</v>
      </c>
      <c r="D2217" t="s">
        <v>23</v>
      </c>
      <c r="E2217" t="s">
        <v>14472</v>
      </c>
      <c r="F2217" s="5">
        <f t="shared" si="171"/>
        <v>1503000</v>
      </c>
      <c r="G2217" s="5">
        <v>1503000</v>
      </c>
      <c r="I2217" s="2">
        <f t="shared" si="172"/>
        <v>0</v>
      </c>
      <c r="J2217" s="4">
        <v>1380000</v>
      </c>
      <c r="K2217" s="2">
        <f t="shared" si="173"/>
        <v>0.91816367265469057</v>
      </c>
      <c r="L2217" t="s">
        <v>6112</v>
      </c>
      <c r="M2217" t="s">
        <v>21</v>
      </c>
      <c r="N2217" t="b">
        <f t="shared" si="174"/>
        <v>0</v>
      </c>
    </row>
    <row r="2218" spans="1:14" x14ac:dyDescent="0.15">
      <c r="A2218" t="s">
        <v>14371</v>
      </c>
      <c r="B2218" t="s">
        <v>14376</v>
      </c>
      <c r="C2218" t="s">
        <v>14473</v>
      </c>
      <c r="D2218" t="s">
        <v>23</v>
      </c>
      <c r="E2218" t="s">
        <v>14474</v>
      </c>
      <c r="F2218" s="5">
        <f t="shared" si="171"/>
        <v>10122000</v>
      </c>
      <c r="G2218" s="5">
        <v>10122000</v>
      </c>
      <c r="H2218" t="s">
        <v>145</v>
      </c>
      <c r="I2218" s="2" t="e">
        <f t="shared" si="172"/>
        <v>#VALUE!</v>
      </c>
      <c r="J2218" s="4">
        <v>8500000</v>
      </c>
      <c r="K2218" s="2">
        <f t="shared" si="173"/>
        <v>0.83975498913258251</v>
      </c>
      <c r="L2218" t="s">
        <v>1236</v>
      </c>
      <c r="M2218" t="s">
        <v>174</v>
      </c>
      <c r="N2218" t="b">
        <f t="shared" si="174"/>
        <v>0</v>
      </c>
    </row>
    <row r="2219" spans="1:14" x14ac:dyDescent="0.15">
      <c r="A2219" t="s">
        <v>14371</v>
      </c>
      <c r="B2219" t="s">
        <v>14374</v>
      </c>
      <c r="C2219" t="s">
        <v>14475</v>
      </c>
      <c r="D2219" t="s">
        <v>23</v>
      </c>
      <c r="E2219" t="s">
        <v>14476</v>
      </c>
      <c r="F2219" s="5">
        <f t="shared" si="171"/>
        <v>19934000</v>
      </c>
      <c r="G2219" s="5">
        <v>19934000</v>
      </c>
      <c r="H2219" s="4">
        <v>15882000</v>
      </c>
      <c r="I2219" s="2">
        <f t="shared" si="172"/>
        <v>0.79672920638105749</v>
      </c>
      <c r="J2219" s="4">
        <v>19700000</v>
      </c>
      <c r="K2219" s="2">
        <f t="shared" si="173"/>
        <v>0.98826126216514498</v>
      </c>
      <c r="L2219" t="s">
        <v>4761</v>
      </c>
      <c r="M2219" t="s">
        <v>174</v>
      </c>
      <c r="N2219" t="b">
        <f t="shared" si="174"/>
        <v>0</v>
      </c>
    </row>
    <row r="2220" spans="1:14" x14ac:dyDescent="0.15">
      <c r="A2220" t="s">
        <v>14371</v>
      </c>
      <c r="B2220" t="s">
        <v>14376</v>
      </c>
      <c r="C2220" t="s">
        <v>14477</v>
      </c>
      <c r="D2220" t="s">
        <v>23</v>
      </c>
      <c r="E2220" t="s">
        <v>14478</v>
      </c>
      <c r="F2220" s="5">
        <f t="shared" si="171"/>
        <v>19761000</v>
      </c>
      <c r="G2220" s="5">
        <v>19761000</v>
      </c>
      <c r="H2220" s="4">
        <v>15760000</v>
      </c>
      <c r="I2220" s="2">
        <f t="shared" si="172"/>
        <v>0.7975304893477051</v>
      </c>
      <c r="J2220" s="4">
        <v>15760000</v>
      </c>
      <c r="K2220" s="2">
        <f t="shared" si="173"/>
        <v>0.7975304893477051</v>
      </c>
      <c r="L2220" t="s">
        <v>633</v>
      </c>
      <c r="M2220" t="s">
        <v>174</v>
      </c>
      <c r="N2220" t="b">
        <f t="shared" si="174"/>
        <v>0</v>
      </c>
    </row>
    <row r="2221" spans="1:14" x14ac:dyDescent="0.15">
      <c r="A2221" t="s">
        <v>14371</v>
      </c>
      <c r="B2221" t="s">
        <v>14376</v>
      </c>
      <c r="C2221" t="s">
        <v>14479</v>
      </c>
      <c r="D2221" t="s">
        <v>23</v>
      </c>
      <c r="E2221" t="s">
        <v>14480</v>
      </c>
      <c r="F2221" s="5">
        <f t="shared" si="171"/>
        <v>9401000</v>
      </c>
      <c r="G2221" s="5">
        <v>9401000</v>
      </c>
      <c r="H2221" s="4">
        <v>7478000</v>
      </c>
      <c r="I2221" s="2">
        <f t="shared" si="172"/>
        <v>0.79544729284118709</v>
      </c>
      <c r="J2221" s="4">
        <v>7478000</v>
      </c>
      <c r="K2221" s="2">
        <f t="shared" si="173"/>
        <v>0.79544729284118709</v>
      </c>
      <c r="L2221" t="s">
        <v>1526</v>
      </c>
      <c r="M2221" t="s">
        <v>174</v>
      </c>
      <c r="N2221" t="b">
        <f t="shared" si="174"/>
        <v>0</v>
      </c>
    </row>
    <row r="2222" spans="1:14" x14ac:dyDescent="0.15">
      <c r="A2222" t="s">
        <v>14371</v>
      </c>
      <c r="B2222" t="s">
        <v>14376</v>
      </c>
      <c r="C2222" t="s">
        <v>14481</v>
      </c>
      <c r="D2222" t="s">
        <v>23</v>
      </c>
      <c r="E2222" t="s">
        <v>14482</v>
      </c>
      <c r="F2222" s="5">
        <f t="shared" si="171"/>
        <v>19782000</v>
      </c>
      <c r="G2222" s="5">
        <v>19782000</v>
      </c>
      <c r="H2222" s="4">
        <v>15770000</v>
      </c>
      <c r="I2222" s="2">
        <f t="shared" si="172"/>
        <v>0.79718936406834495</v>
      </c>
      <c r="J2222" s="4">
        <v>15843000</v>
      </c>
      <c r="K2222" s="2">
        <f t="shared" si="173"/>
        <v>0.80087958750379129</v>
      </c>
      <c r="L2222" t="s">
        <v>731</v>
      </c>
      <c r="M2222" t="s">
        <v>174</v>
      </c>
      <c r="N2222" t="b">
        <f t="shared" si="174"/>
        <v>0</v>
      </c>
    </row>
    <row r="2223" spans="1:14" x14ac:dyDescent="0.15">
      <c r="A2223" t="s">
        <v>14371</v>
      </c>
      <c r="B2223" t="s">
        <v>14383</v>
      </c>
      <c r="C2223" t="s">
        <v>14483</v>
      </c>
      <c r="D2223" t="s">
        <v>23</v>
      </c>
      <c r="E2223" t="s">
        <v>14484</v>
      </c>
      <c r="F2223" s="5">
        <f t="shared" si="171"/>
        <v>5100000</v>
      </c>
      <c r="G2223" s="5">
        <v>5100000</v>
      </c>
      <c r="H2223" s="4">
        <v>4057000</v>
      </c>
      <c r="I2223" s="2">
        <f t="shared" si="172"/>
        <v>0.79549019607843141</v>
      </c>
      <c r="J2223" s="4">
        <v>5000000</v>
      </c>
      <c r="K2223" s="2">
        <f t="shared" si="173"/>
        <v>0.98039215686274506</v>
      </c>
      <c r="L2223" t="s">
        <v>819</v>
      </c>
      <c r="M2223" t="s">
        <v>165</v>
      </c>
      <c r="N2223" t="b">
        <f t="shared" si="174"/>
        <v>0</v>
      </c>
    </row>
    <row r="2224" spans="1:14" x14ac:dyDescent="0.15">
      <c r="A2224" t="s">
        <v>14371</v>
      </c>
      <c r="B2224" t="s">
        <v>14383</v>
      </c>
      <c r="C2224" t="s">
        <v>14485</v>
      </c>
      <c r="D2224" t="s">
        <v>23</v>
      </c>
      <c r="E2224" t="s">
        <v>14486</v>
      </c>
      <c r="F2224" s="5">
        <f t="shared" si="171"/>
        <v>28510000</v>
      </c>
      <c r="G2224" s="5">
        <v>28510000</v>
      </c>
      <c r="H2224" s="4">
        <v>22694000</v>
      </c>
      <c r="I2224" s="2">
        <f t="shared" si="172"/>
        <v>0.79600140301648548</v>
      </c>
      <c r="J2224" s="4">
        <v>27300000</v>
      </c>
      <c r="K2224" s="2">
        <f t="shared" si="173"/>
        <v>0.95755875131532797</v>
      </c>
      <c r="L2224" t="s">
        <v>10326</v>
      </c>
      <c r="M2224" t="s">
        <v>174</v>
      </c>
      <c r="N2224" t="b">
        <f t="shared" si="174"/>
        <v>0</v>
      </c>
    </row>
    <row r="2225" spans="1:14" x14ac:dyDescent="0.15">
      <c r="A2225" t="s">
        <v>14371</v>
      </c>
      <c r="B2225" t="s">
        <v>14383</v>
      </c>
      <c r="C2225" t="s">
        <v>14487</v>
      </c>
      <c r="D2225" t="s">
        <v>23</v>
      </c>
      <c r="E2225" t="s">
        <v>14488</v>
      </c>
      <c r="F2225" s="5">
        <f t="shared" si="171"/>
        <v>8600000</v>
      </c>
      <c r="G2225" s="5">
        <v>8600000</v>
      </c>
      <c r="H2225" t="s">
        <v>145</v>
      </c>
      <c r="I2225" s="2" t="e">
        <f t="shared" si="172"/>
        <v>#VALUE!</v>
      </c>
      <c r="J2225" s="4">
        <v>7700000</v>
      </c>
      <c r="K2225" s="2">
        <f t="shared" si="173"/>
        <v>0.89534883720930236</v>
      </c>
      <c r="L2225" t="s">
        <v>4415</v>
      </c>
      <c r="M2225" t="s">
        <v>432</v>
      </c>
      <c r="N2225" t="b">
        <f t="shared" si="174"/>
        <v>0</v>
      </c>
    </row>
    <row r="2226" spans="1:14" x14ac:dyDescent="0.15">
      <c r="A2226" t="s">
        <v>14371</v>
      </c>
      <c r="B2226" t="s">
        <v>14383</v>
      </c>
      <c r="C2226" t="s">
        <v>14489</v>
      </c>
      <c r="D2226" t="s">
        <v>23</v>
      </c>
      <c r="E2226" t="s">
        <v>14490</v>
      </c>
      <c r="F2226" s="5">
        <f t="shared" si="171"/>
        <v>8250000</v>
      </c>
      <c r="G2226" s="5">
        <v>8250000</v>
      </c>
      <c r="H2226" s="4">
        <v>6562000</v>
      </c>
      <c r="I2226" s="2">
        <f t="shared" si="172"/>
        <v>0.79539393939393943</v>
      </c>
      <c r="J2226" s="4">
        <v>7150000</v>
      </c>
      <c r="K2226" s="2">
        <f t="shared" si="173"/>
        <v>0.8666666666666667</v>
      </c>
      <c r="L2226" t="s">
        <v>14432</v>
      </c>
      <c r="M2226" t="s">
        <v>165</v>
      </c>
      <c r="N2226" t="b">
        <f t="shared" si="174"/>
        <v>0</v>
      </c>
    </row>
    <row r="2227" spans="1:14" x14ac:dyDescent="0.15">
      <c r="A2227" t="s">
        <v>14371</v>
      </c>
      <c r="B2227" t="s">
        <v>14383</v>
      </c>
      <c r="C2227" t="s">
        <v>14491</v>
      </c>
      <c r="D2227" t="s">
        <v>23</v>
      </c>
      <c r="E2227" t="s">
        <v>14492</v>
      </c>
      <c r="F2227" s="5">
        <f t="shared" si="171"/>
        <v>2204000</v>
      </c>
      <c r="G2227" s="5">
        <v>2204000</v>
      </c>
      <c r="I2227" s="2">
        <f t="shared" si="172"/>
        <v>0</v>
      </c>
      <c r="J2227" s="4">
        <v>2050000</v>
      </c>
      <c r="K2227" s="2">
        <f t="shared" si="173"/>
        <v>0.93012704174228678</v>
      </c>
      <c r="L2227" t="s">
        <v>6112</v>
      </c>
      <c r="M2227" t="s">
        <v>21</v>
      </c>
      <c r="N2227" t="b">
        <f t="shared" si="174"/>
        <v>0</v>
      </c>
    </row>
    <row r="2228" spans="1:14" x14ac:dyDescent="0.15">
      <c r="A2228" t="s">
        <v>14371</v>
      </c>
      <c r="B2228" t="s">
        <v>14383</v>
      </c>
      <c r="C2228" t="s">
        <v>14493</v>
      </c>
      <c r="D2228" t="s">
        <v>23</v>
      </c>
      <c r="E2228" t="s">
        <v>11737</v>
      </c>
      <c r="F2228" s="5">
        <f t="shared" si="171"/>
        <v>16260000</v>
      </c>
      <c r="G2228" s="5">
        <v>16260000</v>
      </c>
      <c r="H2228" s="4">
        <v>12933000</v>
      </c>
      <c r="I2228" s="2">
        <f t="shared" si="172"/>
        <v>0.7953874538745388</v>
      </c>
      <c r="J2228" s="4">
        <v>15200000</v>
      </c>
      <c r="K2228" s="2">
        <f t="shared" si="173"/>
        <v>0.93480934809348093</v>
      </c>
      <c r="L2228" t="s">
        <v>14392</v>
      </c>
      <c r="M2228" t="s">
        <v>165</v>
      </c>
      <c r="N2228" t="b">
        <f t="shared" si="174"/>
        <v>0</v>
      </c>
    </row>
    <row r="2229" spans="1:14" x14ac:dyDescent="0.15">
      <c r="A2229" t="s">
        <v>14371</v>
      </c>
      <c r="B2229" t="s">
        <v>14383</v>
      </c>
      <c r="C2229" t="s">
        <v>14494</v>
      </c>
      <c r="D2229" t="s">
        <v>23</v>
      </c>
      <c r="E2229" t="s">
        <v>14495</v>
      </c>
      <c r="F2229" s="5">
        <f t="shared" si="171"/>
        <v>10130000</v>
      </c>
      <c r="G2229" s="5">
        <v>10130000</v>
      </c>
      <c r="H2229" s="4">
        <v>8056000</v>
      </c>
      <c r="I2229" s="2">
        <f t="shared" si="172"/>
        <v>0.79526159921026651</v>
      </c>
      <c r="J2229" s="4">
        <v>9200000</v>
      </c>
      <c r="K2229" s="2">
        <f t="shared" si="173"/>
        <v>0.90819348469891414</v>
      </c>
      <c r="L2229" t="s">
        <v>14392</v>
      </c>
      <c r="M2229" t="s">
        <v>165</v>
      </c>
      <c r="N2229" t="b">
        <f t="shared" si="174"/>
        <v>0</v>
      </c>
    </row>
    <row r="2230" spans="1:14" x14ac:dyDescent="0.15">
      <c r="A2230" t="s">
        <v>14371</v>
      </c>
      <c r="B2230" t="s">
        <v>14383</v>
      </c>
      <c r="C2230" t="s">
        <v>14496</v>
      </c>
      <c r="D2230" t="s">
        <v>23</v>
      </c>
      <c r="E2230" t="s">
        <v>14497</v>
      </c>
      <c r="F2230" s="5">
        <f t="shared" ref="F2230:F2238" si="175">G2230</f>
        <v>1599000</v>
      </c>
      <c r="G2230" s="5">
        <v>1599000</v>
      </c>
      <c r="I2230" s="2">
        <f t="shared" si="172"/>
        <v>0</v>
      </c>
      <c r="J2230" s="4">
        <v>1140000</v>
      </c>
      <c r="K2230" s="2">
        <f t="shared" si="173"/>
        <v>0.71294559099437149</v>
      </c>
      <c r="L2230" t="s">
        <v>1558</v>
      </c>
      <c r="M2230" t="s">
        <v>1015</v>
      </c>
      <c r="N2230" t="b">
        <f t="shared" si="174"/>
        <v>0</v>
      </c>
    </row>
    <row r="2231" spans="1:14" x14ac:dyDescent="0.15">
      <c r="A2231" t="s">
        <v>14371</v>
      </c>
      <c r="B2231" t="s">
        <v>14383</v>
      </c>
      <c r="C2231" t="s">
        <v>14498</v>
      </c>
      <c r="D2231" t="s">
        <v>23</v>
      </c>
      <c r="E2231" t="s">
        <v>14497</v>
      </c>
      <c r="F2231" s="5">
        <f t="shared" si="175"/>
        <v>6420000</v>
      </c>
      <c r="G2231" s="5">
        <v>6420000</v>
      </c>
      <c r="H2231" s="4">
        <v>5106000</v>
      </c>
      <c r="I2231" s="2">
        <f t="shared" si="172"/>
        <v>0.79532710280373831</v>
      </c>
      <c r="J2231" s="4">
        <v>5439000</v>
      </c>
      <c r="K2231" s="2">
        <f t="shared" si="173"/>
        <v>0.84719626168224305</v>
      </c>
      <c r="L2231" t="s">
        <v>14411</v>
      </c>
      <c r="M2231" t="s">
        <v>165</v>
      </c>
      <c r="N2231" t="b">
        <f t="shared" si="174"/>
        <v>0</v>
      </c>
    </row>
    <row r="2232" spans="1:14" x14ac:dyDescent="0.15">
      <c r="A2232" t="s">
        <v>14371</v>
      </c>
      <c r="B2232" t="s">
        <v>14407</v>
      </c>
      <c r="C2232" t="s">
        <v>14499</v>
      </c>
      <c r="D2232" t="s">
        <v>23</v>
      </c>
      <c r="E2232" t="s">
        <v>14500</v>
      </c>
      <c r="F2232" s="5">
        <f t="shared" si="175"/>
        <v>1702000</v>
      </c>
      <c r="G2232" s="5">
        <v>1702000</v>
      </c>
      <c r="I2232" s="2">
        <f t="shared" si="172"/>
        <v>0</v>
      </c>
      <c r="J2232" s="4">
        <v>1060000</v>
      </c>
      <c r="K2232" s="2">
        <f t="shared" si="173"/>
        <v>0.62279670975323154</v>
      </c>
      <c r="L2232" t="s">
        <v>207</v>
      </c>
      <c r="M2232" t="s">
        <v>21</v>
      </c>
      <c r="N2232" t="b">
        <f t="shared" si="174"/>
        <v>0</v>
      </c>
    </row>
    <row r="2233" spans="1:14" x14ac:dyDescent="0.15">
      <c r="A2233" t="s">
        <v>14371</v>
      </c>
      <c r="B2233" t="s">
        <v>14407</v>
      </c>
      <c r="C2233" t="s">
        <v>14501</v>
      </c>
      <c r="D2233" t="s">
        <v>23</v>
      </c>
      <c r="E2233" t="s">
        <v>14502</v>
      </c>
      <c r="F2233" s="5">
        <f t="shared" si="175"/>
        <v>8433000</v>
      </c>
      <c r="G2233" s="5">
        <v>8433000</v>
      </c>
      <c r="H2233" s="4">
        <v>6716000</v>
      </c>
      <c r="I2233" s="2">
        <f t="shared" si="172"/>
        <v>0.79639511443140043</v>
      </c>
      <c r="J2233" s="4">
        <v>7980000</v>
      </c>
      <c r="K2233" s="2">
        <f t="shared" si="173"/>
        <v>0.94628246175738173</v>
      </c>
      <c r="L2233" t="s">
        <v>6112</v>
      </c>
      <c r="M2233" t="s">
        <v>165</v>
      </c>
      <c r="N2233" t="b">
        <f t="shared" si="174"/>
        <v>0</v>
      </c>
    </row>
    <row r="2234" spans="1:14" x14ac:dyDescent="0.15">
      <c r="A2234" t="s">
        <v>14371</v>
      </c>
      <c r="B2234" t="s">
        <v>14383</v>
      </c>
      <c r="C2234" t="s">
        <v>14503</v>
      </c>
      <c r="D2234" t="s">
        <v>23</v>
      </c>
      <c r="E2234" t="s">
        <v>14504</v>
      </c>
      <c r="F2234" s="5">
        <f t="shared" si="175"/>
        <v>24120000</v>
      </c>
      <c r="G2234" s="5">
        <v>24120000</v>
      </c>
      <c r="H2234" s="4">
        <v>19184000</v>
      </c>
      <c r="I2234" s="2">
        <f t="shared" si="172"/>
        <v>0.7953565505804312</v>
      </c>
      <c r="J2234" s="4">
        <v>19280000</v>
      </c>
      <c r="K2234" s="2">
        <f t="shared" si="173"/>
        <v>0.79933665008291876</v>
      </c>
      <c r="L2234" t="s">
        <v>14392</v>
      </c>
      <c r="M2234" t="s">
        <v>165</v>
      </c>
      <c r="N2234" t="b">
        <f t="shared" si="174"/>
        <v>0</v>
      </c>
    </row>
    <row r="2235" spans="1:14" x14ac:dyDescent="0.15">
      <c r="A2235" t="s">
        <v>14371</v>
      </c>
      <c r="B2235" t="s">
        <v>14383</v>
      </c>
      <c r="C2235" t="s">
        <v>14505</v>
      </c>
      <c r="D2235" t="s">
        <v>23</v>
      </c>
      <c r="E2235" t="s">
        <v>14506</v>
      </c>
      <c r="F2235" s="5">
        <f t="shared" si="175"/>
        <v>18176000</v>
      </c>
      <c r="G2235" s="5">
        <v>18176000</v>
      </c>
      <c r="H2235" s="4">
        <v>14456000</v>
      </c>
      <c r="I2235" s="2">
        <f t="shared" si="172"/>
        <v>0.7953345070422535</v>
      </c>
      <c r="J2235" s="4">
        <v>14456000</v>
      </c>
      <c r="K2235" s="2">
        <f t="shared" si="173"/>
        <v>0.7953345070422535</v>
      </c>
      <c r="L2235" t="s">
        <v>6901</v>
      </c>
      <c r="M2235" t="s">
        <v>165</v>
      </c>
      <c r="N2235" t="b">
        <f t="shared" si="174"/>
        <v>0</v>
      </c>
    </row>
    <row r="2236" spans="1:14" x14ac:dyDescent="0.15">
      <c r="A2236" t="s">
        <v>14371</v>
      </c>
      <c r="B2236" t="s">
        <v>14376</v>
      </c>
      <c r="C2236" t="s">
        <v>14507</v>
      </c>
      <c r="D2236" t="s">
        <v>23</v>
      </c>
      <c r="E2236" t="s">
        <v>14508</v>
      </c>
      <c r="F2236" s="5">
        <f t="shared" si="175"/>
        <v>5004000</v>
      </c>
      <c r="G2236" s="5">
        <v>5004000</v>
      </c>
      <c r="H2236" s="4">
        <v>3984000</v>
      </c>
      <c r="I2236" s="2">
        <f t="shared" si="172"/>
        <v>0.79616306954436455</v>
      </c>
      <c r="J2236" s="4">
        <v>4750000</v>
      </c>
      <c r="K2236" s="2">
        <f t="shared" si="173"/>
        <v>0.94924060751398875</v>
      </c>
      <c r="L2236" t="s">
        <v>6112</v>
      </c>
      <c r="M2236" t="s">
        <v>432</v>
      </c>
      <c r="N2236" t="b">
        <f t="shared" si="174"/>
        <v>0</v>
      </c>
    </row>
    <row r="2237" spans="1:14" x14ac:dyDescent="0.15">
      <c r="A2237" t="s">
        <v>14371</v>
      </c>
      <c r="B2237" t="s">
        <v>14376</v>
      </c>
      <c r="C2237" t="s">
        <v>14509</v>
      </c>
      <c r="D2237" t="s">
        <v>23</v>
      </c>
      <c r="E2237" t="s">
        <v>14510</v>
      </c>
      <c r="F2237" s="5">
        <f t="shared" si="175"/>
        <v>771000</v>
      </c>
      <c r="G2237" s="5">
        <v>771000</v>
      </c>
      <c r="I2237" s="2">
        <f t="shared" si="172"/>
        <v>0</v>
      </c>
      <c r="J2237" s="4">
        <v>720000</v>
      </c>
      <c r="K2237" s="2">
        <f t="shared" si="173"/>
        <v>0.93385214007782102</v>
      </c>
      <c r="L2237" t="s">
        <v>6112</v>
      </c>
      <c r="M2237" t="s">
        <v>1015</v>
      </c>
      <c r="N2237" t="b">
        <f t="shared" si="174"/>
        <v>0</v>
      </c>
    </row>
    <row r="2238" spans="1:14" x14ac:dyDescent="0.15">
      <c r="A2238" t="s">
        <v>14371</v>
      </c>
      <c r="B2238" t="s">
        <v>14383</v>
      </c>
      <c r="C2238" t="s">
        <v>14511</v>
      </c>
      <c r="D2238" t="s">
        <v>23</v>
      </c>
      <c r="E2238" t="s">
        <v>14512</v>
      </c>
      <c r="F2238" s="5">
        <f t="shared" si="175"/>
        <v>7940000</v>
      </c>
      <c r="G2238" s="5">
        <v>7940000</v>
      </c>
      <c r="H2238" s="4">
        <v>7146000</v>
      </c>
      <c r="I2238" s="2">
        <f t="shared" si="172"/>
        <v>0.9</v>
      </c>
      <c r="J2238" s="4">
        <v>7400000</v>
      </c>
      <c r="K2238" s="2">
        <f t="shared" si="173"/>
        <v>0.93198992443324935</v>
      </c>
      <c r="L2238" t="s">
        <v>14392</v>
      </c>
      <c r="M2238" t="s">
        <v>432</v>
      </c>
      <c r="N2238" t="b">
        <f t="shared" si="174"/>
        <v>0</v>
      </c>
    </row>
    <row r="2239" spans="1:14" x14ac:dyDescent="0.15">
      <c r="A2239" t="s">
        <v>14513</v>
      </c>
      <c r="B2239" t="s">
        <v>14516</v>
      </c>
      <c r="C2239" t="s">
        <v>14514</v>
      </c>
      <c r="D2239" t="s">
        <v>23</v>
      </c>
      <c r="E2239" t="s">
        <v>14515</v>
      </c>
      <c r="F2239" s="5">
        <v>3832000</v>
      </c>
      <c r="G2239" s="5">
        <v>3832000</v>
      </c>
      <c r="H2239" s="4">
        <v>3074657</v>
      </c>
      <c r="I2239" s="2">
        <f t="shared" si="172"/>
        <v>0.80236351774530268</v>
      </c>
      <c r="J2239" s="4">
        <v>3580000</v>
      </c>
      <c r="K2239" s="2">
        <f t="shared" si="173"/>
        <v>0.93423799582463463</v>
      </c>
      <c r="L2239" t="s">
        <v>332</v>
      </c>
      <c r="M2239" t="s">
        <v>432</v>
      </c>
      <c r="N2239" t="b">
        <f t="shared" si="174"/>
        <v>0</v>
      </c>
    </row>
    <row r="2240" spans="1:14" x14ac:dyDescent="0.15">
      <c r="A2240" t="s">
        <v>14513</v>
      </c>
      <c r="B2240" t="s">
        <v>14516</v>
      </c>
      <c r="C2240" t="s">
        <v>14517</v>
      </c>
      <c r="D2240" t="s">
        <v>23</v>
      </c>
      <c r="E2240" t="s">
        <v>14518</v>
      </c>
      <c r="F2240" s="5">
        <v>4198000</v>
      </c>
      <c r="G2240" s="5">
        <v>4198000</v>
      </c>
      <c r="H2240" s="4">
        <v>3368724</v>
      </c>
      <c r="I2240" s="2">
        <f t="shared" si="172"/>
        <v>0.80245926631729392</v>
      </c>
      <c r="J2240" s="4">
        <v>3970000</v>
      </c>
      <c r="K2240" s="2">
        <f t="shared" si="173"/>
        <v>0.94568842305859935</v>
      </c>
      <c r="L2240" t="s">
        <v>10639</v>
      </c>
      <c r="M2240" t="s">
        <v>432</v>
      </c>
      <c r="N2240" t="b">
        <f t="shared" si="174"/>
        <v>0</v>
      </c>
    </row>
    <row r="2241" spans="1:14" x14ac:dyDescent="0.15">
      <c r="A2241" t="s">
        <v>14513</v>
      </c>
      <c r="B2241" t="s">
        <v>14516</v>
      </c>
      <c r="C2241" t="s">
        <v>14519</v>
      </c>
      <c r="D2241" t="s">
        <v>23</v>
      </c>
      <c r="E2241" t="s">
        <v>14520</v>
      </c>
      <c r="F2241" s="5">
        <v>4225000</v>
      </c>
      <c r="G2241" s="5">
        <v>4225000</v>
      </c>
      <c r="H2241" s="4">
        <v>3393553</v>
      </c>
      <c r="I2241" s="2">
        <f t="shared" si="172"/>
        <v>0.80320781065088753</v>
      </c>
      <c r="J2241" s="4">
        <v>4000000</v>
      </c>
      <c r="K2241" s="2">
        <f t="shared" si="173"/>
        <v>0.94674556213017746</v>
      </c>
      <c r="L2241" t="s">
        <v>360</v>
      </c>
      <c r="M2241" t="s">
        <v>432</v>
      </c>
      <c r="N2241" t="b">
        <f t="shared" si="174"/>
        <v>0</v>
      </c>
    </row>
    <row r="2242" spans="1:14" x14ac:dyDescent="0.15">
      <c r="A2242" t="s">
        <v>14513</v>
      </c>
      <c r="B2242" t="s">
        <v>14516</v>
      </c>
      <c r="C2242" t="s">
        <v>14521</v>
      </c>
      <c r="D2242" t="s">
        <v>23</v>
      </c>
      <c r="E2242" t="s">
        <v>14522</v>
      </c>
      <c r="F2242" s="5">
        <v>8494000</v>
      </c>
      <c r="G2242" s="5">
        <v>8494000</v>
      </c>
      <c r="H2242" s="4">
        <v>6503642</v>
      </c>
      <c r="I2242" s="2">
        <f t="shared" si="172"/>
        <v>0.7656748292912644</v>
      </c>
      <c r="J2242" s="4">
        <v>8490000</v>
      </c>
      <c r="K2242" s="2">
        <f t="shared" si="173"/>
        <v>0.99952907935012947</v>
      </c>
      <c r="L2242" t="s">
        <v>10022</v>
      </c>
      <c r="M2242" t="s">
        <v>165</v>
      </c>
      <c r="N2242" t="b">
        <f t="shared" si="174"/>
        <v>0</v>
      </c>
    </row>
    <row r="2243" spans="1:14" x14ac:dyDescent="0.15">
      <c r="A2243" t="s">
        <v>14513</v>
      </c>
      <c r="B2243" t="s">
        <v>14516</v>
      </c>
      <c r="C2243" t="s">
        <v>11762</v>
      </c>
      <c r="D2243" t="s">
        <v>23</v>
      </c>
      <c r="E2243" t="s">
        <v>14523</v>
      </c>
      <c r="F2243" s="5">
        <v>1946000</v>
      </c>
      <c r="G2243" s="5">
        <v>1946000</v>
      </c>
      <c r="H2243" s="4">
        <v>1501378</v>
      </c>
      <c r="I2243" s="2">
        <f t="shared" si="172"/>
        <v>0.77152004110996919</v>
      </c>
      <c r="J2243" s="4">
        <v>1900000</v>
      </c>
      <c r="K2243" s="2">
        <f t="shared" si="173"/>
        <v>0.97636176772867422</v>
      </c>
      <c r="L2243" t="s">
        <v>574</v>
      </c>
      <c r="M2243" t="s">
        <v>432</v>
      </c>
      <c r="N2243" t="b">
        <f t="shared" si="174"/>
        <v>0</v>
      </c>
    </row>
    <row r="2244" spans="1:14" x14ac:dyDescent="0.15">
      <c r="A2244" t="s">
        <v>14513</v>
      </c>
      <c r="B2244" t="s">
        <v>14516</v>
      </c>
      <c r="C2244" t="s">
        <v>14524</v>
      </c>
      <c r="D2244" t="s">
        <v>23</v>
      </c>
      <c r="E2244" t="s">
        <v>14525</v>
      </c>
      <c r="F2244" s="5">
        <v>5333000</v>
      </c>
      <c r="G2244" s="5">
        <v>5333000</v>
      </c>
      <c r="H2244" s="4">
        <v>4288020</v>
      </c>
      <c r="I2244" s="2">
        <f t="shared" ref="I2244:I2307" si="176">H2244/G2244</f>
        <v>0.80405400337521094</v>
      </c>
      <c r="J2244" s="4">
        <v>4980000</v>
      </c>
      <c r="K2244" s="2">
        <f t="shared" ref="K2244:K2307" si="177">J2244/G2244</f>
        <v>0.93380836302268888</v>
      </c>
      <c r="L2244" t="s">
        <v>14332</v>
      </c>
      <c r="M2244" t="s">
        <v>165</v>
      </c>
      <c r="N2244" t="b">
        <f t="shared" ref="N2244:N2307" si="178">F2244&lt;&gt;G2244</f>
        <v>0</v>
      </c>
    </row>
    <row r="2245" spans="1:14" x14ac:dyDescent="0.15">
      <c r="A2245" t="s">
        <v>14513</v>
      </c>
      <c r="B2245" t="s">
        <v>14516</v>
      </c>
      <c r="C2245" t="s">
        <v>14526</v>
      </c>
      <c r="D2245" t="s">
        <v>23</v>
      </c>
      <c r="E2245" t="s">
        <v>14527</v>
      </c>
      <c r="F2245" s="5">
        <v>5618000</v>
      </c>
      <c r="G2245" s="5">
        <v>5618000</v>
      </c>
      <c r="H2245" s="4">
        <v>4517723</v>
      </c>
      <c r="I2245" s="2">
        <f t="shared" si="176"/>
        <v>0.80415147739409043</v>
      </c>
      <c r="J2245" s="4">
        <v>5200000</v>
      </c>
      <c r="K2245" s="2">
        <f t="shared" si="177"/>
        <v>0.92559629761480955</v>
      </c>
      <c r="L2245" t="s">
        <v>4816</v>
      </c>
      <c r="M2245" t="s">
        <v>165</v>
      </c>
      <c r="N2245" t="b">
        <f t="shared" si="178"/>
        <v>0</v>
      </c>
    </row>
    <row r="2246" spans="1:14" x14ac:dyDescent="0.15">
      <c r="A2246" t="s">
        <v>14513</v>
      </c>
      <c r="B2246" t="s">
        <v>14516</v>
      </c>
      <c r="C2246" t="s">
        <v>14528</v>
      </c>
      <c r="D2246" t="s">
        <v>23</v>
      </c>
      <c r="E2246" t="s">
        <v>14529</v>
      </c>
      <c r="F2246" s="5">
        <v>5621000</v>
      </c>
      <c r="G2246" s="5">
        <v>5621000</v>
      </c>
      <c r="H2246" s="4">
        <v>4518892</v>
      </c>
      <c r="I2246" s="2">
        <f t="shared" si="176"/>
        <v>0.80393026151930258</v>
      </c>
      <c r="J2246" s="4">
        <v>5200000</v>
      </c>
      <c r="K2246" s="2">
        <f t="shared" si="177"/>
        <v>0.92510229496530871</v>
      </c>
      <c r="L2246" t="s">
        <v>2267</v>
      </c>
      <c r="M2246" t="s">
        <v>165</v>
      </c>
      <c r="N2246" t="b">
        <f t="shared" si="178"/>
        <v>0</v>
      </c>
    </row>
    <row r="2247" spans="1:14" x14ac:dyDescent="0.15">
      <c r="A2247" t="s">
        <v>14513</v>
      </c>
      <c r="B2247" t="s">
        <v>14516</v>
      </c>
      <c r="C2247" t="s">
        <v>14530</v>
      </c>
      <c r="D2247" t="s">
        <v>23</v>
      </c>
      <c r="E2247" t="s">
        <v>14531</v>
      </c>
      <c r="F2247" s="5">
        <v>9052000</v>
      </c>
      <c r="G2247" s="5">
        <v>9052000</v>
      </c>
      <c r="H2247" s="4">
        <v>7217893</v>
      </c>
      <c r="I2247" s="2">
        <f t="shared" si="176"/>
        <v>0.79738102076889084</v>
      </c>
      <c r="J2247" s="4">
        <v>8150000</v>
      </c>
      <c r="K2247" s="2">
        <f t="shared" si="177"/>
        <v>0.90035351303579314</v>
      </c>
      <c r="L2247" t="s">
        <v>271</v>
      </c>
      <c r="M2247" t="s">
        <v>432</v>
      </c>
      <c r="N2247" t="b">
        <f t="shared" si="178"/>
        <v>0</v>
      </c>
    </row>
    <row r="2248" spans="1:14" x14ac:dyDescent="0.15">
      <c r="A2248" t="s">
        <v>14513</v>
      </c>
      <c r="B2248" t="s">
        <v>14516</v>
      </c>
      <c r="C2248" t="s">
        <v>14532</v>
      </c>
      <c r="D2248" t="s">
        <v>23</v>
      </c>
      <c r="E2248" t="s">
        <v>14533</v>
      </c>
      <c r="F2248" s="5">
        <v>3734000</v>
      </c>
      <c r="G2248" s="5">
        <v>3734000</v>
      </c>
      <c r="H2248" s="4">
        <v>2949051</v>
      </c>
      <c r="I2248" s="2">
        <f t="shared" si="176"/>
        <v>0.78978334226031066</v>
      </c>
      <c r="J2248" s="4">
        <v>3500000</v>
      </c>
      <c r="K2248" s="2">
        <f t="shared" si="177"/>
        <v>0.93733261917514732</v>
      </c>
      <c r="L2248" t="s">
        <v>10100</v>
      </c>
      <c r="M2248" t="s">
        <v>432</v>
      </c>
      <c r="N2248" t="b">
        <f t="shared" si="178"/>
        <v>0</v>
      </c>
    </row>
    <row r="2249" spans="1:14" x14ac:dyDescent="0.15">
      <c r="A2249" t="s">
        <v>14513</v>
      </c>
      <c r="B2249" t="s">
        <v>14516</v>
      </c>
      <c r="C2249" t="s">
        <v>14534</v>
      </c>
      <c r="D2249" t="s">
        <v>23</v>
      </c>
      <c r="E2249" t="s">
        <v>14535</v>
      </c>
      <c r="F2249" s="5">
        <v>9043000</v>
      </c>
      <c r="G2249" s="5">
        <v>9043000</v>
      </c>
      <c r="H2249" s="4">
        <v>7201122</v>
      </c>
      <c r="I2249" s="2">
        <f t="shared" si="176"/>
        <v>0.79632002653986511</v>
      </c>
      <c r="J2249" s="4">
        <v>8690000</v>
      </c>
      <c r="K2249" s="2">
        <f t="shared" si="177"/>
        <v>0.96096428176490101</v>
      </c>
      <c r="L2249" t="s">
        <v>271</v>
      </c>
      <c r="M2249" t="s">
        <v>165</v>
      </c>
      <c r="N2249" t="b">
        <f t="shared" si="178"/>
        <v>0</v>
      </c>
    </row>
    <row r="2250" spans="1:14" x14ac:dyDescent="0.15">
      <c r="A2250" t="s">
        <v>14513</v>
      </c>
      <c r="B2250" t="s">
        <v>14516</v>
      </c>
      <c r="C2250" t="s">
        <v>14536</v>
      </c>
      <c r="D2250" t="s">
        <v>118</v>
      </c>
      <c r="E2250" t="s">
        <v>14537</v>
      </c>
      <c r="F2250" s="5">
        <v>15587000</v>
      </c>
      <c r="G2250" s="5">
        <v>15587000</v>
      </c>
      <c r="H2250" s="4">
        <v>12504812</v>
      </c>
      <c r="I2250" s="2">
        <f t="shared" si="176"/>
        <v>0.80225906203887853</v>
      </c>
      <c r="J2250" s="4">
        <v>14780000</v>
      </c>
      <c r="K2250" s="2">
        <f t="shared" si="177"/>
        <v>0.94822608584076473</v>
      </c>
      <c r="L2250" t="s">
        <v>5636</v>
      </c>
      <c r="M2250" t="s">
        <v>21</v>
      </c>
      <c r="N2250" t="b">
        <f t="shared" si="178"/>
        <v>0</v>
      </c>
    </row>
    <row r="2251" spans="1:14" x14ac:dyDescent="0.15">
      <c r="A2251" t="s">
        <v>14513</v>
      </c>
      <c r="B2251" t="s">
        <v>14516</v>
      </c>
      <c r="C2251" t="s">
        <v>14538</v>
      </c>
      <c r="D2251" t="s">
        <v>23</v>
      </c>
      <c r="E2251" t="s">
        <v>14539</v>
      </c>
      <c r="F2251" s="5">
        <v>8275000</v>
      </c>
      <c r="G2251" s="5">
        <v>8275000</v>
      </c>
      <c r="H2251" s="4">
        <v>6648788</v>
      </c>
      <c r="I2251" s="2">
        <f t="shared" si="176"/>
        <v>0.80347891238670699</v>
      </c>
      <c r="J2251" s="4">
        <v>6648788</v>
      </c>
      <c r="K2251" s="2">
        <f t="shared" si="177"/>
        <v>0.80347891238670699</v>
      </c>
      <c r="L2251" t="s">
        <v>1541</v>
      </c>
      <c r="M2251" t="s">
        <v>174</v>
      </c>
      <c r="N2251" t="b">
        <f t="shared" si="178"/>
        <v>0</v>
      </c>
    </row>
    <row r="2252" spans="1:14" x14ac:dyDescent="0.15">
      <c r="A2252" t="s">
        <v>14513</v>
      </c>
      <c r="B2252" t="s">
        <v>14516</v>
      </c>
      <c r="C2252" t="s">
        <v>14540</v>
      </c>
      <c r="D2252" t="s">
        <v>23</v>
      </c>
      <c r="E2252" t="s">
        <v>14541</v>
      </c>
      <c r="F2252" s="5">
        <v>8771000</v>
      </c>
      <c r="G2252" s="5">
        <v>8771000</v>
      </c>
      <c r="H2252" s="4">
        <v>7046960</v>
      </c>
      <c r="I2252" s="2">
        <f t="shared" si="176"/>
        <v>0.80343860449207616</v>
      </c>
      <c r="J2252" s="4">
        <v>7046970</v>
      </c>
      <c r="K2252" s="2">
        <f t="shared" si="177"/>
        <v>0.803439744612929</v>
      </c>
      <c r="L2252" t="s">
        <v>10639</v>
      </c>
      <c r="M2252" t="s">
        <v>174</v>
      </c>
      <c r="N2252" t="b">
        <f t="shared" si="178"/>
        <v>0</v>
      </c>
    </row>
    <row r="2253" spans="1:14" x14ac:dyDescent="0.15">
      <c r="A2253" t="s">
        <v>14513</v>
      </c>
      <c r="B2253" t="s">
        <v>14516</v>
      </c>
      <c r="C2253" t="s">
        <v>14542</v>
      </c>
      <c r="D2253" t="s">
        <v>23</v>
      </c>
      <c r="E2253" t="s">
        <v>14543</v>
      </c>
      <c r="F2253" s="5">
        <v>2454000</v>
      </c>
      <c r="G2253" s="5">
        <v>2454000</v>
      </c>
      <c r="H2253" s="4">
        <v>1987740</v>
      </c>
      <c r="I2253" s="2">
        <f t="shared" si="176"/>
        <v>0.81</v>
      </c>
      <c r="J2253" s="4">
        <v>2354000</v>
      </c>
      <c r="K2253" s="2">
        <f t="shared" si="177"/>
        <v>0.95925020374898129</v>
      </c>
      <c r="L2253" t="s">
        <v>12561</v>
      </c>
      <c r="M2253" t="s">
        <v>432</v>
      </c>
      <c r="N2253" t="b">
        <f t="shared" si="178"/>
        <v>0</v>
      </c>
    </row>
    <row r="2254" spans="1:14" x14ac:dyDescent="0.15">
      <c r="A2254" t="s">
        <v>14513</v>
      </c>
      <c r="B2254" t="s">
        <v>14516</v>
      </c>
      <c r="C2254" t="s">
        <v>14544</v>
      </c>
      <c r="D2254" t="s">
        <v>23</v>
      </c>
      <c r="E2254" t="s">
        <v>14545</v>
      </c>
      <c r="F2254" s="5">
        <v>489000</v>
      </c>
      <c r="G2254" s="5">
        <v>489000</v>
      </c>
      <c r="I2254" s="2">
        <f t="shared" si="176"/>
        <v>0</v>
      </c>
      <c r="J2254" s="4">
        <v>462000</v>
      </c>
      <c r="K2254" s="2">
        <f t="shared" si="177"/>
        <v>0.94478527607361962</v>
      </c>
      <c r="L2254" t="s">
        <v>5636</v>
      </c>
      <c r="M2254" t="s">
        <v>432</v>
      </c>
      <c r="N2254" t="b">
        <f t="shared" si="178"/>
        <v>0</v>
      </c>
    </row>
    <row r="2255" spans="1:14" x14ac:dyDescent="0.15">
      <c r="A2255" t="s">
        <v>14513</v>
      </c>
      <c r="B2255" t="s">
        <v>14516</v>
      </c>
      <c r="C2255" t="s">
        <v>14546</v>
      </c>
      <c r="D2255" t="s">
        <v>23</v>
      </c>
      <c r="E2255" t="s">
        <v>14547</v>
      </c>
      <c r="F2255" s="5">
        <v>8113000</v>
      </c>
      <c r="G2255" s="5">
        <v>8113000</v>
      </c>
      <c r="H2255" s="4">
        <v>6530433</v>
      </c>
      <c r="I2255" s="2">
        <f t="shared" si="176"/>
        <v>0.80493442622950817</v>
      </c>
      <c r="J2255" s="4">
        <v>6534000</v>
      </c>
      <c r="K2255" s="2">
        <f t="shared" si="177"/>
        <v>0.80537409096511769</v>
      </c>
      <c r="L2255" t="s">
        <v>4042</v>
      </c>
      <c r="M2255" t="s">
        <v>126</v>
      </c>
      <c r="N2255" t="b">
        <f t="shared" si="178"/>
        <v>0</v>
      </c>
    </row>
    <row r="2256" spans="1:14" x14ac:dyDescent="0.15">
      <c r="A2256" t="s">
        <v>14513</v>
      </c>
      <c r="B2256" t="s">
        <v>14516</v>
      </c>
      <c r="C2256" t="s">
        <v>14548</v>
      </c>
      <c r="D2256" t="s">
        <v>23</v>
      </c>
      <c r="E2256" t="s">
        <v>14549</v>
      </c>
      <c r="F2256" s="5">
        <v>2372000</v>
      </c>
      <c r="G2256" s="5">
        <v>2372000</v>
      </c>
      <c r="H2256" s="4">
        <v>1850936</v>
      </c>
      <c r="I2256" s="2">
        <f t="shared" si="176"/>
        <v>0.78032715008431708</v>
      </c>
      <c r="J2256" s="4">
        <v>2000000</v>
      </c>
      <c r="K2256" s="2">
        <f t="shared" si="177"/>
        <v>0.84317032040472173</v>
      </c>
      <c r="L2256" t="s">
        <v>2267</v>
      </c>
      <c r="M2256" t="s">
        <v>432</v>
      </c>
      <c r="N2256" t="b">
        <f t="shared" si="178"/>
        <v>0</v>
      </c>
    </row>
    <row r="2257" spans="1:14" x14ac:dyDescent="0.15">
      <c r="A2257" t="s">
        <v>14513</v>
      </c>
      <c r="B2257" t="s">
        <v>14516</v>
      </c>
      <c r="C2257" t="s">
        <v>14526</v>
      </c>
      <c r="D2257" t="s">
        <v>23</v>
      </c>
      <c r="E2257" t="s">
        <v>14550</v>
      </c>
      <c r="F2257" s="5">
        <v>7036000</v>
      </c>
      <c r="G2257" s="5">
        <v>7036000</v>
      </c>
      <c r="H2257" s="4">
        <v>5604904</v>
      </c>
      <c r="I2257" s="2">
        <f t="shared" si="176"/>
        <v>0.79660375213189316</v>
      </c>
      <c r="J2257" s="4">
        <v>6800000</v>
      </c>
      <c r="K2257" s="2">
        <f t="shared" si="177"/>
        <v>0.96645821489482664</v>
      </c>
      <c r="L2257" t="s">
        <v>10639</v>
      </c>
      <c r="M2257" t="s">
        <v>165</v>
      </c>
      <c r="N2257" t="b">
        <f t="shared" si="178"/>
        <v>0</v>
      </c>
    </row>
    <row r="2258" spans="1:14" x14ac:dyDescent="0.15">
      <c r="A2258" t="s">
        <v>14513</v>
      </c>
      <c r="B2258" t="s">
        <v>14516</v>
      </c>
      <c r="C2258" t="s">
        <v>14551</v>
      </c>
      <c r="D2258" t="s">
        <v>23</v>
      </c>
      <c r="E2258" t="s">
        <v>14552</v>
      </c>
      <c r="F2258" s="5">
        <v>7801000</v>
      </c>
      <c r="G2258" s="5">
        <v>7801000</v>
      </c>
      <c r="H2258" s="4">
        <v>6203890</v>
      </c>
      <c r="I2258" s="2">
        <f t="shared" si="176"/>
        <v>0.79526855531342133</v>
      </c>
      <c r="J2258" s="4">
        <v>7380000</v>
      </c>
      <c r="K2258" s="2">
        <f t="shared" si="177"/>
        <v>0.94603255992821433</v>
      </c>
      <c r="L2258" t="s">
        <v>332</v>
      </c>
      <c r="M2258" t="s">
        <v>165</v>
      </c>
      <c r="N2258" t="b">
        <f t="shared" si="178"/>
        <v>0</v>
      </c>
    </row>
    <row r="2259" spans="1:14" x14ac:dyDescent="0.15">
      <c r="A2259" t="s">
        <v>14513</v>
      </c>
      <c r="B2259" t="s">
        <v>14516</v>
      </c>
      <c r="C2259" t="s">
        <v>14553</v>
      </c>
      <c r="D2259" t="s">
        <v>23</v>
      </c>
      <c r="E2259" t="s">
        <v>14554</v>
      </c>
      <c r="F2259" s="5">
        <v>9076000</v>
      </c>
      <c r="G2259" s="5">
        <v>9076000</v>
      </c>
      <c r="H2259" s="4">
        <v>7218452</v>
      </c>
      <c r="I2259" s="2">
        <f t="shared" si="176"/>
        <v>0.79533406787130889</v>
      </c>
      <c r="J2259" s="4">
        <v>8200000</v>
      </c>
      <c r="K2259" s="2">
        <f t="shared" si="177"/>
        <v>0.90348171000440725</v>
      </c>
      <c r="L2259" t="s">
        <v>10639</v>
      </c>
      <c r="M2259" t="s">
        <v>165</v>
      </c>
      <c r="N2259" t="b">
        <f t="shared" si="178"/>
        <v>0</v>
      </c>
    </row>
    <row r="2260" spans="1:14" x14ac:dyDescent="0.15">
      <c r="A2260" t="s">
        <v>14513</v>
      </c>
      <c r="B2260" t="s">
        <v>14516</v>
      </c>
      <c r="C2260" t="s">
        <v>14555</v>
      </c>
      <c r="D2260" t="s">
        <v>118</v>
      </c>
      <c r="E2260" t="s">
        <v>14556</v>
      </c>
      <c r="F2260" s="5">
        <v>30564000</v>
      </c>
      <c r="G2260" s="5">
        <v>30564000</v>
      </c>
      <c r="H2260" s="4">
        <v>24323979</v>
      </c>
      <c r="I2260" s="2">
        <f t="shared" si="176"/>
        <v>0.79583755398508049</v>
      </c>
      <c r="J2260" s="4">
        <v>24324590</v>
      </c>
      <c r="K2260" s="2">
        <f t="shared" si="177"/>
        <v>0.79585754482397597</v>
      </c>
      <c r="L2260" t="s">
        <v>2375</v>
      </c>
      <c r="M2260" t="s">
        <v>432</v>
      </c>
      <c r="N2260" t="b">
        <f t="shared" si="178"/>
        <v>0</v>
      </c>
    </row>
    <row r="2261" spans="1:14" x14ac:dyDescent="0.15">
      <c r="A2261" t="s">
        <v>14513</v>
      </c>
      <c r="B2261" t="s">
        <v>14516</v>
      </c>
      <c r="C2261" t="s">
        <v>14557</v>
      </c>
      <c r="D2261" t="s">
        <v>23</v>
      </c>
      <c r="E2261" t="s">
        <v>14558</v>
      </c>
      <c r="F2261" s="5">
        <v>6657000</v>
      </c>
      <c r="G2261" s="5">
        <v>6657000</v>
      </c>
      <c r="H2261" s="4">
        <v>5263923</v>
      </c>
      <c r="I2261" s="2">
        <f t="shared" si="176"/>
        <v>0.79073501577287064</v>
      </c>
      <c r="J2261" s="4">
        <v>5325000</v>
      </c>
      <c r="K2261" s="2">
        <f t="shared" si="177"/>
        <v>0.79990986931050023</v>
      </c>
      <c r="L2261" t="s">
        <v>271</v>
      </c>
      <c r="M2261" t="s">
        <v>165</v>
      </c>
      <c r="N2261" t="b">
        <f t="shared" si="178"/>
        <v>0</v>
      </c>
    </row>
    <row r="2262" spans="1:14" x14ac:dyDescent="0.15">
      <c r="A2262" t="s">
        <v>14513</v>
      </c>
      <c r="B2262" t="s">
        <v>14516</v>
      </c>
      <c r="C2262" t="s">
        <v>14559</v>
      </c>
      <c r="D2262" t="s">
        <v>23</v>
      </c>
      <c r="E2262" t="s">
        <v>14560</v>
      </c>
      <c r="F2262" s="5">
        <v>8269000</v>
      </c>
      <c r="G2262" s="5">
        <v>8269000</v>
      </c>
      <c r="H2262" s="4">
        <v>6575964</v>
      </c>
      <c r="I2262" s="2">
        <f t="shared" si="176"/>
        <v>0.79525504897811106</v>
      </c>
      <c r="J2262" s="4">
        <v>7850000</v>
      </c>
      <c r="K2262" s="2">
        <f t="shared" si="177"/>
        <v>0.94932881847865525</v>
      </c>
      <c r="L2262" t="s">
        <v>5636</v>
      </c>
      <c r="M2262" t="s">
        <v>165</v>
      </c>
      <c r="N2262" t="b">
        <f t="shared" si="178"/>
        <v>0</v>
      </c>
    </row>
    <row r="2263" spans="1:14" x14ac:dyDescent="0.15">
      <c r="A2263" t="s">
        <v>14513</v>
      </c>
      <c r="B2263" t="s">
        <v>14516</v>
      </c>
      <c r="C2263" t="s">
        <v>14561</v>
      </c>
      <c r="D2263" t="s">
        <v>23</v>
      </c>
      <c r="E2263" t="s">
        <v>14562</v>
      </c>
      <c r="F2263" s="5">
        <v>3097000</v>
      </c>
      <c r="G2263" s="5">
        <v>3097000</v>
      </c>
      <c r="H2263" s="4">
        <v>2466584</v>
      </c>
      <c r="I2263" s="2">
        <f t="shared" si="176"/>
        <v>0.79644300936390056</v>
      </c>
      <c r="J2263" s="4">
        <v>2700000</v>
      </c>
      <c r="K2263" s="2">
        <f t="shared" si="177"/>
        <v>0.87181143041653208</v>
      </c>
      <c r="L2263" t="s">
        <v>10022</v>
      </c>
      <c r="M2263" t="s">
        <v>432</v>
      </c>
      <c r="N2263" t="b">
        <f t="shared" si="178"/>
        <v>0</v>
      </c>
    </row>
    <row r="2264" spans="1:14" x14ac:dyDescent="0.15">
      <c r="A2264" t="s">
        <v>14513</v>
      </c>
      <c r="B2264" t="s">
        <v>14516</v>
      </c>
      <c r="C2264" t="s">
        <v>14563</v>
      </c>
      <c r="D2264" t="s">
        <v>23</v>
      </c>
      <c r="E2264" t="s">
        <v>14564</v>
      </c>
      <c r="F2264" s="5">
        <v>4827000</v>
      </c>
      <c r="G2264" s="5">
        <v>4827000</v>
      </c>
      <c r="H2264" s="4">
        <v>3788732</v>
      </c>
      <c r="I2264" s="2">
        <f t="shared" si="176"/>
        <v>0.78490408120986122</v>
      </c>
      <c r="J2264" s="4">
        <v>4500000</v>
      </c>
      <c r="K2264" s="2">
        <f t="shared" si="177"/>
        <v>0.93225605966438785</v>
      </c>
      <c r="L2264" t="s">
        <v>2267</v>
      </c>
      <c r="M2264" t="s">
        <v>432</v>
      </c>
      <c r="N2264" t="b">
        <f t="shared" si="178"/>
        <v>0</v>
      </c>
    </row>
    <row r="2265" spans="1:14" x14ac:dyDescent="0.15">
      <c r="A2265" t="s">
        <v>14513</v>
      </c>
      <c r="B2265" t="s">
        <v>14516</v>
      </c>
      <c r="C2265" t="s">
        <v>14565</v>
      </c>
      <c r="D2265" t="s">
        <v>23</v>
      </c>
      <c r="E2265" t="s">
        <v>14011</v>
      </c>
      <c r="F2265" s="5">
        <v>1670000</v>
      </c>
      <c r="G2265" s="5">
        <v>1670000</v>
      </c>
      <c r="H2265" s="4">
        <v>1328060</v>
      </c>
      <c r="I2265" s="2">
        <f t="shared" si="176"/>
        <v>0.79524550898203594</v>
      </c>
      <c r="J2265" s="4">
        <v>1480000</v>
      </c>
      <c r="K2265" s="2">
        <f t="shared" si="177"/>
        <v>0.88622754491017963</v>
      </c>
      <c r="L2265" t="s">
        <v>5636</v>
      </c>
      <c r="M2265" t="s">
        <v>432</v>
      </c>
      <c r="N2265" t="b">
        <f t="shared" si="178"/>
        <v>0</v>
      </c>
    </row>
    <row r="2266" spans="1:14" x14ac:dyDescent="0.15">
      <c r="A2266" t="s">
        <v>14513</v>
      </c>
      <c r="B2266" t="s">
        <v>14516</v>
      </c>
      <c r="C2266" t="s">
        <v>14542</v>
      </c>
      <c r="D2266" t="s">
        <v>23</v>
      </c>
      <c r="E2266" t="s">
        <v>14566</v>
      </c>
      <c r="F2266" s="5">
        <v>2373000</v>
      </c>
      <c r="G2266" s="5">
        <v>2373000</v>
      </c>
      <c r="H2266" s="4">
        <v>1898400</v>
      </c>
      <c r="I2266" s="2">
        <f t="shared" si="176"/>
        <v>0.8</v>
      </c>
      <c r="J2266" s="4">
        <v>2270000</v>
      </c>
      <c r="K2266" s="2">
        <f t="shared" si="177"/>
        <v>0.95659502739148761</v>
      </c>
      <c r="L2266" t="s">
        <v>12561</v>
      </c>
      <c r="M2266" t="s">
        <v>432</v>
      </c>
      <c r="N2266" t="b">
        <f t="shared" si="178"/>
        <v>0</v>
      </c>
    </row>
    <row r="2267" spans="1:14" x14ac:dyDescent="0.15">
      <c r="A2267" t="s">
        <v>14513</v>
      </c>
      <c r="B2267" t="s">
        <v>14516</v>
      </c>
      <c r="C2267" t="s">
        <v>14544</v>
      </c>
      <c r="D2267" t="s">
        <v>23</v>
      </c>
      <c r="E2267" t="s">
        <v>14188</v>
      </c>
      <c r="F2267" s="5">
        <v>440000</v>
      </c>
      <c r="G2267" s="5">
        <v>440000</v>
      </c>
      <c r="I2267" s="2">
        <f t="shared" si="176"/>
        <v>0</v>
      </c>
      <c r="J2267" s="4">
        <v>415000</v>
      </c>
      <c r="K2267" s="2">
        <f t="shared" si="177"/>
        <v>0.94318181818181823</v>
      </c>
      <c r="L2267" t="s">
        <v>5636</v>
      </c>
      <c r="M2267" t="s">
        <v>432</v>
      </c>
      <c r="N2267" t="b">
        <f t="shared" si="178"/>
        <v>0</v>
      </c>
    </row>
    <row r="2268" spans="1:14" x14ac:dyDescent="0.15">
      <c r="A2268" t="s">
        <v>14567</v>
      </c>
      <c r="B2268" t="s">
        <v>14570</v>
      </c>
      <c r="C2268" t="s">
        <v>14568</v>
      </c>
      <c r="D2268" t="s">
        <v>23</v>
      </c>
      <c r="E2268" t="s">
        <v>14569</v>
      </c>
      <c r="F2268" s="5">
        <f t="shared" ref="F2268:F2331" si="179">G2268</f>
        <v>3436000</v>
      </c>
      <c r="G2268" s="5">
        <v>3436000</v>
      </c>
      <c r="I2268" s="2">
        <f t="shared" si="176"/>
        <v>0</v>
      </c>
      <c r="J2268" s="4">
        <v>3200000</v>
      </c>
      <c r="K2268" s="2">
        <f t="shared" si="177"/>
        <v>0.93131548311990686</v>
      </c>
      <c r="L2268" t="s">
        <v>2674</v>
      </c>
      <c r="M2268" t="s">
        <v>1015</v>
      </c>
      <c r="N2268" t="b">
        <f t="shared" si="178"/>
        <v>0</v>
      </c>
    </row>
    <row r="2269" spans="1:14" x14ac:dyDescent="0.15">
      <c r="A2269" t="s">
        <v>14567</v>
      </c>
      <c r="B2269" t="s">
        <v>14570</v>
      </c>
      <c r="C2269" t="s">
        <v>14571</v>
      </c>
      <c r="D2269" t="s">
        <v>23</v>
      </c>
      <c r="E2269" t="s">
        <v>14572</v>
      </c>
      <c r="F2269" s="5">
        <f t="shared" si="179"/>
        <v>5607000</v>
      </c>
      <c r="G2269" s="5">
        <v>5607000</v>
      </c>
      <c r="H2269" s="4">
        <v>3364200</v>
      </c>
      <c r="I2269" s="2">
        <f t="shared" si="176"/>
        <v>0.6</v>
      </c>
      <c r="J2269" s="4">
        <v>5300000</v>
      </c>
      <c r="K2269" s="2">
        <f t="shared" si="177"/>
        <v>0.94524701266274302</v>
      </c>
      <c r="L2269" t="s">
        <v>2674</v>
      </c>
      <c r="M2269" t="s">
        <v>432</v>
      </c>
      <c r="N2269" t="b">
        <f t="shared" si="178"/>
        <v>0</v>
      </c>
    </row>
    <row r="2270" spans="1:14" x14ac:dyDescent="0.15">
      <c r="A2270" t="s">
        <v>14567</v>
      </c>
      <c r="B2270" t="s">
        <v>14570</v>
      </c>
      <c r="C2270" t="s">
        <v>14573</v>
      </c>
      <c r="D2270" t="s">
        <v>23</v>
      </c>
      <c r="E2270" t="s">
        <v>14574</v>
      </c>
      <c r="F2270" s="5">
        <f t="shared" si="179"/>
        <v>5019000</v>
      </c>
      <c r="G2270" s="5">
        <v>5019000</v>
      </c>
      <c r="H2270" s="4">
        <v>3011400</v>
      </c>
      <c r="I2270" s="2">
        <f t="shared" si="176"/>
        <v>0.6</v>
      </c>
      <c r="J2270" s="4">
        <v>4700000</v>
      </c>
      <c r="K2270" s="2">
        <f t="shared" si="177"/>
        <v>0.93644152221558075</v>
      </c>
      <c r="L2270" t="s">
        <v>14575</v>
      </c>
      <c r="M2270" t="s">
        <v>432</v>
      </c>
      <c r="N2270" t="b">
        <f t="shared" si="178"/>
        <v>0</v>
      </c>
    </row>
    <row r="2271" spans="1:14" x14ac:dyDescent="0.15">
      <c r="A2271" t="s">
        <v>14567</v>
      </c>
      <c r="B2271" t="s">
        <v>14570</v>
      </c>
      <c r="C2271" t="s">
        <v>14576</v>
      </c>
      <c r="D2271" t="s">
        <v>23</v>
      </c>
      <c r="E2271" t="s">
        <v>14577</v>
      </c>
      <c r="F2271" s="5">
        <f t="shared" si="179"/>
        <v>6400000</v>
      </c>
      <c r="G2271" s="5">
        <v>6400000</v>
      </c>
      <c r="H2271" s="4">
        <v>3840000</v>
      </c>
      <c r="I2271" s="2">
        <f t="shared" si="176"/>
        <v>0.6</v>
      </c>
      <c r="J2271" s="4">
        <v>6000000</v>
      </c>
      <c r="K2271" s="2">
        <f t="shared" si="177"/>
        <v>0.9375</v>
      </c>
      <c r="L2271" t="s">
        <v>1541</v>
      </c>
      <c r="M2271" t="s">
        <v>432</v>
      </c>
      <c r="N2271" t="b">
        <f t="shared" si="178"/>
        <v>0</v>
      </c>
    </row>
    <row r="2272" spans="1:14" x14ac:dyDescent="0.15">
      <c r="A2272" t="s">
        <v>14567</v>
      </c>
      <c r="B2272" t="s">
        <v>14570</v>
      </c>
      <c r="C2272" t="s">
        <v>14578</v>
      </c>
      <c r="D2272" t="s">
        <v>23</v>
      </c>
      <c r="E2272" t="s">
        <v>14579</v>
      </c>
      <c r="F2272" s="5">
        <f t="shared" si="179"/>
        <v>13950000</v>
      </c>
      <c r="G2272" s="5">
        <v>13950000</v>
      </c>
      <c r="H2272" s="4">
        <v>8370000</v>
      </c>
      <c r="I2272" s="2">
        <f t="shared" si="176"/>
        <v>0.6</v>
      </c>
      <c r="J2272" s="4">
        <v>13000000</v>
      </c>
      <c r="K2272" s="2">
        <f t="shared" si="177"/>
        <v>0.93189964157706096</v>
      </c>
      <c r="L2272" t="s">
        <v>14580</v>
      </c>
      <c r="M2272" t="s">
        <v>432</v>
      </c>
      <c r="N2272" t="b">
        <f t="shared" si="178"/>
        <v>0</v>
      </c>
    </row>
    <row r="2273" spans="1:14" x14ac:dyDescent="0.15">
      <c r="A2273" t="s">
        <v>14567</v>
      </c>
      <c r="B2273" t="s">
        <v>14570</v>
      </c>
      <c r="C2273" t="s">
        <v>14581</v>
      </c>
      <c r="D2273" t="s">
        <v>23</v>
      </c>
      <c r="E2273" t="s">
        <v>14582</v>
      </c>
      <c r="F2273" s="5">
        <f t="shared" si="179"/>
        <v>11658000</v>
      </c>
      <c r="G2273" s="5">
        <v>11658000</v>
      </c>
      <c r="H2273" s="4">
        <v>6994800</v>
      </c>
      <c r="I2273" s="2">
        <f t="shared" si="176"/>
        <v>0.6</v>
      </c>
      <c r="J2273" s="4">
        <v>11000000</v>
      </c>
      <c r="K2273" s="2">
        <f t="shared" si="177"/>
        <v>0.9435580717104135</v>
      </c>
      <c r="L2273" t="s">
        <v>2674</v>
      </c>
      <c r="M2273" t="s">
        <v>432</v>
      </c>
      <c r="N2273" t="b">
        <f t="shared" si="178"/>
        <v>0</v>
      </c>
    </row>
    <row r="2274" spans="1:14" x14ac:dyDescent="0.15">
      <c r="A2274" t="s">
        <v>14567</v>
      </c>
      <c r="B2274" t="s">
        <v>14570</v>
      </c>
      <c r="C2274" t="s">
        <v>14583</v>
      </c>
      <c r="D2274" t="s">
        <v>23</v>
      </c>
      <c r="E2274" t="s">
        <v>14584</v>
      </c>
      <c r="F2274" s="5">
        <f t="shared" si="179"/>
        <v>4125000</v>
      </c>
      <c r="G2274" s="5">
        <v>4125000</v>
      </c>
      <c r="I2274" s="2">
        <f t="shared" si="176"/>
        <v>0</v>
      </c>
      <c r="J2274" s="4">
        <v>3900000</v>
      </c>
      <c r="K2274" s="2">
        <f t="shared" si="177"/>
        <v>0.94545454545454544</v>
      </c>
      <c r="L2274" t="s">
        <v>1458</v>
      </c>
      <c r="M2274" t="s">
        <v>1015</v>
      </c>
      <c r="N2274" t="b">
        <f t="shared" si="178"/>
        <v>0</v>
      </c>
    </row>
    <row r="2275" spans="1:14" x14ac:dyDescent="0.15">
      <c r="A2275" t="s">
        <v>14567</v>
      </c>
      <c r="B2275" t="s">
        <v>14570</v>
      </c>
      <c r="C2275" t="s">
        <v>14585</v>
      </c>
      <c r="D2275" t="s">
        <v>23</v>
      </c>
      <c r="E2275" t="s">
        <v>14586</v>
      </c>
      <c r="F2275" s="5">
        <f t="shared" si="179"/>
        <v>10645000</v>
      </c>
      <c r="G2275" s="5">
        <v>10645000</v>
      </c>
      <c r="H2275" s="4">
        <v>6387000</v>
      </c>
      <c r="I2275" s="2">
        <f t="shared" si="176"/>
        <v>0.6</v>
      </c>
      <c r="J2275" s="4">
        <v>10100000</v>
      </c>
      <c r="K2275" s="2">
        <f t="shared" si="177"/>
        <v>0.94880225457961487</v>
      </c>
      <c r="L2275" t="s">
        <v>2674</v>
      </c>
      <c r="M2275" t="s">
        <v>432</v>
      </c>
      <c r="N2275" t="b">
        <f t="shared" si="178"/>
        <v>0</v>
      </c>
    </row>
    <row r="2276" spans="1:14" x14ac:dyDescent="0.15">
      <c r="A2276" t="s">
        <v>14567</v>
      </c>
      <c r="B2276" t="s">
        <v>14570</v>
      </c>
      <c r="C2276" t="s">
        <v>11560</v>
      </c>
      <c r="D2276" t="s">
        <v>23</v>
      </c>
      <c r="E2276" t="s">
        <v>14587</v>
      </c>
      <c r="F2276" s="5">
        <f t="shared" si="179"/>
        <v>6663000</v>
      </c>
      <c r="G2276" s="5">
        <v>6663000</v>
      </c>
      <c r="H2276" s="4">
        <v>3997800</v>
      </c>
      <c r="I2276" s="2">
        <f t="shared" si="176"/>
        <v>0.6</v>
      </c>
      <c r="J2276" s="4">
        <v>3998340</v>
      </c>
      <c r="K2276" s="2">
        <f t="shared" si="177"/>
        <v>0.60008104457451594</v>
      </c>
      <c r="L2276" t="s">
        <v>1008</v>
      </c>
      <c r="M2276" t="s">
        <v>432</v>
      </c>
      <c r="N2276" t="b">
        <f t="shared" si="178"/>
        <v>0</v>
      </c>
    </row>
    <row r="2277" spans="1:14" x14ac:dyDescent="0.15">
      <c r="A2277" t="s">
        <v>14567</v>
      </c>
      <c r="B2277" t="s">
        <v>14570</v>
      </c>
      <c r="C2277" t="s">
        <v>14588</v>
      </c>
      <c r="D2277" t="s">
        <v>23</v>
      </c>
      <c r="E2277" t="s">
        <v>14589</v>
      </c>
      <c r="F2277" s="5">
        <f t="shared" si="179"/>
        <v>6740000</v>
      </c>
      <c r="G2277" s="5">
        <v>6740000</v>
      </c>
      <c r="H2277" s="4">
        <v>4044000</v>
      </c>
      <c r="I2277" s="2">
        <f t="shared" si="176"/>
        <v>0.6</v>
      </c>
      <c r="J2277" s="4">
        <v>6200000</v>
      </c>
      <c r="K2277" s="2">
        <f t="shared" si="177"/>
        <v>0.91988130563798221</v>
      </c>
      <c r="L2277" t="s">
        <v>14575</v>
      </c>
      <c r="M2277" t="s">
        <v>432</v>
      </c>
      <c r="N2277" t="b">
        <f t="shared" si="178"/>
        <v>0</v>
      </c>
    </row>
    <row r="2278" spans="1:14" x14ac:dyDescent="0.15">
      <c r="A2278" t="s">
        <v>14567</v>
      </c>
      <c r="B2278" t="s">
        <v>14570</v>
      </c>
      <c r="C2278" t="s">
        <v>14590</v>
      </c>
      <c r="D2278" t="s">
        <v>23</v>
      </c>
      <c r="E2278" t="s">
        <v>14591</v>
      </c>
      <c r="F2278" s="5">
        <f t="shared" si="179"/>
        <v>3237000</v>
      </c>
      <c r="G2278" s="5">
        <v>3237000</v>
      </c>
      <c r="I2278" s="2">
        <f t="shared" si="176"/>
        <v>0</v>
      </c>
      <c r="J2278" s="4">
        <v>3000000</v>
      </c>
      <c r="K2278" s="2">
        <f t="shared" si="177"/>
        <v>0.92678405931417984</v>
      </c>
      <c r="L2278" t="s">
        <v>14575</v>
      </c>
      <c r="M2278" t="s">
        <v>1015</v>
      </c>
      <c r="N2278" t="b">
        <f t="shared" si="178"/>
        <v>0</v>
      </c>
    </row>
    <row r="2279" spans="1:14" x14ac:dyDescent="0.15">
      <c r="A2279" t="s">
        <v>14567</v>
      </c>
      <c r="B2279" t="s">
        <v>14570</v>
      </c>
      <c r="C2279" t="s">
        <v>14592</v>
      </c>
      <c r="D2279" t="s">
        <v>23</v>
      </c>
      <c r="E2279" t="s">
        <v>14593</v>
      </c>
      <c r="F2279" s="5">
        <f t="shared" si="179"/>
        <v>3935000</v>
      </c>
      <c r="G2279" s="5">
        <v>3935000</v>
      </c>
      <c r="I2279" s="2">
        <f t="shared" si="176"/>
        <v>0</v>
      </c>
      <c r="J2279" s="4">
        <v>3650000</v>
      </c>
      <c r="K2279" s="2">
        <f t="shared" si="177"/>
        <v>0.92757306226175351</v>
      </c>
      <c r="L2279" t="s">
        <v>14575</v>
      </c>
      <c r="M2279" t="s">
        <v>1015</v>
      </c>
      <c r="N2279" t="b">
        <f t="shared" si="178"/>
        <v>0</v>
      </c>
    </row>
    <row r="2280" spans="1:14" x14ac:dyDescent="0.15">
      <c r="A2280" t="s">
        <v>14567</v>
      </c>
      <c r="B2280" t="s">
        <v>14570</v>
      </c>
      <c r="C2280" t="s">
        <v>14594</v>
      </c>
      <c r="D2280" t="s">
        <v>23</v>
      </c>
      <c r="E2280" t="s">
        <v>14595</v>
      </c>
      <c r="F2280" s="5">
        <f t="shared" si="179"/>
        <v>4090000</v>
      </c>
      <c r="G2280" s="5">
        <v>4090000</v>
      </c>
      <c r="I2280" s="2">
        <f t="shared" si="176"/>
        <v>0</v>
      </c>
      <c r="J2280" s="4">
        <v>3800000</v>
      </c>
      <c r="K2280" s="2">
        <f t="shared" si="177"/>
        <v>0.92909535452322733</v>
      </c>
      <c r="L2280" t="s">
        <v>10326</v>
      </c>
      <c r="M2280" t="s">
        <v>1015</v>
      </c>
      <c r="N2280" t="b">
        <f t="shared" si="178"/>
        <v>0</v>
      </c>
    </row>
    <row r="2281" spans="1:14" x14ac:dyDescent="0.15">
      <c r="A2281" t="s">
        <v>14567</v>
      </c>
      <c r="B2281" t="s">
        <v>14570</v>
      </c>
      <c r="C2281" t="s">
        <v>14596</v>
      </c>
      <c r="D2281" t="s">
        <v>23</v>
      </c>
      <c r="E2281" t="s">
        <v>14597</v>
      </c>
      <c r="F2281" s="5">
        <f t="shared" si="179"/>
        <v>1549000</v>
      </c>
      <c r="G2281" s="5">
        <v>1549000</v>
      </c>
      <c r="I2281" s="2">
        <f t="shared" si="176"/>
        <v>0</v>
      </c>
      <c r="J2281" s="4">
        <v>1440000</v>
      </c>
      <c r="K2281" s="2">
        <f t="shared" si="177"/>
        <v>0.92963202065848938</v>
      </c>
      <c r="L2281" t="s">
        <v>14598</v>
      </c>
      <c r="M2281" t="s">
        <v>1015</v>
      </c>
      <c r="N2281" t="b">
        <f t="shared" si="178"/>
        <v>0</v>
      </c>
    </row>
    <row r="2282" spans="1:14" x14ac:dyDescent="0.15">
      <c r="A2282" t="s">
        <v>14567</v>
      </c>
      <c r="B2282" t="s">
        <v>14570</v>
      </c>
      <c r="C2282" t="s">
        <v>14599</v>
      </c>
      <c r="D2282" t="s">
        <v>23</v>
      </c>
      <c r="E2282" t="s">
        <v>14600</v>
      </c>
      <c r="F2282" s="5">
        <f t="shared" si="179"/>
        <v>1400000</v>
      </c>
      <c r="G2282" s="5">
        <v>1400000</v>
      </c>
      <c r="I2282" s="2">
        <f t="shared" si="176"/>
        <v>0</v>
      </c>
      <c r="J2282" s="4">
        <v>1300000</v>
      </c>
      <c r="K2282" s="2">
        <f t="shared" si="177"/>
        <v>0.9285714285714286</v>
      </c>
      <c r="L2282" t="s">
        <v>14575</v>
      </c>
      <c r="M2282" t="s">
        <v>1015</v>
      </c>
      <c r="N2282" t="b">
        <f t="shared" si="178"/>
        <v>0</v>
      </c>
    </row>
    <row r="2283" spans="1:14" x14ac:dyDescent="0.15">
      <c r="A2283" t="s">
        <v>14567</v>
      </c>
      <c r="B2283" t="s">
        <v>14570</v>
      </c>
      <c r="C2283" t="s">
        <v>14601</v>
      </c>
      <c r="D2283" t="s">
        <v>23</v>
      </c>
      <c r="E2283" t="s">
        <v>14602</v>
      </c>
      <c r="F2283" s="5">
        <f t="shared" si="179"/>
        <v>2750000</v>
      </c>
      <c r="G2283" s="5">
        <v>2750000</v>
      </c>
      <c r="I2283" s="2">
        <f t="shared" si="176"/>
        <v>0</v>
      </c>
      <c r="J2283" s="4">
        <v>2500000</v>
      </c>
      <c r="K2283" s="2">
        <f t="shared" si="177"/>
        <v>0.90909090909090906</v>
      </c>
      <c r="L2283" t="s">
        <v>10326</v>
      </c>
      <c r="M2283" t="s">
        <v>1015</v>
      </c>
      <c r="N2283" t="b">
        <f t="shared" si="178"/>
        <v>0</v>
      </c>
    </row>
    <row r="2284" spans="1:14" x14ac:dyDescent="0.15">
      <c r="A2284" t="s">
        <v>14567</v>
      </c>
      <c r="B2284" t="s">
        <v>14570</v>
      </c>
      <c r="C2284" t="s">
        <v>14603</v>
      </c>
      <c r="D2284" t="s">
        <v>23</v>
      </c>
      <c r="E2284" t="s">
        <v>14604</v>
      </c>
      <c r="F2284" s="5">
        <f t="shared" si="179"/>
        <v>4847000</v>
      </c>
      <c r="G2284" s="5">
        <v>4847000</v>
      </c>
      <c r="H2284" s="4">
        <v>2908200</v>
      </c>
      <c r="I2284" s="2">
        <f t="shared" si="176"/>
        <v>0.6</v>
      </c>
      <c r="J2284" s="4">
        <v>4600000</v>
      </c>
      <c r="K2284" s="2">
        <f t="shared" si="177"/>
        <v>0.94904064369713226</v>
      </c>
      <c r="L2284" t="s">
        <v>10194</v>
      </c>
      <c r="M2284" t="s">
        <v>432</v>
      </c>
      <c r="N2284" t="b">
        <f t="shared" si="178"/>
        <v>0</v>
      </c>
    </row>
    <row r="2285" spans="1:14" x14ac:dyDescent="0.15">
      <c r="A2285" t="s">
        <v>14567</v>
      </c>
      <c r="B2285" t="s">
        <v>14570</v>
      </c>
      <c r="C2285" t="s">
        <v>14605</v>
      </c>
      <c r="D2285" t="s">
        <v>23</v>
      </c>
      <c r="E2285" t="s">
        <v>14606</v>
      </c>
      <c r="F2285" s="5">
        <f t="shared" si="179"/>
        <v>15488000</v>
      </c>
      <c r="G2285" s="5">
        <v>15488000</v>
      </c>
      <c r="H2285" s="4">
        <v>9292800</v>
      </c>
      <c r="I2285" s="2">
        <f t="shared" si="176"/>
        <v>0.6</v>
      </c>
      <c r="J2285" s="4">
        <v>14800000</v>
      </c>
      <c r="K2285" s="2">
        <f t="shared" si="177"/>
        <v>0.95557851239669422</v>
      </c>
      <c r="L2285" t="s">
        <v>5068</v>
      </c>
      <c r="M2285" t="s">
        <v>432</v>
      </c>
      <c r="N2285" t="b">
        <f t="shared" si="178"/>
        <v>0</v>
      </c>
    </row>
    <row r="2286" spans="1:14" x14ac:dyDescent="0.15">
      <c r="A2286" t="s">
        <v>14567</v>
      </c>
      <c r="B2286" t="s">
        <v>14570</v>
      </c>
      <c r="C2286" t="s">
        <v>14607</v>
      </c>
      <c r="D2286" t="s">
        <v>23</v>
      </c>
      <c r="E2286" t="s">
        <v>14608</v>
      </c>
      <c r="F2286" s="5">
        <f t="shared" si="179"/>
        <v>6132000</v>
      </c>
      <c r="G2286" s="5">
        <v>6132000</v>
      </c>
      <c r="H2286" s="4">
        <v>3679200</v>
      </c>
      <c r="I2286" s="2">
        <f t="shared" si="176"/>
        <v>0.6</v>
      </c>
      <c r="J2286" s="4">
        <v>5760000</v>
      </c>
      <c r="K2286" s="2">
        <f t="shared" si="177"/>
        <v>0.9393346379647749</v>
      </c>
      <c r="L2286" t="s">
        <v>14598</v>
      </c>
      <c r="M2286" t="s">
        <v>432</v>
      </c>
      <c r="N2286" t="b">
        <f t="shared" si="178"/>
        <v>0</v>
      </c>
    </row>
    <row r="2287" spans="1:14" x14ac:dyDescent="0.15">
      <c r="A2287" t="s">
        <v>14567</v>
      </c>
      <c r="B2287" t="s">
        <v>14570</v>
      </c>
      <c r="C2287" t="s">
        <v>14609</v>
      </c>
      <c r="D2287" t="s">
        <v>23</v>
      </c>
      <c r="E2287" t="s">
        <v>14610</v>
      </c>
      <c r="F2287" s="5">
        <f t="shared" si="179"/>
        <v>4267000</v>
      </c>
      <c r="G2287" s="5">
        <v>4267000</v>
      </c>
      <c r="I2287" s="2">
        <f t="shared" si="176"/>
        <v>0</v>
      </c>
      <c r="J2287" s="4">
        <v>4010000</v>
      </c>
      <c r="K2287" s="2">
        <f t="shared" si="177"/>
        <v>0.93977033044293412</v>
      </c>
      <c r="L2287" t="s">
        <v>14598</v>
      </c>
      <c r="M2287" t="s">
        <v>1015</v>
      </c>
      <c r="N2287" t="b">
        <f t="shared" si="178"/>
        <v>0</v>
      </c>
    </row>
    <row r="2288" spans="1:14" x14ac:dyDescent="0.15">
      <c r="A2288" t="s">
        <v>14567</v>
      </c>
      <c r="B2288" t="s">
        <v>14570</v>
      </c>
      <c r="C2288" t="s">
        <v>14611</v>
      </c>
      <c r="D2288" t="s">
        <v>23</v>
      </c>
      <c r="E2288" t="s">
        <v>14612</v>
      </c>
      <c r="F2288" s="5">
        <f t="shared" si="179"/>
        <v>28721000</v>
      </c>
      <c r="G2288" s="5">
        <v>28721000</v>
      </c>
      <c r="H2288" s="4">
        <v>17232600</v>
      </c>
      <c r="I2288" s="2">
        <f t="shared" si="176"/>
        <v>0.6</v>
      </c>
      <c r="J2288" s="4">
        <v>26740000</v>
      </c>
      <c r="K2288" s="2">
        <f t="shared" si="177"/>
        <v>0.93102607847916163</v>
      </c>
      <c r="L2288" t="s">
        <v>14598</v>
      </c>
      <c r="M2288" t="s">
        <v>432</v>
      </c>
      <c r="N2288" t="b">
        <f t="shared" si="178"/>
        <v>0</v>
      </c>
    </row>
    <row r="2289" spans="1:14" x14ac:dyDescent="0.15">
      <c r="A2289" t="s">
        <v>14567</v>
      </c>
      <c r="B2289" t="s">
        <v>14570</v>
      </c>
      <c r="C2289" t="s">
        <v>14613</v>
      </c>
      <c r="D2289" t="s">
        <v>23</v>
      </c>
      <c r="E2289" t="s">
        <v>14614</v>
      </c>
      <c r="F2289" s="5">
        <f t="shared" si="179"/>
        <v>7002000</v>
      </c>
      <c r="G2289" s="5">
        <v>7002000</v>
      </c>
      <c r="H2289" s="4">
        <v>4201200</v>
      </c>
      <c r="I2289" s="2">
        <f t="shared" si="176"/>
        <v>0.6</v>
      </c>
      <c r="J2289" s="4">
        <v>6640000</v>
      </c>
      <c r="K2289" s="2">
        <f t="shared" si="177"/>
        <v>0.9483004855755498</v>
      </c>
      <c r="L2289" t="s">
        <v>1604</v>
      </c>
      <c r="M2289" t="s">
        <v>432</v>
      </c>
      <c r="N2289" t="b">
        <f t="shared" si="178"/>
        <v>0</v>
      </c>
    </row>
    <row r="2290" spans="1:14" x14ac:dyDescent="0.15">
      <c r="A2290" t="s">
        <v>14567</v>
      </c>
      <c r="B2290" t="s">
        <v>14570</v>
      </c>
      <c r="C2290" t="s">
        <v>14615</v>
      </c>
      <c r="D2290" t="s">
        <v>23</v>
      </c>
      <c r="E2290" t="s">
        <v>14616</v>
      </c>
      <c r="F2290" s="5">
        <f t="shared" si="179"/>
        <v>20793000</v>
      </c>
      <c r="G2290" s="5">
        <v>20793000</v>
      </c>
      <c r="H2290" s="4">
        <v>12475800</v>
      </c>
      <c r="I2290" s="2">
        <f t="shared" si="176"/>
        <v>0.6</v>
      </c>
      <c r="J2290" s="4">
        <v>18800000</v>
      </c>
      <c r="K2290" s="2">
        <f t="shared" si="177"/>
        <v>0.90415043524262972</v>
      </c>
      <c r="L2290" t="s">
        <v>14617</v>
      </c>
      <c r="M2290" t="s">
        <v>432</v>
      </c>
      <c r="N2290" t="b">
        <f t="shared" si="178"/>
        <v>0</v>
      </c>
    </row>
    <row r="2291" spans="1:14" x14ac:dyDescent="0.15">
      <c r="A2291" t="s">
        <v>14567</v>
      </c>
      <c r="B2291" t="s">
        <v>14570</v>
      </c>
      <c r="C2291" t="s">
        <v>14618</v>
      </c>
      <c r="D2291" t="s">
        <v>23</v>
      </c>
      <c r="E2291" t="s">
        <v>14619</v>
      </c>
      <c r="F2291" s="5">
        <f t="shared" si="179"/>
        <v>12773000</v>
      </c>
      <c r="G2291" s="5">
        <v>12773000</v>
      </c>
      <c r="H2291" s="4">
        <v>7663800</v>
      </c>
      <c r="I2291" s="2">
        <f t="shared" si="176"/>
        <v>0.6</v>
      </c>
      <c r="J2291" s="4">
        <v>11800000</v>
      </c>
      <c r="K2291" s="2">
        <f t="shared" si="177"/>
        <v>0.92382369059735381</v>
      </c>
      <c r="L2291" t="s">
        <v>10639</v>
      </c>
      <c r="M2291" t="s">
        <v>432</v>
      </c>
      <c r="N2291" t="b">
        <f t="shared" si="178"/>
        <v>0</v>
      </c>
    </row>
    <row r="2292" spans="1:14" x14ac:dyDescent="0.15">
      <c r="A2292" t="s">
        <v>14567</v>
      </c>
      <c r="B2292" t="s">
        <v>14570</v>
      </c>
      <c r="C2292" t="s">
        <v>14620</v>
      </c>
      <c r="D2292" t="s">
        <v>23</v>
      </c>
      <c r="E2292" t="s">
        <v>14621</v>
      </c>
      <c r="F2292" s="5">
        <f t="shared" si="179"/>
        <v>7341000</v>
      </c>
      <c r="G2292" s="5">
        <v>7341000</v>
      </c>
      <c r="H2292" s="4">
        <v>4404600</v>
      </c>
      <c r="I2292" s="2">
        <f t="shared" si="176"/>
        <v>0.6</v>
      </c>
      <c r="J2292" s="4">
        <v>6800000</v>
      </c>
      <c r="K2292" s="2">
        <f t="shared" si="177"/>
        <v>0.92630431821277759</v>
      </c>
      <c r="L2292" t="s">
        <v>14575</v>
      </c>
      <c r="M2292" t="s">
        <v>432</v>
      </c>
      <c r="N2292" t="b">
        <f t="shared" si="178"/>
        <v>0</v>
      </c>
    </row>
    <row r="2293" spans="1:14" x14ac:dyDescent="0.15">
      <c r="A2293" t="s">
        <v>14567</v>
      </c>
      <c r="B2293" t="s">
        <v>14570</v>
      </c>
      <c r="C2293" t="s">
        <v>14622</v>
      </c>
      <c r="D2293" t="s">
        <v>23</v>
      </c>
      <c r="E2293" t="s">
        <v>14623</v>
      </c>
      <c r="F2293" s="5">
        <f t="shared" si="179"/>
        <v>2980000</v>
      </c>
      <c r="G2293" s="5">
        <v>2980000</v>
      </c>
      <c r="I2293" s="2">
        <f t="shared" si="176"/>
        <v>0</v>
      </c>
      <c r="J2293" s="4">
        <v>2750000</v>
      </c>
      <c r="K2293" s="2">
        <f t="shared" si="177"/>
        <v>0.92281879194630867</v>
      </c>
      <c r="L2293" t="s">
        <v>14575</v>
      </c>
      <c r="M2293" t="s">
        <v>1015</v>
      </c>
      <c r="N2293" t="b">
        <f t="shared" si="178"/>
        <v>0</v>
      </c>
    </row>
    <row r="2294" spans="1:14" x14ac:dyDescent="0.15">
      <c r="A2294" t="s">
        <v>14567</v>
      </c>
      <c r="B2294" t="s">
        <v>14570</v>
      </c>
      <c r="C2294" t="s">
        <v>14624</v>
      </c>
      <c r="D2294" t="s">
        <v>23</v>
      </c>
      <c r="E2294" t="s">
        <v>14625</v>
      </c>
      <c r="F2294" s="5">
        <f t="shared" si="179"/>
        <v>13727000</v>
      </c>
      <c r="G2294" s="5">
        <v>13727000</v>
      </c>
      <c r="H2294" s="4">
        <v>8236200</v>
      </c>
      <c r="I2294" s="2">
        <f t="shared" si="176"/>
        <v>0.6</v>
      </c>
      <c r="J2294" s="4">
        <v>12860000</v>
      </c>
      <c r="K2294" s="2">
        <f t="shared" si="177"/>
        <v>0.93683980476433304</v>
      </c>
      <c r="L2294" t="s">
        <v>14598</v>
      </c>
      <c r="M2294" t="s">
        <v>432</v>
      </c>
      <c r="N2294" t="b">
        <f t="shared" si="178"/>
        <v>0</v>
      </c>
    </row>
    <row r="2295" spans="1:14" x14ac:dyDescent="0.15">
      <c r="A2295" t="s">
        <v>14567</v>
      </c>
      <c r="B2295" t="s">
        <v>14570</v>
      </c>
      <c r="C2295" t="s">
        <v>14626</v>
      </c>
      <c r="D2295" t="s">
        <v>23</v>
      </c>
      <c r="E2295" t="s">
        <v>13710</v>
      </c>
      <c r="F2295" s="5">
        <f t="shared" si="179"/>
        <v>2105000</v>
      </c>
      <c r="G2295" s="5">
        <v>2105000</v>
      </c>
      <c r="I2295" s="2">
        <f t="shared" si="176"/>
        <v>0</v>
      </c>
      <c r="J2295" s="4">
        <v>1970000</v>
      </c>
      <c r="K2295" s="2">
        <f t="shared" si="177"/>
        <v>0.93586698337292162</v>
      </c>
      <c r="L2295" t="s">
        <v>14598</v>
      </c>
      <c r="M2295" t="s">
        <v>1015</v>
      </c>
      <c r="N2295" t="b">
        <f t="shared" si="178"/>
        <v>0</v>
      </c>
    </row>
    <row r="2296" spans="1:14" x14ac:dyDescent="0.15">
      <c r="A2296" t="s">
        <v>14567</v>
      </c>
      <c r="B2296" t="s">
        <v>14570</v>
      </c>
      <c r="C2296" t="s">
        <v>14627</v>
      </c>
      <c r="D2296" t="s">
        <v>23</v>
      </c>
      <c r="E2296" t="s">
        <v>14628</v>
      </c>
      <c r="F2296" s="5">
        <f t="shared" si="179"/>
        <v>11680000</v>
      </c>
      <c r="G2296" s="5">
        <v>11680000</v>
      </c>
      <c r="H2296" s="4">
        <v>7008000</v>
      </c>
      <c r="I2296" s="2">
        <f t="shared" si="176"/>
        <v>0.6</v>
      </c>
      <c r="J2296" s="4">
        <v>7010000</v>
      </c>
      <c r="K2296" s="2">
        <f t="shared" si="177"/>
        <v>0.60017123287671237</v>
      </c>
      <c r="L2296" t="s">
        <v>540</v>
      </c>
      <c r="M2296" t="s">
        <v>432</v>
      </c>
      <c r="N2296" t="b">
        <f t="shared" si="178"/>
        <v>0</v>
      </c>
    </row>
    <row r="2297" spans="1:14" x14ac:dyDescent="0.15">
      <c r="A2297" t="s">
        <v>14567</v>
      </c>
      <c r="B2297" t="s">
        <v>14570</v>
      </c>
      <c r="C2297" t="s">
        <v>14629</v>
      </c>
      <c r="D2297" t="s">
        <v>23</v>
      </c>
      <c r="E2297" t="s">
        <v>14630</v>
      </c>
      <c r="F2297" s="5">
        <f t="shared" si="179"/>
        <v>10243000</v>
      </c>
      <c r="G2297" s="5">
        <v>10243000</v>
      </c>
      <c r="H2297" s="4">
        <v>6145800</v>
      </c>
      <c r="I2297" s="2">
        <f t="shared" si="176"/>
        <v>0.6</v>
      </c>
      <c r="J2297" s="4">
        <v>9700000</v>
      </c>
      <c r="K2297" s="2">
        <f t="shared" si="177"/>
        <v>0.94698818705457388</v>
      </c>
      <c r="L2297" t="s">
        <v>2674</v>
      </c>
      <c r="M2297" t="s">
        <v>432</v>
      </c>
      <c r="N2297" t="b">
        <f t="shared" si="178"/>
        <v>0</v>
      </c>
    </row>
    <row r="2298" spans="1:14" x14ac:dyDescent="0.15">
      <c r="A2298" t="s">
        <v>14567</v>
      </c>
      <c r="B2298" t="s">
        <v>14570</v>
      </c>
      <c r="C2298" t="s">
        <v>14631</v>
      </c>
      <c r="D2298" t="s">
        <v>23</v>
      </c>
      <c r="E2298" t="s">
        <v>14632</v>
      </c>
      <c r="F2298" s="5">
        <f t="shared" si="179"/>
        <v>17483000</v>
      </c>
      <c r="G2298" s="5">
        <v>17483000</v>
      </c>
      <c r="H2298" s="4">
        <v>10489800</v>
      </c>
      <c r="I2298" s="2">
        <f t="shared" si="176"/>
        <v>0.6</v>
      </c>
      <c r="J2298" s="4">
        <v>16300000</v>
      </c>
      <c r="K2298" s="2">
        <f t="shared" si="177"/>
        <v>0.932334267574215</v>
      </c>
      <c r="L2298" t="s">
        <v>14575</v>
      </c>
      <c r="M2298" t="s">
        <v>432</v>
      </c>
      <c r="N2298" t="b">
        <f t="shared" si="178"/>
        <v>0</v>
      </c>
    </row>
    <row r="2299" spans="1:14" x14ac:dyDescent="0.15">
      <c r="A2299" t="s">
        <v>14567</v>
      </c>
      <c r="B2299" t="s">
        <v>14570</v>
      </c>
      <c r="C2299" t="s">
        <v>14633</v>
      </c>
      <c r="D2299" t="s">
        <v>23</v>
      </c>
      <c r="E2299" t="s">
        <v>14634</v>
      </c>
      <c r="F2299" s="5">
        <f t="shared" si="179"/>
        <v>4356000</v>
      </c>
      <c r="G2299" s="5">
        <v>4356000</v>
      </c>
      <c r="I2299" s="2">
        <f t="shared" si="176"/>
        <v>0</v>
      </c>
      <c r="J2299" s="4">
        <v>4050000</v>
      </c>
      <c r="K2299" s="2">
        <f t="shared" si="177"/>
        <v>0.92975206611570249</v>
      </c>
      <c r="L2299" t="s">
        <v>10326</v>
      </c>
      <c r="M2299" t="s">
        <v>1015</v>
      </c>
      <c r="N2299" t="b">
        <f t="shared" si="178"/>
        <v>0</v>
      </c>
    </row>
    <row r="2300" spans="1:14" x14ac:dyDescent="0.15">
      <c r="A2300" t="s">
        <v>14567</v>
      </c>
      <c r="B2300" t="s">
        <v>14570</v>
      </c>
      <c r="C2300" t="s">
        <v>14635</v>
      </c>
      <c r="D2300" t="s">
        <v>23</v>
      </c>
      <c r="E2300" t="s">
        <v>14636</v>
      </c>
      <c r="F2300" s="5">
        <f t="shared" si="179"/>
        <v>4875000</v>
      </c>
      <c r="G2300" s="5">
        <v>4875000</v>
      </c>
      <c r="H2300" s="4">
        <v>2925000</v>
      </c>
      <c r="I2300" s="2">
        <f t="shared" si="176"/>
        <v>0.6</v>
      </c>
      <c r="J2300" s="4">
        <v>4600000</v>
      </c>
      <c r="K2300" s="2">
        <f t="shared" si="177"/>
        <v>0.94358974358974357</v>
      </c>
      <c r="L2300" t="s">
        <v>14575</v>
      </c>
      <c r="M2300" t="s">
        <v>432</v>
      </c>
      <c r="N2300" t="b">
        <f t="shared" si="178"/>
        <v>0</v>
      </c>
    </row>
    <row r="2301" spans="1:14" x14ac:dyDescent="0.15">
      <c r="A2301" t="s">
        <v>14567</v>
      </c>
      <c r="B2301" t="s">
        <v>14570</v>
      </c>
      <c r="C2301" t="s">
        <v>14637</v>
      </c>
      <c r="D2301" t="s">
        <v>23</v>
      </c>
      <c r="E2301" t="s">
        <v>14638</v>
      </c>
      <c r="F2301" s="5">
        <f t="shared" si="179"/>
        <v>6386000</v>
      </c>
      <c r="G2301" s="5">
        <v>6386000</v>
      </c>
      <c r="H2301" s="4">
        <v>3831600</v>
      </c>
      <c r="I2301" s="2">
        <f t="shared" si="176"/>
        <v>0.6</v>
      </c>
      <c r="J2301" s="4">
        <v>5800000</v>
      </c>
      <c r="K2301" s="2">
        <f t="shared" si="177"/>
        <v>0.90823676792984653</v>
      </c>
      <c r="L2301" t="s">
        <v>14575</v>
      </c>
      <c r="M2301" t="s">
        <v>432</v>
      </c>
      <c r="N2301" t="b">
        <f t="shared" si="178"/>
        <v>0</v>
      </c>
    </row>
    <row r="2302" spans="1:14" x14ac:dyDescent="0.15">
      <c r="A2302" t="s">
        <v>14567</v>
      </c>
      <c r="B2302" t="s">
        <v>14570</v>
      </c>
      <c r="C2302" t="s">
        <v>14639</v>
      </c>
      <c r="D2302" t="s">
        <v>23</v>
      </c>
      <c r="E2302" t="s">
        <v>14640</v>
      </c>
      <c r="F2302" s="5">
        <f t="shared" si="179"/>
        <v>4533000</v>
      </c>
      <c r="G2302" s="5">
        <v>4533000</v>
      </c>
      <c r="I2302" s="2">
        <f t="shared" si="176"/>
        <v>0</v>
      </c>
      <c r="J2302" s="4">
        <v>4260000</v>
      </c>
      <c r="K2302" s="2">
        <f t="shared" si="177"/>
        <v>0.93977498345466581</v>
      </c>
      <c r="L2302" t="s">
        <v>14598</v>
      </c>
      <c r="M2302" t="s">
        <v>1015</v>
      </c>
      <c r="N2302" t="b">
        <f t="shared" si="178"/>
        <v>0</v>
      </c>
    </row>
    <row r="2303" spans="1:14" x14ac:dyDescent="0.15">
      <c r="A2303" t="s">
        <v>14567</v>
      </c>
      <c r="B2303" t="s">
        <v>14570</v>
      </c>
      <c r="C2303" t="s">
        <v>14641</v>
      </c>
      <c r="D2303" t="s">
        <v>23</v>
      </c>
      <c r="E2303" t="s">
        <v>14642</v>
      </c>
      <c r="F2303" s="5">
        <f t="shared" si="179"/>
        <v>23103000</v>
      </c>
      <c r="G2303" s="5">
        <v>23103000</v>
      </c>
      <c r="H2303" s="4">
        <v>13861800</v>
      </c>
      <c r="I2303" s="2">
        <f t="shared" si="176"/>
        <v>0.6</v>
      </c>
      <c r="J2303" s="4">
        <v>21940000</v>
      </c>
      <c r="K2303" s="2">
        <f t="shared" si="177"/>
        <v>0.94966021728779815</v>
      </c>
      <c r="L2303" t="s">
        <v>14598</v>
      </c>
      <c r="M2303" t="s">
        <v>432</v>
      </c>
      <c r="N2303" t="b">
        <f t="shared" si="178"/>
        <v>0</v>
      </c>
    </row>
    <row r="2304" spans="1:14" x14ac:dyDescent="0.15">
      <c r="A2304" t="s">
        <v>14567</v>
      </c>
      <c r="B2304" t="s">
        <v>14570</v>
      </c>
      <c r="C2304" t="s">
        <v>14643</v>
      </c>
      <c r="D2304" t="s">
        <v>23</v>
      </c>
      <c r="E2304" t="s">
        <v>14644</v>
      </c>
      <c r="F2304" s="5">
        <f t="shared" si="179"/>
        <v>2864000</v>
      </c>
      <c r="G2304" s="5">
        <v>2864000</v>
      </c>
      <c r="I2304" s="2">
        <f t="shared" si="176"/>
        <v>0</v>
      </c>
      <c r="J2304" s="4">
        <v>2650000</v>
      </c>
      <c r="K2304" s="2">
        <f t="shared" si="177"/>
        <v>0.92527932960893855</v>
      </c>
      <c r="L2304" t="s">
        <v>14598</v>
      </c>
      <c r="M2304" t="s">
        <v>1015</v>
      </c>
      <c r="N2304" t="b">
        <f t="shared" si="178"/>
        <v>0</v>
      </c>
    </row>
    <row r="2305" spans="1:14" x14ac:dyDescent="0.15">
      <c r="A2305" t="s">
        <v>14567</v>
      </c>
      <c r="B2305" t="s">
        <v>14570</v>
      </c>
      <c r="C2305" t="s">
        <v>14645</v>
      </c>
      <c r="D2305" t="s">
        <v>23</v>
      </c>
      <c r="E2305" t="s">
        <v>14646</v>
      </c>
      <c r="F2305" s="5">
        <f t="shared" si="179"/>
        <v>8030000</v>
      </c>
      <c r="G2305" s="5">
        <v>8030000</v>
      </c>
      <c r="H2305" s="4">
        <v>4818000</v>
      </c>
      <c r="I2305" s="2">
        <f t="shared" si="176"/>
        <v>0.6</v>
      </c>
      <c r="J2305" s="4">
        <v>7500000</v>
      </c>
      <c r="K2305" s="2">
        <f t="shared" si="177"/>
        <v>0.93399750933997505</v>
      </c>
      <c r="L2305" t="s">
        <v>14647</v>
      </c>
      <c r="M2305" t="s">
        <v>432</v>
      </c>
      <c r="N2305" t="b">
        <f t="shared" si="178"/>
        <v>0</v>
      </c>
    </row>
    <row r="2306" spans="1:14" x14ac:dyDescent="0.15">
      <c r="A2306" t="s">
        <v>14567</v>
      </c>
      <c r="B2306" t="s">
        <v>14570</v>
      </c>
      <c r="C2306" t="s">
        <v>14648</v>
      </c>
      <c r="D2306" t="s">
        <v>23</v>
      </c>
      <c r="E2306" t="s">
        <v>14649</v>
      </c>
      <c r="F2306" s="5">
        <f t="shared" si="179"/>
        <v>9060000</v>
      </c>
      <c r="G2306" s="5">
        <v>9060000</v>
      </c>
      <c r="H2306" s="4">
        <v>5436000</v>
      </c>
      <c r="I2306" s="2">
        <f t="shared" si="176"/>
        <v>0.6</v>
      </c>
      <c r="J2306" s="4">
        <v>8500000</v>
      </c>
      <c r="K2306" s="2">
        <f t="shared" si="177"/>
        <v>0.9381898454746137</v>
      </c>
      <c r="L2306" t="s">
        <v>14647</v>
      </c>
      <c r="M2306" t="s">
        <v>432</v>
      </c>
      <c r="N2306" t="b">
        <f t="shared" si="178"/>
        <v>0</v>
      </c>
    </row>
    <row r="2307" spans="1:14" x14ac:dyDescent="0.15">
      <c r="A2307" t="s">
        <v>14567</v>
      </c>
      <c r="B2307" t="s">
        <v>14570</v>
      </c>
      <c r="C2307" t="s">
        <v>14650</v>
      </c>
      <c r="D2307" t="s">
        <v>23</v>
      </c>
      <c r="E2307" t="s">
        <v>14651</v>
      </c>
      <c r="F2307" s="5">
        <f t="shared" si="179"/>
        <v>10025000</v>
      </c>
      <c r="G2307" s="5">
        <v>10025000</v>
      </c>
      <c r="H2307" s="4">
        <v>6015000</v>
      </c>
      <c r="I2307" s="2">
        <f t="shared" si="176"/>
        <v>0.6</v>
      </c>
      <c r="J2307" s="4">
        <v>9230000</v>
      </c>
      <c r="K2307" s="2">
        <f t="shared" si="177"/>
        <v>0.92069825436408981</v>
      </c>
      <c r="L2307" t="s">
        <v>332</v>
      </c>
      <c r="M2307" t="s">
        <v>432</v>
      </c>
      <c r="N2307" t="b">
        <f t="shared" si="178"/>
        <v>0</v>
      </c>
    </row>
    <row r="2308" spans="1:14" x14ac:dyDescent="0.15">
      <c r="A2308" t="s">
        <v>14567</v>
      </c>
      <c r="B2308" t="s">
        <v>14570</v>
      </c>
      <c r="C2308" t="s">
        <v>14652</v>
      </c>
      <c r="D2308" t="s">
        <v>23</v>
      </c>
      <c r="E2308" t="s">
        <v>14653</v>
      </c>
      <c r="F2308" s="5">
        <f t="shared" si="179"/>
        <v>6368000</v>
      </c>
      <c r="G2308" s="5">
        <v>6368000</v>
      </c>
      <c r="H2308" s="4">
        <v>3820800</v>
      </c>
      <c r="I2308" s="2">
        <f t="shared" ref="I2308:I2371" si="180">H2308/G2308</f>
        <v>0.6</v>
      </c>
      <c r="J2308" s="4">
        <v>5400000</v>
      </c>
      <c r="K2308" s="2">
        <f t="shared" ref="K2308:K2371" si="181">J2308/G2308</f>
        <v>0.84798994974874375</v>
      </c>
      <c r="L2308" t="s">
        <v>1078</v>
      </c>
      <c r="M2308" t="s">
        <v>432</v>
      </c>
      <c r="N2308" t="b">
        <f t="shared" ref="N2308:N2371" si="182">F2308&lt;&gt;G2308</f>
        <v>0</v>
      </c>
    </row>
    <row r="2309" spans="1:14" x14ac:dyDescent="0.15">
      <c r="A2309" t="s">
        <v>14567</v>
      </c>
      <c r="B2309" t="s">
        <v>14570</v>
      </c>
      <c r="C2309" t="s">
        <v>14654</v>
      </c>
      <c r="D2309" t="s">
        <v>23</v>
      </c>
      <c r="E2309" t="s">
        <v>14655</v>
      </c>
      <c r="F2309" s="5">
        <f t="shared" si="179"/>
        <v>34385000</v>
      </c>
      <c r="G2309" s="5">
        <v>34385000</v>
      </c>
      <c r="H2309" s="4">
        <v>20631000</v>
      </c>
      <c r="I2309" s="2">
        <f t="shared" si="180"/>
        <v>0.6</v>
      </c>
      <c r="J2309" s="4">
        <v>32900000</v>
      </c>
      <c r="K2309" s="2">
        <f t="shared" si="181"/>
        <v>0.9568125636178566</v>
      </c>
      <c r="L2309" t="s">
        <v>14598</v>
      </c>
      <c r="M2309" t="s">
        <v>432</v>
      </c>
      <c r="N2309" t="b">
        <f t="shared" si="182"/>
        <v>0</v>
      </c>
    </row>
    <row r="2310" spans="1:14" x14ac:dyDescent="0.15">
      <c r="A2310" t="s">
        <v>14567</v>
      </c>
      <c r="B2310" t="s">
        <v>14570</v>
      </c>
      <c r="C2310" t="s">
        <v>14656</v>
      </c>
      <c r="D2310" t="s">
        <v>23</v>
      </c>
      <c r="E2310" t="s">
        <v>14657</v>
      </c>
      <c r="F2310" s="5">
        <f t="shared" si="179"/>
        <v>2716000</v>
      </c>
      <c r="G2310" s="5">
        <v>2716000</v>
      </c>
      <c r="I2310" s="2">
        <f t="shared" si="180"/>
        <v>0</v>
      </c>
      <c r="J2310" s="4">
        <v>2520000</v>
      </c>
      <c r="K2310" s="2">
        <f t="shared" si="181"/>
        <v>0.92783505154639179</v>
      </c>
      <c r="L2310" t="s">
        <v>14598</v>
      </c>
      <c r="M2310" t="s">
        <v>1015</v>
      </c>
      <c r="N2310" t="b">
        <f t="shared" si="182"/>
        <v>0</v>
      </c>
    </row>
    <row r="2311" spans="1:14" x14ac:dyDescent="0.15">
      <c r="A2311" t="s">
        <v>14567</v>
      </c>
      <c r="B2311" t="s">
        <v>14570</v>
      </c>
      <c r="C2311" t="s">
        <v>14658</v>
      </c>
      <c r="D2311" t="s">
        <v>23</v>
      </c>
      <c r="E2311" t="s">
        <v>14659</v>
      </c>
      <c r="F2311" s="5">
        <f t="shared" si="179"/>
        <v>26792000</v>
      </c>
      <c r="G2311" s="5">
        <v>26792000</v>
      </c>
      <c r="H2311" s="4">
        <v>16075200</v>
      </c>
      <c r="I2311" s="2">
        <f t="shared" si="180"/>
        <v>0.6</v>
      </c>
      <c r="J2311" s="4">
        <v>25400000</v>
      </c>
      <c r="K2311" s="2">
        <f t="shared" si="181"/>
        <v>0.94804419229620784</v>
      </c>
      <c r="L2311" t="s">
        <v>14598</v>
      </c>
      <c r="M2311" t="s">
        <v>432</v>
      </c>
      <c r="N2311" t="b">
        <f t="shared" si="182"/>
        <v>0</v>
      </c>
    </row>
    <row r="2312" spans="1:14" x14ac:dyDescent="0.15">
      <c r="A2312" t="s">
        <v>14567</v>
      </c>
      <c r="B2312" t="s">
        <v>14570</v>
      </c>
      <c r="C2312" t="s">
        <v>14660</v>
      </c>
      <c r="D2312" t="s">
        <v>23</v>
      </c>
      <c r="E2312" t="s">
        <v>14661</v>
      </c>
      <c r="F2312" s="5">
        <f t="shared" si="179"/>
        <v>17143000</v>
      </c>
      <c r="G2312" s="5">
        <v>17143000</v>
      </c>
      <c r="H2312" s="4">
        <v>10285800</v>
      </c>
      <c r="I2312" s="2">
        <f t="shared" si="180"/>
        <v>0.6</v>
      </c>
      <c r="J2312" s="4">
        <v>16100000</v>
      </c>
      <c r="K2312" s="2">
        <f t="shared" si="181"/>
        <v>0.93915884034299713</v>
      </c>
      <c r="L2312" t="s">
        <v>5068</v>
      </c>
      <c r="M2312" t="s">
        <v>432</v>
      </c>
      <c r="N2312" t="b">
        <f t="shared" si="182"/>
        <v>0</v>
      </c>
    </row>
    <row r="2313" spans="1:14" x14ac:dyDescent="0.15">
      <c r="A2313" t="s">
        <v>14567</v>
      </c>
      <c r="B2313" t="s">
        <v>14570</v>
      </c>
      <c r="C2313" t="s">
        <v>14662</v>
      </c>
      <c r="D2313" t="s">
        <v>23</v>
      </c>
      <c r="E2313" t="s">
        <v>14663</v>
      </c>
      <c r="F2313" s="5">
        <f t="shared" si="179"/>
        <v>3313000</v>
      </c>
      <c r="G2313" s="5">
        <v>3313000</v>
      </c>
      <c r="I2313" s="2">
        <f t="shared" si="180"/>
        <v>0</v>
      </c>
      <c r="J2313" s="4">
        <v>3100000</v>
      </c>
      <c r="K2313" s="2">
        <f t="shared" si="181"/>
        <v>0.93570781768789613</v>
      </c>
      <c r="L2313" t="s">
        <v>2674</v>
      </c>
      <c r="M2313" t="s">
        <v>1015</v>
      </c>
      <c r="N2313" t="b">
        <f t="shared" si="182"/>
        <v>0</v>
      </c>
    </row>
    <row r="2314" spans="1:14" x14ac:dyDescent="0.15">
      <c r="A2314" t="s">
        <v>14567</v>
      </c>
      <c r="B2314" t="s">
        <v>14570</v>
      </c>
      <c r="C2314" t="s">
        <v>14664</v>
      </c>
      <c r="D2314" t="s">
        <v>23</v>
      </c>
      <c r="E2314" t="s">
        <v>14665</v>
      </c>
      <c r="F2314" s="5">
        <f t="shared" si="179"/>
        <v>4800000</v>
      </c>
      <c r="G2314" s="5">
        <v>4800000</v>
      </c>
      <c r="H2314" s="4">
        <v>2880000</v>
      </c>
      <c r="I2314" s="2">
        <f t="shared" si="180"/>
        <v>0.6</v>
      </c>
      <c r="J2314" s="4">
        <v>4500000</v>
      </c>
      <c r="K2314" s="2">
        <f t="shared" si="181"/>
        <v>0.9375</v>
      </c>
      <c r="L2314" t="s">
        <v>10326</v>
      </c>
      <c r="M2314" t="s">
        <v>432</v>
      </c>
      <c r="N2314" t="b">
        <f t="shared" si="182"/>
        <v>0</v>
      </c>
    </row>
    <row r="2315" spans="1:14" x14ac:dyDescent="0.15">
      <c r="A2315" t="s">
        <v>14567</v>
      </c>
      <c r="B2315" t="s">
        <v>14570</v>
      </c>
      <c r="C2315" t="s">
        <v>14666</v>
      </c>
      <c r="D2315" t="s">
        <v>23</v>
      </c>
      <c r="E2315" t="s">
        <v>14667</v>
      </c>
      <c r="F2315" s="5">
        <f t="shared" si="179"/>
        <v>8798000</v>
      </c>
      <c r="G2315" s="5">
        <v>8798000</v>
      </c>
      <c r="H2315" s="4">
        <v>5278800</v>
      </c>
      <c r="I2315" s="2">
        <f t="shared" si="180"/>
        <v>0.6</v>
      </c>
      <c r="J2315" s="4">
        <v>8750000</v>
      </c>
      <c r="K2315" s="2">
        <f t="shared" si="181"/>
        <v>0.99454421459422593</v>
      </c>
      <c r="L2315" t="s">
        <v>14575</v>
      </c>
      <c r="M2315" t="s">
        <v>432</v>
      </c>
      <c r="N2315" t="b">
        <f t="shared" si="182"/>
        <v>0</v>
      </c>
    </row>
    <row r="2316" spans="1:14" x14ac:dyDescent="0.15">
      <c r="A2316" t="s">
        <v>14567</v>
      </c>
      <c r="B2316" t="s">
        <v>14570</v>
      </c>
      <c r="C2316" t="s">
        <v>14590</v>
      </c>
      <c r="D2316" t="s">
        <v>23</v>
      </c>
      <c r="E2316" t="s">
        <v>14668</v>
      </c>
      <c r="F2316" s="5">
        <f t="shared" si="179"/>
        <v>6736000</v>
      </c>
      <c r="G2316" s="5">
        <v>6736000</v>
      </c>
      <c r="H2316" s="4">
        <v>4041600</v>
      </c>
      <c r="I2316" s="2">
        <f t="shared" si="180"/>
        <v>0.6</v>
      </c>
      <c r="J2316" s="4">
        <v>6300000</v>
      </c>
      <c r="K2316" s="2">
        <f t="shared" si="181"/>
        <v>0.93527315914489306</v>
      </c>
      <c r="L2316" t="s">
        <v>14575</v>
      </c>
      <c r="M2316" t="s">
        <v>432</v>
      </c>
      <c r="N2316" t="b">
        <f t="shared" si="182"/>
        <v>0</v>
      </c>
    </row>
    <row r="2317" spans="1:14" x14ac:dyDescent="0.15">
      <c r="A2317" t="s">
        <v>14567</v>
      </c>
      <c r="B2317" t="s">
        <v>14570</v>
      </c>
      <c r="C2317" t="s">
        <v>14669</v>
      </c>
      <c r="D2317" t="s">
        <v>23</v>
      </c>
      <c r="E2317" t="s">
        <v>14670</v>
      </c>
      <c r="F2317" s="5">
        <f t="shared" si="179"/>
        <v>15106000</v>
      </c>
      <c r="G2317" s="5">
        <v>15106000</v>
      </c>
      <c r="H2317" s="4">
        <v>9063600</v>
      </c>
      <c r="I2317" s="2">
        <f t="shared" si="180"/>
        <v>0.6</v>
      </c>
      <c r="J2317" s="4">
        <v>14290000</v>
      </c>
      <c r="K2317" s="2">
        <f t="shared" si="181"/>
        <v>0.94598172911425926</v>
      </c>
      <c r="L2317" t="s">
        <v>14598</v>
      </c>
      <c r="M2317" t="s">
        <v>432</v>
      </c>
      <c r="N2317" t="b">
        <f t="shared" si="182"/>
        <v>0</v>
      </c>
    </row>
    <row r="2318" spans="1:14" x14ac:dyDescent="0.15">
      <c r="A2318" t="s">
        <v>14567</v>
      </c>
      <c r="B2318" t="s">
        <v>14570</v>
      </c>
      <c r="C2318" t="s">
        <v>14671</v>
      </c>
      <c r="D2318" t="s">
        <v>23</v>
      </c>
      <c r="E2318" t="s">
        <v>14672</v>
      </c>
      <c r="F2318" s="5">
        <f t="shared" si="179"/>
        <v>40603000</v>
      </c>
      <c r="G2318" s="5">
        <v>40603000</v>
      </c>
      <c r="H2318" s="4">
        <v>24361800</v>
      </c>
      <c r="I2318" s="2">
        <f t="shared" si="180"/>
        <v>0.6</v>
      </c>
      <c r="J2318" s="4">
        <v>35800000</v>
      </c>
      <c r="K2318" s="2">
        <f t="shared" si="181"/>
        <v>0.88170824815900306</v>
      </c>
      <c r="L2318" t="s">
        <v>298</v>
      </c>
      <c r="M2318" t="s">
        <v>432</v>
      </c>
      <c r="N2318" t="b">
        <f t="shared" si="182"/>
        <v>0</v>
      </c>
    </row>
    <row r="2319" spans="1:14" x14ac:dyDescent="0.15">
      <c r="A2319" t="s">
        <v>14567</v>
      </c>
      <c r="B2319" t="s">
        <v>14570</v>
      </c>
      <c r="C2319" t="s">
        <v>14673</v>
      </c>
      <c r="D2319" t="s">
        <v>23</v>
      </c>
      <c r="E2319" t="s">
        <v>14674</v>
      </c>
      <c r="F2319" s="5">
        <f t="shared" si="179"/>
        <v>6050000</v>
      </c>
      <c r="G2319" s="5">
        <v>6050000</v>
      </c>
      <c r="H2319" s="4">
        <v>3630000</v>
      </c>
      <c r="I2319" s="2">
        <f t="shared" si="180"/>
        <v>0.6</v>
      </c>
      <c r="J2319" s="4">
        <v>5700000</v>
      </c>
      <c r="K2319" s="2">
        <f t="shared" si="181"/>
        <v>0.94214876033057848</v>
      </c>
      <c r="L2319" t="s">
        <v>1541</v>
      </c>
      <c r="M2319" t="s">
        <v>432</v>
      </c>
      <c r="N2319" t="b">
        <f t="shared" si="182"/>
        <v>0</v>
      </c>
    </row>
    <row r="2320" spans="1:14" x14ac:dyDescent="0.15">
      <c r="A2320" t="s">
        <v>14567</v>
      </c>
      <c r="B2320" t="s">
        <v>14570</v>
      </c>
      <c r="C2320" t="s">
        <v>14675</v>
      </c>
      <c r="D2320" t="s">
        <v>23</v>
      </c>
      <c r="E2320" t="s">
        <v>14676</v>
      </c>
      <c r="F2320" s="5">
        <f t="shared" si="179"/>
        <v>4544000</v>
      </c>
      <c r="G2320" s="5">
        <v>4544000</v>
      </c>
      <c r="I2320" s="2">
        <f t="shared" si="180"/>
        <v>0</v>
      </c>
      <c r="J2320" s="4">
        <v>4220000</v>
      </c>
      <c r="K2320" s="2">
        <f t="shared" si="181"/>
        <v>0.92869718309859151</v>
      </c>
      <c r="L2320" t="s">
        <v>14598</v>
      </c>
      <c r="M2320" t="s">
        <v>1015</v>
      </c>
      <c r="N2320" t="b">
        <f t="shared" si="182"/>
        <v>0</v>
      </c>
    </row>
    <row r="2321" spans="1:14" x14ac:dyDescent="0.15">
      <c r="A2321" t="s">
        <v>14567</v>
      </c>
      <c r="B2321" t="s">
        <v>14570</v>
      </c>
      <c r="C2321" t="s">
        <v>14677</v>
      </c>
      <c r="D2321" t="s">
        <v>23</v>
      </c>
      <c r="E2321" t="s">
        <v>14678</v>
      </c>
      <c r="F2321" s="5">
        <f t="shared" si="179"/>
        <v>3192000</v>
      </c>
      <c r="G2321" s="5">
        <v>3192000</v>
      </c>
      <c r="I2321" s="2">
        <f t="shared" si="180"/>
        <v>0</v>
      </c>
      <c r="J2321" s="4">
        <v>3050000</v>
      </c>
      <c r="K2321" s="2">
        <f t="shared" si="181"/>
        <v>0.95551378446115287</v>
      </c>
      <c r="L2321" t="s">
        <v>14575</v>
      </c>
      <c r="M2321" t="s">
        <v>1015</v>
      </c>
      <c r="N2321" t="b">
        <f t="shared" si="182"/>
        <v>0</v>
      </c>
    </row>
    <row r="2322" spans="1:14" x14ac:dyDescent="0.15">
      <c r="A2322" t="s">
        <v>14567</v>
      </c>
      <c r="B2322" t="s">
        <v>14570</v>
      </c>
      <c r="C2322" t="s">
        <v>14679</v>
      </c>
      <c r="D2322" t="s">
        <v>23</v>
      </c>
      <c r="E2322" t="s">
        <v>14680</v>
      </c>
      <c r="F2322" s="5">
        <f t="shared" si="179"/>
        <v>3313000</v>
      </c>
      <c r="G2322" s="5">
        <v>3313000</v>
      </c>
      <c r="I2322" s="2">
        <f t="shared" si="180"/>
        <v>0</v>
      </c>
      <c r="J2322" s="4">
        <v>3150000</v>
      </c>
      <c r="K2322" s="2">
        <f t="shared" si="181"/>
        <v>0.9507998792635074</v>
      </c>
      <c r="L2322" t="s">
        <v>2674</v>
      </c>
      <c r="M2322" t="s">
        <v>1015</v>
      </c>
      <c r="N2322" t="b">
        <f t="shared" si="182"/>
        <v>0</v>
      </c>
    </row>
    <row r="2323" spans="1:14" x14ac:dyDescent="0.15">
      <c r="A2323" t="s">
        <v>14567</v>
      </c>
      <c r="B2323" t="s">
        <v>14570</v>
      </c>
      <c r="C2323" t="s">
        <v>14681</v>
      </c>
      <c r="D2323" t="s">
        <v>23</v>
      </c>
      <c r="E2323" t="s">
        <v>14682</v>
      </c>
      <c r="F2323" s="5">
        <f t="shared" si="179"/>
        <v>11873000</v>
      </c>
      <c r="G2323" s="5">
        <v>11873000</v>
      </c>
      <c r="H2323" s="4">
        <v>7123800</v>
      </c>
      <c r="I2323" s="2">
        <f t="shared" si="180"/>
        <v>0.6</v>
      </c>
      <c r="J2323" s="4">
        <v>11080000</v>
      </c>
      <c r="K2323" s="2">
        <f t="shared" si="181"/>
        <v>0.93320980375642215</v>
      </c>
      <c r="L2323" t="s">
        <v>14617</v>
      </c>
      <c r="M2323" t="s">
        <v>432</v>
      </c>
      <c r="N2323" t="b">
        <f t="shared" si="182"/>
        <v>0</v>
      </c>
    </row>
    <row r="2324" spans="1:14" x14ac:dyDescent="0.15">
      <c r="A2324" t="s">
        <v>14567</v>
      </c>
      <c r="B2324" t="s">
        <v>14570</v>
      </c>
      <c r="C2324" t="s">
        <v>14683</v>
      </c>
      <c r="D2324" t="s">
        <v>23</v>
      </c>
      <c r="E2324" t="s">
        <v>14684</v>
      </c>
      <c r="F2324" s="5">
        <f t="shared" si="179"/>
        <v>6651000</v>
      </c>
      <c r="G2324" s="5">
        <v>6651000</v>
      </c>
      <c r="H2324" s="4">
        <v>3990600</v>
      </c>
      <c r="I2324" s="2">
        <f t="shared" si="180"/>
        <v>0.6</v>
      </c>
      <c r="J2324" s="4">
        <v>6000000</v>
      </c>
      <c r="K2324" s="2">
        <f t="shared" si="181"/>
        <v>0.90211998195760035</v>
      </c>
      <c r="L2324" t="s">
        <v>14617</v>
      </c>
      <c r="M2324" t="s">
        <v>432</v>
      </c>
      <c r="N2324" t="b">
        <f t="shared" si="182"/>
        <v>0</v>
      </c>
    </row>
    <row r="2325" spans="1:14" x14ac:dyDescent="0.15">
      <c r="A2325" t="s">
        <v>14567</v>
      </c>
      <c r="B2325" t="s">
        <v>14570</v>
      </c>
      <c r="C2325" t="s">
        <v>14685</v>
      </c>
      <c r="D2325" t="s">
        <v>23</v>
      </c>
      <c r="E2325" t="s">
        <v>14686</v>
      </c>
      <c r="F2325" s="5">
        <f t="shared" si="179"/>
        <v>11667000</v>
      </c>
      <c r="G2325" s="5">
        <v>11667000</v>
      </c>
      <c r="H2325" s="4">
        <v>7000200</v>
      </c>
      <c r="I2325" s="2">
        <f t="shared" si="180"/>
        <v>0.6</v>
      </c>
      <c r="J2325" s="4">
        <v>11060000</v>
      </c>
      <c r="K2325" s="2">
        <f t="shared" si="181"/>
        <v>0.94797291505956971</v>
      </c>
      <c r="L2325" t="s">
        <v>14598</v>
      </c>
      <c r="M2325" t="s">
        <v>432</v>
      </c>
      <c r="N2325" t="b">
        <f t="shared" si="182"/>
        <v>0</v>
      </c>
    </row>
    <row r="2326" spans="1:14" x14ac:dyDescent="0.15">
      <c r="A2326" t="s">
        <v>14567</v>
      </c>
      <c r="B2326" t="s">
        <v>14570</v>
      </c>
      <c r="C2326" t="s">
        <v>14687</v>
      </c>
      <c r="D2326" t="s">
        <v>23</v>
      </c>
      <c r="E2326" t="s">
        <v>14688</v>
      </c>
      <c r="F2326" s="5">
        <f t="shared" si="179"/>
        <v>9500000</v>
      </c>
      <c r="G2326" s="5">
        <v>9500000</v>
      </c>
      <c r="H2326" s="4">
        <v>5700000</v>
      </c>
      <c r="I2326" s="2">
        <f t="shared" si="180"/>
        <v>0.6</v>
      </c>
      <c r="J2326" s="4">
        <v>8800000</v>
      </c>
      <c r="K2326" s="2">
        <f t="shared" si="181"/>
        <v>0.9263157894736842</v>
      </c>
      <c r="L2326" t="s">
        <v>14580</v>
      </c>
      <c r="M2326" t="s">
        <v>432</v>
      </c>
      <c r="N2326" t="b">
        <f t="shared" si="182"/>
        <v>0</v>
      </c>
    </row>
    <row r="2327" spans="1:14" x14ac:dyDescent="0.15">
      <c r="A2327" t="s">
        <v>14567</v>
      </c>
      <c r="B2327" t="s">
        <v>14570</v>
      </c>
      <c r="C2327" t="s">
        <v>14689</v>
      </c>
      <c r="D2327" t="s">
        <v>23</v>
      </c>
      <c r="E2327" t="s">
        <v>14690</v>
      </c>
      <c r="F2327" s="5">
        <f t="shared" si="179"/>
        <v>6592000</v>
      </c>
      <c r="G2327" s="5">
        <v>6592000</v>
      </c>
      <c r="H2327" s="4">
        <v>3955200</v>
      </c>
      <c r="I2327" s="2">
        <f t="shared" si="180"/>
        <v>0.6</v>
      </c>
      <c r="J2327" s="4">
        <v>6150000</v>
      </c>
      <c r="K2327" s="2">
        <f t="shared" si="181"/>
        <v>0.93294902912621358</v>
      </c>
      <c r="L2327" t="s">
        <v>14575</v>
      </c>
      <c r="M2327" t="s">
        <v>432</v>
      </c>
      <c r="N2327" t="b">
        <f t="shared" si="182"/>
        <v>0</v>
      </c>
    </row>
    <row r="2328" spans="1:14" x14ac:dyDescent="0.15">
      <c r="A2328" t="s">
        <v>14567</v>
      </c>
      <c r="B2328" t="s">
        <v>14570</v>
      </c>
      <c r="C2328" t="s">
        <v>14691</v>
      </c>
      <c r="D2328" t="s">
        <v>23</v>
      </c>
      <c r="E2328" t="s">
        <v>14692</v>
      </c>
      <c r="F2328" s="5">
        <f t="shared" si="179"/>
        <v>17130000</v>
      </c>
      <c r="G2328" s="5">
        <v>17130000</v>
      </c>
      <c r="H2328" s="4">
        <v>10278000</v>
      </c>
      <c r="I2328" s="2">
        <f t="shared" si="180"/>
        <v>0.6</v>
      </c>
      <c r="J2328" s="4">
        <v>16000000</v>
      </c>
      <c r="K2328" s="2">
        <f t="shared" si="181"/>
        <v>0.93403385872737887</v>
      </c>
      <c r="L2328" t="s">
        <v>14580</v>
      </c>
      <c r="M2328" t="s">
        <v>432</v>
      </c>
      <c r="N2328" t="b">
        <f t="shared" si="182"/>
        <v>0</v>
      </c>
    </row>
    <row r="2329" spans="1:14" x14ac:dyDescent="0.15">
      <c r="A2329" t="s">
        <v>14567</v>
      </c>
      <c r="B2329" t="s">
        <v>14570</v>
      </c>
      <c r="C2329" t="s">
        <v>14693</v>
      </c>
      <c r="D2329" t="s">
        <v>23</v>
      </c>
      <c r="E2329" t="s">
        <v>14694</v>
      </c>
      <c r="F2329" s="5">
        <f t="shared" si="179"/>
        <v>12845000</v>
      </c>
      <c r="G2329" s="5">
        <v>12845000</v>
      </c>
      <c r="H2329" s="4">
        <v>7707000</v>
      </c>
      <c r="I2329" s="2">
        <f t="shared" si="180"/>
        <v>0.6</v>
      </c>
      <c r="J2329" s="4">
        <v>12100000</v>
      </c>
      <c r="K2329" s="2">
        <f t="shared" si="181"/>
        <v>0.94200077851304009</v>
      </c>
      <c r="L2329" t="s">
        <v>10194</v>
      </c>
      <c r="M2329" t="s">
        <v>432</v>
      </c>
      <c r="N2329" t="b">
        <f t="shared" si="182"/>
        <v>0</v>
      </c>
    </row>
    <row r="2330" spans="1:14" x14ac:dyDescent="0.15">
      <c r="A2330" t="s">
        <v>14567</v>
      </c>
      <c r="B2330" t="s">
        <v>14570</v>
      </c>
      <c r="C2330" t="s">
        <v>14695</v>
      </c>
      <c r="D2330" t="s">
        <v>23</v>
      </c>
      <c r="E2330" t="s">
        <v>14696</v>
      </c>
      <c r="F2330" s="5">
        <f t="shared" si="179"/>
        <v>11105000</v>
      </c>
      <c r="G2330" s="5">
        <v>11105000</v>
      </c>
      <c r="H2330" s="4">
        <v>6663000</v>
      </c>
      <c r="I2330" s="2">
        <f t="shared" si="180"/>
        <v>0.6</v>
      </c>
      <c r="J2330" s="4">
        <v>10500000</v>
      </c>
      <c r="K2330" s="2">
        <f t="shared" si="181"/>
        <v>0.94552003601981094</v>
      </c>
      <c r="L2330" t="s">
        <v>360</v>
      </c>
      <c r="M2330" t="s">
        <v>432</v>
      </c>
      <c r="N2330" t="b">
        <f t="shared" si="182"/>
        <v>0</v>
      </c>
    </row>
    <row r="2331" spans="1:14" x14ac:dyDescent="0.15">
      <c r="A2331" t="s">
        <v>14567</v>
      </c>
      <c r="B2331" t="s">
        <v>14570</v>
      </c>
      <c r="C2331" t="s">
        <v>14697</v>
      </c>
      <c r="D2331" t="s">
        <v>23</v>
      </c>
      <c r="E2331" t="s">
        <v>14698</v>
      </c>
      <c r="F2331" s="5">
        <f t="shared" si="179"/>
        <v>16298000</v>
      </c>
      <c r="G2331" s="5">
        <v>16298000</v>
      </c>
      <c r="H2331" s="4">
        <v>9778800</v>
      </c>
      <c r="I2331" s="2">
        <f t="shared" si="180"/>
        <v>0.6</v>
      </c>
      <c r="J2331" s="4">
        <v>15000000</v>
      </c>
      <c r="K2331" s="2">
        <f t="shared" si="181"/>
        <v>0.9203583261749908</v>
      </c>
      <c r="L2331" t="s">
        <v>14617</v>
      </c>
      <c r="M2331" t="s">
        <v>432</v>
      </c>
      <c r="N2331" t="b">
        <f t="shared" si="182"/>
        <v>0</v>
      </c>
    </row>
    <row r="2332" spans="1:14" x14ac:dyDescent="0.15">
      <c r="A2332" t="s">
        <v>14567</v>
      </c>
      <c r="B2332" t="s">
        <v>14570</v>
      </c>
      <c r="C2332" t="s">
        <v>14699</v>
      </c>
      <c r="D2332" t="s">
        <v>23</v>
      </c>
      <c r="E2332" t="s">
        <v>8506</v>
      </c>
      <c r="F2332" s="5">
        <f t="shared" ref="F2332:F2372" si="183">G2332</f>
        <v>6695000</v>
      </c>
      <c r="G2332" s="5">
        <v>6695000</v>
      </c>
      <c r="H2332" s="4">
        <v>4017000</v>
      </c>
      <c r="I2332" s="2">
        <f t="shared" si="180"/>
        <v>0.6</v>
      </c>
      <c r="J2332" s="4">
        <v>6300000</v>
      </c>
      <c r="K2332" s="2">
        <f t="shared" si="181"/>
        <v>0.94100074682598955</v>
      </c>
      <c r="L2332" t="s">
        <v>2674</v>
      </c>
      <c r="M2332" t="s">
        <v>432</v>
      </c>
      <c r="N2332" t="b">
        <f t="shared" si="182"/>
        <v>0</v>
      </c>
    </row>
    <row r="2333" spans="1:14" x14ac:dyDescent="0.15">
      <c r="A2333" t="s">
        <v>14567</v>
      </c>
      <c r="B2333" t="s">
        <v>14570</v>
      </c>
      <c r="C2333" t="s">
        <v>14700</v>
      </c>
      <c r="D2333" t="s">
        <v>23</v>
      </c>
      <c r="E2333" t="s">
        <v>14701</v>
      </c>
      <c r="F2333" s="5">
        <f t="shared" si="183"/>
        <v>2643000</v>
      </c>
      <c r="G2333" s="5">
        <v>2643000</v>
      </c>
      <c r="I2333" s="2">
        <f t="shared" si="180"/>
        <v>0</v>
      </c>
      <c r="J2333" s="4">
        <v>2480000</v>
      </c>
      <c r="K2333" s="2">
        <f t="shared" si="181"/>
        <v>0.9383276579644344</v>
      </c>
      <c r="L2333" t="s">
        <v>14598</v>
      </c>
      <c r="M2333" t="s">
        <v>1015</v>
      </c>
      <c r="N2333" t="b">
        <f t="shared" si="182"/>
        <v>0</v>
      </c>
    </row>
    <row r="2334" spans="1:14" x14ac:dyDescent="0.15">
      <c r="A2334" t="s">
        <v>14567</v>
      </c>
      <c r="B2334" t="s">
        <v>14570</v>
      </c>
      <c r="C2334" t="s">
        <v>14637</v>
      </c>
      <c r="D2334" t="s">
        <v>23</v>
      </c>
      <c r="E2334" t="s">
        <v>14702</v>
      </c>
      <c r="F2334" s="5">
        <f t="shared" si="183"/>
        <v>4105000</v>
      </c>
      <c r="G2334" s="5">
        <v>4105000</v>
      </c>
      <c r="I2334" s="2">
        <f t="shared" si="180"/>
        <v>0</v>
      </c>
      <c r="J2334" s="4">
        <v>3850000</v>
      </c>
      <c r="K2334" s="2">
        <f t="shared" si="181"/>
        <v>0.93788063337393424</v>
      </c>
      <c r="L2334" t="s">
        <v>14575</v>
      </c>
      <c r="M2334" t="s">
        <v>1015</v>
      </c>
      <c r="N2334" t="b">
        <f t="shared" si="182"/>
        <v>0</v>
      </c>
    </row>
    <row r="2335" spans="1:14" x14ac:dyDescent="0.15">
      <c r="A2335" t="s">
        <v>14567</v>
      </c>
      <c r="B2335" t="s">
        <v>14570</v>
      </c>
      <c r="C2335" t="s">
        <v>14573</v>
      </c>
      <c r="D2335" t="s">
        <v>23</v>
      </c>
      <c r="E2335" t="s">
        <v>14703</v>
      </c>
      <c r="F2335" s="5">
        <f t="shared" si="183"/>
        <v>4025000</v>
      </c>
      <c r="G2335" s="5">
        <v>4025000</v>
      </c>
      <c r="I2335" s="2">
        <f t="shared" si="180"/>
        <v>0</v>
      </c>
      <c r="J2335" s="4">
        <v>3800000</v>
      </c>
      <c r="K2335" s="2">
        <f t="shared" si="181"/>
        <v>0.94409937888198758</v>
      </c>
      <c r="L2335" t="s">
        <v>14575</v>
      </c>
      <c r="M2335" t="s">
        <v>1015</v>
      </c>
      <c r="N2335" t="b">
        <f t="shared" si="182"/>
        <v>0</v>
      </c>
    </row>
    <row r="2336" spans="1:14" x14ac:dyDescent="0.15">
      <c r="A2336" t="s">
        <v>14567</v>
      </c>
      <c r="B2336" t="s">
        <v>14570</v>
      </c>
      <c r="C2336" t="s">
        <v>14704</v>
      </c>
      <c r="D2336" t="s">
        <v>23</v>
      </c>
      <c r="E2336" t="s">
        <v>14705</v>
      </c>
      <c r="F2336" s="5">
        <f t="shared" si="183"/>
        <v>6486000</v>
      </c>
      <c r="G2336" s="5">
        <v>6486000</v>
      </c>
      <c r="H2336" s="4">
        <v>3891600</v>
      </c>
      <c r="I2336" s="2">
        <f t="shared" si="180"/>
        <v>0.6</v>
      </c>
      <c r="J2336" s="4">
        <v>6150000</v>
      </c>
      <c r="K2336" s="2">
        <f t="shared" si="181"/>
        <v>0.9481961147086031</v>
      </c>
      <c r="L2336" t="s">
        <v>1541</v>
      </c>
      <c r="M2336" t="s">
        <v>432</v>
      </c>
      <c r="N2336" t="b">
        <f t="shared" si="182"/>
        <v>0</v>
      </c>
    </row>
    <row r="2337" spans="1:14" x14ac:dyDescent="0.15">
      <c r="A2337" t="s">
        <v>14567</v>
      </c>
      <c r="B2337" t="s">
        <v>14570</v>
      </c>
      <c r="C2337" t="s">
        <v>14706</v>
      </c>
      <c r="D2337" t="s">
        <v>23</v>
      </c>
      <c r="E2337" t="s">
        <v>14707</v>
      </c>
      <c r="F2337" s="5">
        <f t="shared" si="183"/>
        <v>5311000</v>
      </c>
      <c r="G2337" s="5">
        <v>5311000</v>
      </c>
      <c r="H2337" s="4">
        <v>3186600</v>
      </c>
      <c r="I2337" s="2">
        <f t="shared" si="180"/>
        <v>0.6</v>
      </c>
      <c r="J2337" s="4">
        <v>4890000</v>
      </c>
      <c r="K2337" s="2">
        <f t="shared" si="181"/>
        <v>0.92073055921671998</v>
      </c>
      <c r="L2337" t="s">
        <v>14617</v>
      </c>
      <c r="M2337" t="s">
        <v>432</v>
      </c>
      <c r="N2337" t="b">
        <f t="shared" si="182"/>
        <v>0</v>
      </c>
    </row>
    <row r="2338" spans="1:14" x14ac:dyDescent="0.15">
      <c r="A2338" t="s">
        <v>14567</v>
      </c>
      <c r="B2338" t="s">
        <v>14570</v>
      </c>
      <c r="C2338" t="s">
        <v>14708</v>
      </c>
      <c r="D2338" t="s">
        <v>23</v>
      </c>
      <c r="E2338" t="s">
        <v>14709</v>
      </c>
      <c r="F2338" s="5">
        <f t="shared" si="183"/>
        <v>1717000</v>
      </c>
      <c r="G2338" s="5">
        <v>1717000</v>
      </c>
      <c r="I2338" s="2">
        <f t="shared" si="180"/>
        <v>0</v>
      </c>
      <c r="J2338" s="4">
        <v>1590000</v>
      </c>
      <c r="K2338" s="2">
        <f t="shared" si="181"/>
        <v>0.92603377984857305</v>
      </c>
      <c r="L2338" t="s">
        <v>14598</v>
      </c>
      <c r="M2338" t="s">
        <v>1015</v>
      </c>
      <c r="N2338" t="b">
        <f t="shared" si="182"/>
        <v>0</v>
      </c>
    </row>
    <row r="2339" spans="1:14" x14ac:dyDescent="0.15">
      <c r="A2339" t="s">
        <v>14567</v>
      </c>
      <c r="B2339" t="s">
        <v>14570</v>
      </c>
      <c r="C2339" t="s">
        <v>14710</v>
      </c>
      <c r="D2339" t="s">
        <v>23</v>
      </c>
      <c r="E2339" t="s">
        <v>14711</v>
      </c>
      <c r="F2339" s="5">
        <f t="shared" si="183"/>
        <v>8240000</v>
      </c>
      <c r="G2339" s="5">
        <v>8240000</v>
      </c>
      <c r="H2339" s="4">
        <v>4944000</v>
      </c>
      <c r="I2339" s="2">
        <f t="shared" si="180"/>
        <v>0.6</v>
      </c>
      <c r="J2339" s="4">
        <v>7380000</v>
      </c>
      <c r="K2339" s="2">
        <f t="shared" si="181"/>
        <v>0.89563106796116509</v>
      </c>
      <c r="L2339" t="s">
        <v>1604</v>
      </c>
      <c r="M2339" t="s">
        <v>432</v>
      </c>
      <c r="N2339" t="b">
        <f t="shared" si="182"/>
        <v>0</v>
      </c>
    </row>
    <row r="2340" spans="1:14" x14ac:dyDescent="0.15">
      <c r="A2340" t="s">
        <v>14567</v>
      </c>
      <c r="B2340" t="s">
        <v>14570</v>
      </c>
      <c r="C2340" t="s">
        <v>14712</v>
      </c>
      <c r="D2340" t="s">
        <v>23</v>
      </c>
      <c r="E2340" t="s">
        <v>14713</v>
      </c>
      <c r="F2340" s="5">
        <f t="shared" si="183"/>
        <v>18041000</v>
      </c>
      <c r="G2340" s="5">
        <v>18041000</v>
      </c>
      <c r="H2340" s="4">
        <v>10824600</v>
      </c>
      <c r="I2340" s="2">
        <f t="shared" si="180"/>
        <v>0.6</v>
      </c>
      <c r="J2340" s="4">
        <v>17200000</v>
      </c>
      <c r="K2340" s="2">
        <f t="shared" si="181"/>
        <v>0.95338395876060089</v>
      </c>
      <c r="L2340" t="s">
        <v>14575</v>
      </c>
      <c r="M2340" t="s">
        <v>432</v>
      </c>
      <c r="N2340" t="b">
        <f t="shared" si="182"/>
        <v>0</v>
      </c>
    </row>
    <row r="2341" spans="1:14" x14ac:dyDescent="0.15">
      <c r="A2341" t="s">
        <v>14567</v>
      </c>
      <c r="B2341" t="s">
        <v>14570</v>
      </c>
      <c r="C2341" t="s">
        <v>14714</v>
      </c>
      <c r="D2341" t="s">
        <v>23</v>
      </c>
      <c r="E2341" t="s">
        <v>14715</v>
      </c>
      <c r="F2341" s="5">
        <f t="shared" si="183"/>
        <v>10406000</v>
      </c>
      <c r="G2341" s="5">
        <v>10406000</v>
      </c>
      <c r="H2341" s="4">
        <v>6243600</v>
      </c>
      <c r="I2341" s="2">
        <f t="shared" si="180"/>
        <v>0.6</v>
      </c>
      <c r="J2341" s="4">
        <v>9850000</v>
      </c>
      <c r="K2341" s="2">
        <f t="shared" si="181"/>
        <v>0.94656928694983666</v>
      </c>
      <c r="L2341" t="s">
        <v>14598</v>
      </c>
      <c r="M2341" t="s">
        <v>432</v>
      </c>
      <c r="N2341" t="b">
        <f t="shared" si="182"/>
        <v>0</v>
      </c>
    </row>
    <row r="2342" spans="1:14" x14ac:dyDescent="0.15">
      <c r="A2342" t="s">
        <v>14567</v>
      </c>
      <c r="B2342" t="s">
        <v>14570</v>
      </c>
      <c r="C2342" t="s">
        <v>14716</v>
      </c>
      <c r="D2342" t="s">
        <v>23</v>
      </c>
      <c r="E2342" t="s">
        <v>14717</v>
      </c>
      <c r="F2342" s="5">
        <f t="shared" si="183"/>
        <v>4096000</v>
      </c>
      <c r="G2342" s="5">
        <v>4096000</v>
      </c>
      <c r="I2342" s="2">
        <f t="shared" si="180"/>
        <v>0</v>
      </c>
      <c r="J2342" s="4">
        <v>4000000</v>
      </c>
      <c r="K2342" s="2">
        <f t="shared" si="181"/>
        <v>0.9765625</v>
      </c>
      <c r="L2342" t="s">
        <v>360</v>
      </c>
      <c r="M2342" t="s">
        <v>1015</v>
      </c>
      <c r="N2342" t="b">
        <f t="shared" si="182"/>
        <v>0</v>
      </c>
    </row>
    <row r="2343" spans="1:14" x14ac:dyDescent="0.15">
      <c r="A2343" t="s">
        <v>14567</v>
      </c>
      <c r="B2343" t="s">
        <v>14570</v>
      </c>
      <c r="C2343" t="s">
        <v>14718</v>
      </c>
      <c r="D2343" t="s">
        <v>23</v>
      </c>
      <c r="E2343" t="s">
        <v>14719</v>
      </c>
      <c r="F2343" s="5">
        <f t="shared" si="183"/>
        <v>2952000</v>
      </c>
      <c r="G2343" s="5">
        <v>2952000</v>
      </c>
      <c r="I2343" s="2">
        <f t="shared" si="180"/>
        <v>0</v>
      </c>
      <c r="J2343" s="4">
        <v>2750000</v>
      </c>
      <c r="K2343" s="2">
        <f t="shared" si="181"/>
        <v>0.93157181571815717</v>
      </c>
      <c r="L2343" t="s">
        <v>10326</v>
      </c>
      <c r="M2343" t="s">
        <v>1015</v>
      </c>
      <c r="N2343" t="b">
        <f t="shared" si="182"/>
        <v>0</v>
      </c>
    </row>
    <row r="2344" spans="1:14" x14ac:dyDescent="0.15">
      <c r="A2344" t="s">
        <v>14567</v>
      </c>
      <c r="B2344" t="s">
        <v>14570</v>
      </c>
      <c r="C2344" t="s">
        <v>14720</v>
      </c>
      <c r="D2344" t="s">
        <v>23</v>
      </c>
      <c r="E2344" t="s">
        <v>14721</v>
      </c>
      <c r="F2344" s="5">
        <f t="shared" si="183"/>
        <v>12326000</v>
      </c>
      <c r="G2344" s="5">
        <v>12326000</v>
      </c>
      <c r="H2344" s="4">
        <v>7395600</v>
      </c>
      <c r="I2344" s="2">
        <f t="shared" si="180"/>
        <v>0.6</v>
      </c>
      <c r="J2344" s="4">
        <v>11500000</v>
      </c>
      <c r="K2344" s="2">
        <f t="shared" si="181"/>
        <v>0.93298718156741844</v>
      </c>
      <c r="L2344" t="s">
        <v>14722</v>
      </c>
      <c r="M2344" t="s">
        <v>432</v>
      </c>
      <c r="N2344" t="b">
        <f t="shared" si="182"/>
        <v>0</v>
      </c>
    </row>
    <row r="2345" spans="1:14" x14ac:dyDescent="0.15">
      <c r="A2345" t="s">
        <v>14567</v>
      </c>
      <c r="B2345" t="s">
        <v>14570</v>
      </c>
      <c r="C2345" t="s">
        <v>14723</v>
      </c>
      <c r="D2345" t="s">
        <v>23</v>
      </c>
      <c r="E2345" t="s">
        <v>14724</v>
      </c>
      <c r="F2345" s="5">
        <f t="shared" si="183"/>
        <v>11505000</v>
      </c>
      <c r="G2345" s="5">
        <v>11505000</v>
      </c>
      <c r="H2345" s="4">
        <v>6903000</v>
      </c>
      <c r="I2345" s="2">
        <f t="shared" si="180"/>
        <v>0.6</v>
      </c>
      <c r="J2345" s="4">
        <v>10700000</v>
      </c>
      <c r="K2345" s="2">
        <f t="shared" si="181"/>
        <v>0.93003042155584525</v>
      </c>
      <c r="L2345" t="s">
        <v>5068</v>
      </c>
      <c r="M2345" t="s">
        <v>432</v>
      </c>
      <c r="N2345" t="b">
        <f t="shared" si="182"/>
        <v>0</v>
      </c>
    </row>
    <row r="2346" spans="1:14" x14ac:dyDescent="0.15">
      <c r="A2346" t="s">
        <v>14567</v>
      </c>
      <c r="B2346" t="s">
        <v>14570</v>
      </c>
      <c r="C2346" t="s">
        <v>14725</v>
      </c>
      <c r="D2346" t="s">
        <v>23</v>
      </c>
      <c r="E2346" t="s">
        <v>14726</v>
      </c>
      <c r="F2346" s="5">
        <f t="shared" si="183"/>
        <v>10725000</v>
      </c>
      <c r="G2346" s="5">
        <v>10725000</v>
      </c>
      <c r="H2346" s="4">
        <v>6435000</v>
      </c>
      <c r="I2346" s="2">
        <f t="shared" si="180"/>
        <v>0.6</v>
      </c>
      <c r="J2346" s="4">
        <v>10000000</v>
      </c>
      <c r="K2346" s="2">
        <f t="shared" si="181"/>
        <v>0.93240093240093236</v>
      </c>
      <c r="L2346" t="s">
        <v>2674</v>
      </c>
      <c r="M2346" t="s">
        <v>432</v>
      </c>
      <c r="N2346" t="b">
        <f t="shared" si="182"/>
        <v>0</v>
      </c>
    </row>
    <row r="2347" spans="1:14" x14ac:dyDescent="0.15">
      <c r="A2347" t="s">
        <v>14567</v>
      </c>
      <c r="B2347" t="s">
        <v>14570</v>
      </c>
      <c r="C2347" t="s">
        <v>14727</v>
      </c>
      <c r="D2347" t="s">
        <v>23</v>
      </c>
      <c r="E2347" t="s">
        <v>14728</v>
      </c>
      <c r="F2347" s="5">
        <f t="shared" si="183"/>
        <v>7359000</v>
      </c>
      <c r="G2347" s="5">
        <v>7359000</v>
      </c>
      <c r="H2347" s="4">
        <v>4415400</v>
      </c>
      <c r="I2347" s="2">
        <f t="shared" si="180"/>
        <v>0.6</v>
      </c>
      <c r="J2347" s="4">
        <v>6200000</v>
      </c>
      <c r="K2347" s="2">
        <f t="shared" si="181"/>
        <v>0.84250577524120129</v>
      </c>
      <c r="L2347" t="s">
        <v>1384</v>
      </c>
      <c r="M2347" t="s">
        <v>432</v>
      </c>
      <c r="N2347" t="b">
        <f t="shared" si="182"/>
        <v>0</v>
      </c>
    </row>
    <row r="2348" spans="1:14" x14ac:dyDescent="0.15">
      <c r="A2348" t="s">
        <v>14567</v>
      </c>
      <c r="B2348" t="s">
        <v>14570</v>
      </c>
      <c r="C2348" t="s">
        <v>14729</v>
      </c>
      <c r="D2348" t="s">
        <v>23</v>
      </c>
      <c r="E2348" t="s">
        <v>14730</v>
      </c>
      <c r="F2348" s="5">
        <f t="shared" si="183"/>
        <v>3757000</v>
      </c>
      <c r="G2348" s="5">
        <v>3757000</v>
      </c>
      <c r="I2348" s="2">
        <f t="shared" si="180"/>
        <v>0</v>
      </c>
      <c r="J2348" s="4">
        <v>3500000</v>
      </c>
      <c r="K2348" s="2">
        <f t="shared" si="181"/>
        <v>0.93159435719989359</v>
      </c>
      <c r="L2348" t="s">
        <v>14575</v>
      </c>
      <c r="M2348" t="s">
        <v>1015</v>
      </c>
      <c r="N2348" t="b">
        <f t="shared" si="182"/>
        <v>0</v>
      </c>
    </row>
    <row r="2349" spans="1:14" x14ac:dyDescent="0.15">
      <c r="A2349" t="s">
        <v>14567</v>
      </c>
      <c r="B2349" t="s">
        <v>14570</v>
      </c>
      <c r="C2349" t="s">
        <v>14731</v>
      </c>
      <c r="D2349" t="s">
        <v>23</v>
      </c>
      <c r="E2349" t="s">
        <v>14732</v>
      </c>
      <c r="F2349" s="5">
        <f t="shared" si="183"/>
        <v>3577000</v>
      </c>
      <c r="G2349" s="5">
        <v>3577000</v>
      </c>
      <c r="I2349" s="2">
        <f t="shared" si="180"/>
        <v>0</v>
      </c>
      <c r="J2349" s="4">
        <v>3320000</v>
      </c>
      <c r="K2349" s="2">
        <f t="shared" si="181"/>
        <v>0.92815208275090855</v>
      </c>
      <c r="L2349" t="s">
        <v>14598</v>
      </c>
      <c r="M2349" t="s">
        <v>1015</v>
      </c>
      <c r="N2349" t="b">
        <f t="shared" si="182"/>
        <v>0</v>
      </c>
    </row>
    <row r="2350" spans="1:14" x14ac:dyDescent="0.15">
      <c r="A2350" t="s">
        <v>14567</v>
      </c>
      <c r="B2350" t="s">
        <v>14570</v>
      </c>
      <c r="C2350" t="s">
        <v>14733</v>
      </c>
      <c r="D2350" t="s">
        <v>23</v>
      </c>
      <c r="E2350" t="s">
        <v>14734</v>
      </c>
      <c r="F2350" s="5">
        <f t="shared" si="183"/>
        <v>2595000</v>
      </c>
      <c r="G2350" s="5">
        <v>2595000</v>
      </c>
      <c r="I2350" s="2">
        <f t="shared" si="180"/>
        <v>0</v>
      </c>
      <c r="J2350" s="4">
        <v>2450000</v>
      </c>
      <c r="K2350" s="2">
        <f t="shared" si="181"/>
        <v>0.94412331406551064</v>
      </c>
      <c r="L2350" t="s">
        <v>14575</v>
      </c>
      <c r="M2350" t="s">
        <v>1015</v>
      </c>
      <c r="N2350" t="b">
        <f t="shared" si="182"/>
        <v>0</v>
      </c>
    </row>
    <row r="2351" spans="1:14" x14ac:dyDescent="0.15">
      <c r="A2351" t="s">
        <v>14567</v>
      </c>
      <c r="B2351" t="s">
        <v>14570</v>
      </c>
      <c r="C2351" t="s">
        <v>14735</v>
      </c>
      <c r="D2351" t="s">
        <v>23</v>
      </c>
      <c r="E2351" t="s">
        <v>14736</v>
      </c>
      <c r="F2351" s="5">
        <f t="shared" si="183"/>
        <v>11620000</v>
      </c>
      <c r="G2351" s="5">
        <v>11620000</v>
      </c>
      <c r="H2351" s="4">
        <v>6972000</v>
      </c>
      <c r="I2351" s="2">
        <f t="shared" si="180"/>
        <v>0.6</v>
      </c>
      <c r="J2351" s="4">
        <v>10900000</v>
      </c>
      <c r="K2351" s="2">
        <f t="shared" si="181"/>
        <v>0.93803786574870918</v>
      </c>
      <c r="L2351" t="s">
        <v>1541</v>
      </c>
      <c r="M2351" t="s">
        <v>432</v>
      </c>
      <c r="N2351" t="b">
        <f t="shared" si="182"/>
        <v>0</v>
      </c>
    </row>
    <row r="2352" spans="1:14" x14ac:dyDescent="0.15">
      <c r="A2352" t="s">
        <v>14567</v>
      </c>
      <c r="B2352" t="s">
        <v>14570</v>
      </c>
      <c r="C2352" t="s">
        <v>14737</v>
      </c>
      <c r="D2352" t="s">
        <v>23</v>
      </c>
      <c r="E2352" t="s">
        <v>14738</v>
      </c>
      <c r="F2352" s="5">
        <f t="shared" si="183"/>
        <v>14204000</v>
      </c>
      <c r="G2352" s="5">
        <v>14204000</v>
      </c>
      <c r="H2352" s="4">
        <v>8522400</v>
      </c>
      <c r="I2352" s="2">
        <f t="shared" si="180"/>
        <v>0.6</v>
      </c>
      <c r="J2352" s="4">
        <v>13200000</v>
      </c>
      <c r="K2352" s="2">
        <f t="shared" si="181"/>
        <v>0.9293156857223317</v>
      </c>
      <c r="L2352" t="s">
        <v>14575</v>
      </c>
      <c r="M2352" t="s">
        <v>432</v>
      </c>
      <c r="N2352" t="b">
        <f t="shared" si="182"/>
        <v>0</v>
      </c>
    </row>
    <row r="2353" spans="1:14" x14ac:dyDescent="0.15">
      <c r="A2353" t="s">
        <v>14567</v>
      </c>
      <c r="B2353" t="s">
        <v>14570</v>
      </c>
      <c r="C2353" t="s">
        <v>14739</v>
      </c>
      <c r="D2353" t="s">
        <v>23</v>
      </c>
      <c r="E2353" t="s">
        <v>14740</v>
      </c>
      <c r="F2353" s="5">
        <f t="shared" si="183"/>
        <v>14037000</v>
      </c>
      <c r="G2353" s="5">
        <v>14037000</v>
      </c>
      <c r="H2353" s="4">
        <v>8422200</v>
      </c>
      <c r="I2353" s="2">
        <f t="shared" si="180"/>
        <v>0.6</v>
      </c>
      <c r="J2353" s="4">
        <v>13600000</v>
      </c>
      <c r="K2353" s="2">
        <f t="shared" si="181"/>
        <v>0.96886799173612592</v>
      </c>
      <c r="L2353" t="s">
        <v>14741</v>
      </c>
      <c r="M2353" t="s">
        <v>432</v>
      </c>
      <c r="N2353" t="b">
        <f t="shared" si="182"/>
        <v>0</v>
      </c>
    </row>
    <row r="2354" spans="1:14" x14ac:dyDescent="0.15">
      <c r="A2354" t="s">
        <v>14567</v>
      </c>
      <c r="B2354" t="s">
        <v>14570</v>
      </c>
      <c r="C2354" t="s">
        <v>14742</v>
      </c>
      <c r="D2354" t="s">
        <v>23</v>
      </c>
      <c r="E2354" t="s">
        <v>14743</v>
      </c>
      <c r="F2354" s="5">
        <f t="shared" si="183"/>
        <v>2357000</v>
      </c>
      <c r="G2354" s="5">
        <v>2357000</v>
      </c>
      <c r="I2354" s="2">
        <f t="shared" si="180"/>
        <v>0</v>
      </c>
      <c r="J2354" s="4">
        <v>2200000</v>
      </c>
      <c r="K2354" s="2">
        <f t="shared" si="181"/>
        <v>0.93338990241832842</v>
      </c>
      <c r="L2354" t="s">
        <v>14575</v>
      </c>
      <c r="M2354" t="s">
        <v>1015</v>
      </c>
      <c r="N2354" t="b">
        <f t="shared" si="182"/>
        <v>0</v>
      </c>
    </row>
    <row r="2355" spans="1:14" x14ac:dyDescent="0.15">
      <c r="A2355" t="s">
        <v>14567</v>
      </c>
      <c r="B2355" t="s">
        <v>14570</v>
      </c>
      <c r="C2355" t="s">
        <v>14744</v>
      </c>
      <c r="D2355" t="s">
        <v>23</v>
      </c>
      <c r="E2355" t="s">
        <v>14745</v>
      </c>
      <c r="F2355" s="5">
        <f t="shared" si="183"/>
        <v>5723000</v>
      </c>
      <c r="G2355" s="5">
        <v>5723000</v>
      </c>
      <c r="H2355" s="4">
        <v>3433800</v>
      </c>
      <c r="I2355" s="2">
        <f t="shared" si="180"/>
        <v>0.6</v>
      </c>
      <c r="J2355" s="4">
        <v>5300000</v>
      </c>
      <c r="K2355" s="2">
        <f t="shared" si="181"/>
        <v>0.92608771623274511</v>
      </c>
      <c r="L2355" t="s">
        <v>14617</v>
      </c>
      <c r="M2355" t="s">
        <v>432</v>
      </c>
      <c r="N2355" t="b">
        <f t="shared" si="182"/>
        <v>0</v>
      </c>
    </row>
    <row r="2356" spans="1:14" x14ac:dyDescent="0.15">
      <c r="A2356" t="s">
        <v>14567</v>
      </c>
      <c r="B2356" t="s">
        <v>14570</v>
      </c>
      <c r="C2356" t="s">
        <v>14746</v>
      </c>
      <c r="D2356" t="s">
        <v>23</v>
      </c>
      <c r="E2356" t="s">
        <v>14747</v>
      </c>
      <c r="F2356" s="5">
        <f t="shared" si="183"/>
        <v>18374000</v>
      </c>
      <c r="G2356" s="5">
        <v>18374000</v>
      </c>
      <c r="H2356" s="4">
        <v>11024400</v>
      </c>
      <c r="I2356" s="2">
        <f t="shared" si="180"/>
        <v>0.6</v>
      </c>
      <c r="J2356" s="4">
        <v>17000000</v>
      </c>
      <c r="K2356" s="2">
        <f t="shared" si="181"/>
        <v>0.92522042015892025</v>
      </c>
      <c r="L2356" t="s">
        <v>608</v>
      </c>
      <c r="M2356" t="s">
        <v>432</v>
      </c>
      <c r="N2356" t="b">
        <f t="shared" si="182"/>
        <v>0</v>
      </c>
    </row>
    <row r="2357" spans="1:14" x14ac:dyDescent="0.15">
      <c r="A2357" t="s">
        <v>14567</v>
      </c>
      <c r="B2357" t="s">
        <v>14570</v>
      </c>
      <c r="C2357" t="s">
        <v>14748</v>
      </c>
      <c r="D2357" t="s">
        <v>23</v>
      </c>
      <c r="E2357" t="s">
        <v>14749</v>
      </c>
      <c r="F2357" s="5">
        <f t="shared" si="183"/>
        <v>15009000</v>
      </c>
      <c r="G2357" s="5">
        <v>15009000</v>
      </c>
      <c r="H2357" s="4">
        <v>9005400</v>
      </c>
      <c r="I2357" s="2">
        <f t="shared" si="180"/>
        <v>0.6</v>
      </c>
      <c r="J2357" s="4">
        <v>14000000</v>
      </c>
      <c r="K2357" s="2">
        <f t="shared" si="181"/>
        <v>0.93277366913185422</v>
      </c>
      <c r="L2357" t="s">
        <v>10385</v>
      </c>
      <c r="M2357" t="s">
        <v>432</v>
      </c>
      <c r="N2357" t="b">
        <f t="shared" si="182"/>
        <v>0</v>
      </c>
    </row>
    <row r="2358" spans="1:14" x14ac:dyDescent="0.15">
      <c r="A2358" t="s">
        <v>14567</v>
      </c>
      <c r="B2358" t="s">
        <v>14570</v>
      </c>
      <c r="C2358" t="s">
        <v>14750</v>
      </c>
      <c r="D2358" t="s">
        <v>23</v>
      </c>
      <c r="E2358" t="s">
        <v>14751</v>
      </c>
      <c r="F2358" s="5">
        <f t="shared" si="183"/>
        <v>8463000</v>
      </c>
      <c r="G2358" s="5">
        <v>8463000</v>
      </c>
      <c r="H2358" s="4">
        <v>5077800</v>
      </c>
      <c r="I2358" s="2">
        <f t="shared" si="180"/>
        <v>0.6</v>
      </c>
      <c r="J2358" s="4">
        <v>7700000</v>
      </c>
      <c r="K2358" s="2">
        <f t="shared" si="181"/>
        <v>0.90984284532671633</v>
      </c>
      <c r="L2358" t="s">
        <v>10326</v>
      </c>
      <c r="M2358" t="s">
        <v>432</v>
      </c>
      <c r="N2358" t="b">
        <f t="shared" si="182"/>
        <v>0</v>
      </c>
    </row>
    <row r="2359" spans="1:14" x14ac:dyDescent="0.15">
      <c r="A2359" t="s">
        <v>14567</v>
      </c>
      <c r="B2359" t="s">
        <v>14570</v>
      </c>
      <c r="C2359" t="s">
        <v>14752</v>
      </c>
      <c r="D2359" t="s">
        <v>23</v>
      </c>
      <c r="E2359" t="s">
        <v>14753</v>
      </c>
      <c r="F2359" s="5">
        <f t="shared" si="183"/>
        <v>5578000</v>
      </c>
      <c r="G2359" s="5">
        <v>5578000</v>
      </c>
      <c r="H2359" s="4">
        <v>3346800</v>
      </c>
      <c r="I2359" s="2">
        <f t="shared" si="180"/>
        <v>0.6</v>
      </c>
      <c r="J2359" s="4">
        <v>5300000</v>
      </c>
      <c r="K2359" s="2">
        <f t="shared" si="181"/>
        <v>0.95016134815345998</v>
      </c>
      <c r="L2359" t="s">
        <v>14575</v>
      </c>
      <c r="M2359" t="s">
        <v>432</v>
      </c>
      <c r="N2359" t="b">
        <f t="shared" si="182"/>
        <v>0</v>
      </c>
    </row>
    <row r="2360" spans="1:14" x14ac:dyDescent="0.15">
      <c r="A2360" t="s">
        <v>14567</v>
      </c>
      <c r="B2360" t="s">
        <v>14570</v>
      </c>
      <c r="C2360" t="s">
        <v>14754</v>
      </c>
      <c r="D2360" t="s">
        <v>23</v>
      </c>
      <c r="E2360" t="s">
        <v>14755</v>
      </c>
      <c r="F2360" s="5">
        <f t="shared" si="183"/>
        <v>2108000</v>
      </c>
      <c r="G2360" s="5">
        <v>2108000</v>
      </c>
      <c r="I2360" s="2">
        <f t="shared" si="180"/>
        <v>0</v>
      </c>
      <c r="J2360" s="4">
        <v>1960000</v>
      </c>
      <c r="K2360" s="2">
        <f t="shared" si="181"/>
        <v>0.92979127134724859</v>
      </c>
      <c r="L2360" t="s">
        <v>10326</v>
      </c>
      <c r="M2360" t="s">
        <v>1015</v>
      </c>
      <c r="N2360" t="b">
        <f t="shared" si="182"/>
        <v>0</v>
      </c>
    </row>
    <row r="2361" spans="1:14" x14ac:dyDescent="0.15">
      <c r="A2361" t="s">
        <v>14567</v>
      </c>
      <c r="B2361" t="s">
        <v>14570</v>
      </c>
      <c r="C2361" t="s">
        <v>14756</v>
      </c>
      <c r="D2361" t="s">
        <v>23</v>
      </c>
      <c r="E2361" t="s">
        <v>14757</v>
      </c>
      <c r="F2361" s="5">
        <f t="shared" si="183"/>
        <v>5080000</v>
      </c>
      <c r="G2361" s="5">
        <v>5080000</v>
      </c>
      <c r="H2361" s="4">
        <v>3048000</v>
      </c>
      <c r="I2361" s="2">
        <f t="shared" si="180"/>
        <v>0.6</v>
      </c>
      <c r="J2361" s="4">
        <v>4800000</v>
      </c>
      <c r="K2361" s="2">
        <f t="shared" si="181"/>
        <v>0.94488188976377951</v>
      </c>
      <c r="L2361" t="s">
        <v>1458</v>
      </c>
      <c r="M2361" t="s">
        <v>432</v>
      </c>
      <c r="N2361" t="b">
        <f t="shared" si="182"/>
        <v>0</v>
      </c>
    </row>
    <row r="2362" spans="1:14" x14ac:dyDescent="0.15">
      <c r="A2362" t="s">
        <v>14567</v>
      </c>
      <c r="B2362" t="s">
        <v>14570</v>
      </c>
      <c r="C2362" t="s">
        <v>14758</v>
      </c>
      <c r="D2362" t="s">
        <v>23</v>
      </c>
      <c r="E2362" t="s">
        <v>14759</v>
      </c>
      <c r="F2362" s="5">
        <f t="shared" si="183"/>
        <v>19431000</v>
      </c>
      <c r="G2362" s="5">
        <v>19431000</v>
      </c>
      <c r="H2362" s="4">
        <v>11658600</v>
      </c>
      <c r="I2362" s="2">
        <f t="shared" si="180"/>
        <v>0.6</v>
      </c>
      <c r="J2362" s="4">
        <v>18400000</v>
      </c>
      <c r="K2362" s="2">
        <f t="shared" si="181"/>
        <v>0.94694045597241516</v>
      </c>
      <c r="L2362" t="s">
        <v>14598</v>
      </c>
      <c r="M2362" t="s">
        <v>432</v>
      </c>
      <c r="N2362" t="b">
        <f t="shared" si="182"/>
        <v>0</v>
      </c>
    </row>
    <row r="2363" spans="1:14" x14ac:dyDescent="0.15">
      <c r="A2363" t="s">
        <v>14567</v>
      </c>
      <c r="B2363" t="s">
        <v>14570</v>
      </c>
      <c r="C2363" t="s">
        <v>14760</v>
      </c>
      <c r="D2363" t="s">
        <v>23</v>
      </c>
      <c r="E2363" t="s">
        <v>14761</v>
      </c>
      <c r="F2363" s="5">
        <f t="shared" si="183"/>
        <v>20353000</v>
      </c>
      <c r="G2363" s="5">
        <v>20353000</v>
      </c>
      <c r="H2363" s="4">
        <v>12211800</v>
      </c>
      <c r="I2363" s="2">
        <f t="shared" si="180"/>
        <v>0.6</v>
      </c>
      <c r="J2363" s="4">
        <v>19450000</v>
      </c>
      <c r="K2363" s="2">
        <f t="shared" si="181"/>
        <v>0.95563307620498206</v>
      </c>
      <c r="L2363" t="s">
        <v>14598</v>
      </c>
      <c r="M2363" t="s">
        <v>432</v>
      </c>
      <c r="N2363" t="b">
        <f t="shared" si="182"/>
        <v>0</v>
      </c>
    </row>
    <row r="2364" spans="1:14" x14ac:dyDescent="0.15">
      <c r="A2364" t="s">
        <v>14567</v>
      </c>
      <c r="B2364" t="s">
        <v>14570</v>
      </c>
      <c r="C2364" t="s">
        <v>14762</v>
      </c>
      <c r="D2364" t="s">
        <v>23</v>
      </c>
      <c r="E2364" t="s">
        <v>14763</v>
      </c>
      <c r="F2364" s="5">
        <f t="shared" si="183"/>
        <v>9000000</v>
      </c>
      <c r="G2364" s="5">
        <v>9000000</v>
      </c>
      <c r="H2364" s="4">
        <v>5400000</v>
      </c>
      <c r="I2364" s="2">
        <f t="shared" si="180"/>
        <v>0.6</v>
      </c>
      <c r="J2364" s="4">
        <v>8350000</v>
      </c>
      <c r="K2364" s="2">
        <f t="shared" si="181"/>
        <v>0.92777777777777781</v>
      </c>
      <c r="L2364" t="s">
        <v>14647</v>
      </c>
      <c r="M2364" t="s">
        <v>432</v>
      </c>
      <c r="N2364" t="b">
        <f t="shared" si="182"/>
        <v>0</v>
      </c>
    </row>
    <row r="2365" spans="1:14" x14ac:dyDescent="0.15">
      <c r="A2365" t="s">
        <v>14567</v>
      </c>
      <c r="B2365" t="s">
        <v>14570</v>
      </c>
      <c r="C2365" t="s">
        <v>14626</v>
      </c>
      <c r="D2365" t="s">
        <v>23</v>
      </c>
      <c r="E2365" t="s">
        <v>14764</v>
      </c>
      <c r="F2365" s="5">
        <f t="shared" si="183"/>
        <v>2939000</v>
      </c>
      <c r="G2365" s="5">
        <v>2939000</v>
      </c>
      <c r="I2365" s="2">
        <f t="shared" si="180"/>
        <v>0</v>
      </c>
      <c r="J2365" s="4">
        <v>2780000</v>
      </c>
      <c r="K2365" s="2">
        <f t="shared" si="181"/>
        <v>0.9458999659748214</v>
      </c>
      <c r="L2365" t="s">
        <v>14598</v>
      </c>
      <c r="M2365" t="s">
        <v>1015</v>
      </c>
      <c r="N2365" t="b">
        <f t="shared" si="182"/>
        <v>0</v>
      </c>
    </row>
    <row r="2366" spans="1:14" x14ac:dyDescent="0.15">
      <c r="A2366" t="s">
        <v>14567</v>
      </c>
      <c r="B2366" t="s">
        <v>14570</v>
      </c>
      <c r="C2366" t="s">
        <v>14765</v>
      </c>
      <c r="D2366" t="s">
        <v>23</v>
      </c>
      <c r="E2366" t="s">
        <v>14766</v>
      </c>
      <c r="F2366" s="5">
        <f t="shared" si="183"/>
        <v>3270000</v>
      </c>
      <c r="G2366" s="5">
        <v>3270000</v>
      </c>
      <c r="I2366" s="2">
        <f t="shared" si="180"/>
        <v>0</v>
      </c>
      <c r="J2366" s="4">
        <v>3150000</v>
      </c>
      <c r="K2366" s="2">
        <f t="shared" si="181"/>
        <v>0.96330275229357798</v>
      </c>
      <c r="L2366" t="s">
        <v>14767</v>
      </c>
      <c r="M2366" t="s">
        <v>1015</v>
      </c>
      <c r="N2366" t="b">
        <f t="shared" si="182"/>
        <v>0</v>
      </c>
    </row>
    <row r="2367" spans="1:14" x14ac:dyDescent="0.15">
      <c r="A2367" t="s">
        <v>14567</v>
      </c>
      <c r="B2367" t="s">
        <v>14570</v>
      </c>
      <c r="C2367" t="s">
        <v>14768</v>
      </c>
      <c r="D2367" t="s">
        <v>23</v>
      </c>
      <c r="E2367" t="s">
        <v>14769</v>
      </c>
      <c r="F2367" s="5">
        <f t="shared" si="183"/>
        <v>2827000</v>
      </c>
      <c r="G2367" s="5">
        <v>2827000</v>
      </c>
      <c r="I2367" s="2">
        <f t="shared" si="180"/>
        <v>0</v>
      </c>
      <c r="J2367" s="4">
        <v>2660000</v>
      </c>
      <c r="K2367" s="2">
        <f t="shared" si="181"/>
        <v>0.94092677750265297</v>
      </c>
      <c r="L2367" t="s">
        <v>14598</v>
      </c>
      <c r="M2367" t="s">
        <v>1015</v>
      </c>
      <c r="N2367" t="b">
        <f t="shared" si="182"/>
        <v>0</v>
      </c>
    </row>
    <row r="2368" spans="1:14" x14ac:dyDescent="0.15">
      <c r="A2368" t="s">
        <v>14567</v>
      </c>
      <c r="B2368" t="s">
        <v>14570</v>
      </c>
      <c r="C2368" t="s">
        <v>14770</v>
      </c>
      <c r="D2368" t="s">
        <v>23</v>
      </c>
      <c r="E2368" t="s">
        <v>14771</v>
      </c>
      <c r="F2368" s="5">
        <f t="shared" si="183"/>
        <v>1631000</v>
      </c>
      <c r="G2368" s="5">
        <v>1631000</v>
      </c>
      <c r="I2368" s="2">
        <f t="shared" si="180"/>
        <v>0</v>
      </c>
      <c r="J2368" s="4">
        <v>1500000</v>
      </c>
      <c r="K2368" s="2">
        <f t="shared" si="181"/>
        <v>0.91968117719190678</v>
      </c>
      <c r="L2368" t="s">
        <v>14575</v>
      </c>
      <c r="M2368" t="s">
        <v>1015</v>
      </c>
      <c r="N2368" t="b">
        <f t="shared" si="182"/>
        <v>0</v>
      </c>
    </row>
    <row r="2369" spans="1:14" x14ac:dyDescent="0.15">
      <c r="A2369" t="s">
        <v>14567</v>
      </c>
      <c r="B2369" t="s">
        <v>14570</v>
      </c>
      <c r="C2369" t="s">
        <v>14772</v>
      </c>
      <c r="D2369" t="s">
        <v>23</v>
      </c>
      <c r="E2369" t="s">
        <v>14773</v>
      </c>
      <c r="F2369" s="5">
        <f t="shared" si="183"/>
        <v>9207000</v>
      </c>
      <c r="G2369" s="5">
        <v>9207000</v>
      </c>
      <c r="H2369" s="4">
        <v>5524200</v>
      </c>
      <c r="I2369" s="2">
        <f t="shared" si="180"/>
        <v>0.6</v>
      </c>
      <c r="J2369" s="4">
        <v>8360000</v>
      </c>
      <c r="K2369" s="2">
        <f t="shared" si="181"/>
        <v>0.90800477897252085</v>
      </c>
      <c r="L2369" t="s">
        <v>14598</v>
      </c>
      <c r="M2369" t="s">
        <v>432</v>
      </c>
      <c r="N2369" t="b">
        <f t="shared" si="182"/>
        <v>0</v>
      </c>
    </row>
    <row r="2370" spans="1:14" x14ac:dyDescent="0.15">
      <c r="A2370" t="s">
        <v>14567</v>
      </c>
      <c r="B2370" t="s">
        <v>14570</v>
      </c>
      <c r="C2370" t="s">
        <v>14774</v>
      </c>
      <c r="D2370" t="s">
        <v>23</v>
      </c>
      <c r="E2370" t="s">
        <v>14775</v>
      </c>
      <c r="F2370" s="5">
        <f t="shared" si="183"/>
        <v>3494000</v>
      </c>
      <c r="G2370" s="5">
        <v>3494000</v>
      </c>
      <c r="I2370" s="2">
        <f t="shared" si="180"/>
        <v>0</v>
      </c>
      <c r="J2370" s="4">
        <v>3250000</v>
      </c>
      <c r="K2370" s="2">
        <f t="shared" si="181"/>
        <v>0.93016599885518025</v>
      </c>
      <c r="L2370" t="s">
        <v>14617</v>
      </c>
      <c r="M2370" t="s">
        <v>1015</v>
      </c>
      <c r="N2370" t="b">
        <f t="shared" si="182"/>
        <v>0</v>
      </c>
    </row>
    <row r="2371" spans="1:14" x14ac:dyDescent="0.15">
      <c r="A2371" t="s">
        <v>14567</v>
      </c>
      <c r="B2371" t="s">
        <v>14570</v>
      </c>
      <c r="C2371" t="s">
        <v>14776</v>
      </c>
      <c r="D2371" t="s">
        <v>23</v>
      </c>
      <c r="E2371" t="s">
        <v>14777</v>
      </c>
      <c r="F2371" s="5">
        <f t="shared" si="183"/>
        <v>16959000</v>
      </c>
      <c r="G2371" s="5">
        <v>16959000</v>
      </c>
      <c r="H2371" s="4">
        <v>10175400</v>
      </c>
      <c r="I2371" s="2">
        <f t="shared" si="180"/>
        <v>0.6</v>
      </c>
      <c r="J2371" s="4">
        <v>15100000</v>
      </c>
      <c r="K2371" s="2">
        <f t="shared" si="181"/>
        <v>0.8903826876584704</v>
      </c>
      <c r="L2371" t="s">
        <v>332</v>
      </c>
      <c r="M2371" t="s">
        <v>432</v>
      </c>
      <c r="N2371" t="b">
        <f t="shared" si="182"/>
        <v>0</v>
      </c>
    </row>
    <row r="2372" spans="1:14" x14ac:dyDescent="0.15">
      <c r="A2372" t="s">
        <v>14567</v>
      </c>
      <c r="B2372" t="s">
        <v>14570</v>
      </c>
      <c r="C2372" t="s">
        <v>14778</v>
      </c>
      <c r="D2372" t="s">
        <v>23</v>
      </c>
      <c r="E2372" t="s">
        <v>14779</v>
      </c>
      <c r="F2372" s="5">
        <f t="shared" si="183"/>
        <v>15921000</v>
      </c>
      <c r="G2372" s="5">
        <v>15921000</v>
      </c>
      <c r="H2372" s="4">
        <v>9552600</v>
      </c>
      <c r="I2372" s="2">
        <f t="shared" ref="I2372:I2435" si="184">H2372/G2372</f>
        <v>0.6</v>
      </c>
      <c r="J2372" s="4">
        <v>15100000</v>
      </c>
      <c r="K2372" s="2">
        <f t="shared" ref="K2372:K2435" si="185">J2372/G2372</f>
        <v>0.94843288738144593</v>
      </c>
      <c r="L2372" t="s">
        <v>2674</v>
      </c>
      <c r="M2372" t="s">
        <v>432</v>
      </c>
      <c r="N2372" t="b">
        <f t="shared" ref="N2372:N2435" si="186">F2372&lt;&gt;G2372</f>
        <v>0</v>
      </c>
    </row>
    <row r="2373" spans="1:14" x14ac:dyDescent="0.15">
      <c r="A2373" t="s">
        <v>14780</v>
      </c>
      <c r="B2373" t="s">
        <v>14783</v>
      </c>
      <c r="C2373" t="s">
        <v>14781</v>
      </c>
      <c r="D2373" t="s">
        <v>23</v>
      </c>
      <c r="E2373" t="s">
        <v>14782</v>
      </c>
      <c r="F2373" s="5">
        <v>6060000</v>
      </c>
      <c r="G2373" s="5">
        <v>6060000</v>
      </c>
      <c r="H2373" s="4">
        <v>4872000</v>
      </c>
      <c r="I2373" s="2">
        <f t="shared" si="184"/>
        <v>0.80396039603960401</v>
      </c>
      <c r="J2373" s="4">
        <v>4875000</v>
      </c>
      <c r="K2373" s="2">
        <f t="shared" si="185"/>
        <v>0.8044554455445545</v>
      </c>
      <c r="L2373" t="s">
        <v>30</v>
      </c>
      <c r="M2373" t="s">
        <v>1015</v>
      </c>
      <c r="N2373" t="b">
        <f t="shared" si="186"/>
        <v>0</v>
      </c>
    </row>
    <row r="2374" spans="1:14" x14ac:dyDescent="0.15">
      <c r="A2374" t="s">
        <v>14780</v>
      </c>
      <c r="B2374" t="s">
        <v>14783</v>
      </c>
      <c r="C2374" t="s">
        <v>14784</v>
      </c>
      <c r="D2374" t="s">
        <v>23</v>
      </c>
      <c r="E2374" t="s">
        <v>14785</v>
      </c>
      <c r="F2374" s="5">
        <v>32750000</v>
      </c>
      <c r="G2374" s="5">
        <v>32750000</v>
      </c>
      <c r="H2374" s="4">
        <v>26273800</v>
      </c>
      <c r="I2374" s="2">
        <f t="shared" si="184"/>
        <v>0.80225343511450387</v>
      </c>
      <c r="J2374" s="4">
        <v>31400000</v>
      </c>
      <c r="K2374" s="2">
        <f t="shared" si="185"/>
        <v>0.95877862595419849</v>
      </c>
      <c r="L2374" t="s">
        <v>5186</v>
      </c>
      <c r="M2374" t="s">
        <v>165</v>
      </c>
      <c r="N2374" t="b">
        <f t="shared" si="186"/>
        <v>0</v>
      </c>
    </row>
    <row r="2375" spans="1:14" x14ac:dyDescent="0.15">
      <c r="A2375" t="s">
        <v>14780</v>
      </c>
      <c r="B2375" t="s">
        <v>14783</v>
      </c>
      <c r="C2375" t="s">
        <v>14786</v>
      </c>
      <c r="D2375" t="s">
        <v>23</v>
      </c>
      <c r="E2375" t="s">
        <v>14787</v>
      </c>
      <c r="F2375" s="5">
        <v>6021000</v>
      </c>
      <c r="G2375" s="5">
        <v>6021000</v>
      </c>
      <c r="H2375" s="4">
        <v>4789800</v>
      </c>
      <c r="I2375" s="2">
        <f t="shared" si="184"/>
        <v>0.79551569506726461</v>
      </c>
      <c r="J2375" s="4">
        <v>4810000</v>
      </c>
      <c r="K2375" s="2">
        <f t="shared" si="185"/>
        <v>0.7988706194984222</v>
      </c>
      <c r="L2375" t="s">
        <v>5186</v>
      </c>
      <c r="M2375" t="s">
        <v>1015</v>
      </c>
      <c r="N2375" t="b">
        <f t="shared" si="186"/>
        <v>0</v>
      </c>
    </row>
    <row r="2376" spans="1:14" x14ac:dyDescent="0.15">
      <c r="A2376" t="s">
        <v>14780</v>
      </c>
      <c r="B2376" t="s">
        <v>14783</v>
      </c>
      <c r="C2376" t="s">
        <v>14788</v>
      </c>
      <c r="D2376" t="s">
        <v>23</v>
      </c>
      <c r="E2376" t="s">
        <v>14789</v>
      </c>
      <c r="F2376" s="5">
        <v>3453000</v>
      </c>
      <c r="G2376" s="5">
        <v>3453000</v>
      </c>
      <c r="H2376" s="4">
        <v>2776500</v>
      </c>
      <c r="I2376" s="2">
        <f t="shared" si="184"/>
        <v>0.80408340573414427</v>
      </c>
      <c r="J2376" s="4">
        <v>3300000</v>
      </c>
      <c r="K2376" s="2">
        <f t="shared" si="185"/>
        <v>0.95569070373588183</v>
      </c>
      <c r="L2376" t="s">
        <v>360</v>
      </c>
      <c r="M2376" t="s">
        <v>1015</v>
      </c>
      <c r="N2376" t="b">
        <f t="shared" si="186"/>
        <v>0</v>
      </c>
    </row>
    <row r="2377" spans="1:14" x14ac:dyDescent="0.15">
      <c r="A2377" t="s">
        <v>14780</v>
      </c>
      <c r="B2377" t="s">
        <v>14783</v>
      </c>
      <c r="C2377" t="s">
        <v>14790</v>
      </c>
      <c r="D2377" t="s">
        <v>23</v>
      </c>
      <c r="E2377" t="s">
        <v>14791</v>
      </c>
      <c r="F2377" s="5">
        <v>16524000</v>
      </c>
      <c r="G2377" s="5">
        <v>16524000</v>
      </c>
      <c r="H2377" s="4">
        <v>13268900</v>
      </c>
      <c r="I2377" s="2">
        <f t="shared" si="184"/>
        <v>0.80300774630839988</v>
      </c>
      <c r="J2377" s="4">
        <v>13385000</v>
      </c>
      <c r="K2377" s="2">
        <f t="shared" si="185"/>
        <v>0.81003389009924953</v>
      </c>
      <c r="L2377" t="s">
        <v>9367</v>
      </c>
      <c r="M2377" t="s">
        <v>165</v>
      </c>
      <c r="N2377" t="b">
        <f t="shared" si="186"/>
        <v>0</v>
      </c>
    </row>
    <row r="2378" spans="1:14" x14ac:dyDescent="0.15">
      <c r="A2378" t="s">
        <v>14780</v>
      </c>
      <c r="B2378" t="s">
        <v>14783</v>
      </c>
      <c r="C2378" t="s">
        <v>14792</v>
      </c>
      <c r="D2378" t="s">
        <v>23</v>
      </c>
      <c r="E2378" t="s">
        <v>14793</v>
      </c>
      <c r="F2378" s="5">
        <v>11753000</v>
      </c>
      <c r="G2378" s="5">
        <v>11753000</v>
      </c>
      <c r="H2378" s="4">
        <v>9440800</v>
      </c>
      <c r="I2378" s="2">
        <f t="shared" si="184"/>
        <v>0.80326725091466011</v>
      </c>
      <c r="J2378" s="4">
        <v>10800000</v>
      </c>
      <c r="K2378" s="2">
        <f t="shared" si="185"/>
        <v>0.91891431974814941</v>
      </c>
      <c r="L2378" t="s">
        <v>10407</v>
      </c>
      <c r="M2378" t="s">
        <v>1015</v>
      </c>
      <c r="N2378" t="b">
        <f t="shared" si="186"/>
        <v>0</v>
      </c>
    </row>
    <row r="2379" spans="1:14" x14ac:dyDescent="0.15">
      <c r="A2379" t="s">
        <v>14780</v>
      </c>
      <c r="B2379" t="s">
        <v>14783</v>
      </c>
      <c r="C2379" t="s">
        <v>14794</v>
      </c>
      <c r="D2379" t="s">
        <v>23</v>
      </c>
      <c r="E2379" t="s">
        <v>14795</v>
      </c>
      <c r="F2379" s="5">
        <v>16025000</v>
      </c>
      <c r="G2379" s="5">
        <v>16025000</v>
      </c>
      <c r="H2379" s="4">
        <v>12980200</v>
      </c>
      <c r="I2379" s="2">
        <f t="shared" si="184"/>
        <v>0.80999687987519498</v>
      </c>
      <c r="J2379" s="4">
        <v>14000000</v>
      </c>
      <c r="K2379" s="2">
        <f t="shared" si="185"/>
        <v>0.87363494539781594</v>
      </c>
      <c r="L2379" t="s">
        <v>14796</v>
      </c>
      <c r="M2379" t="s">
        <v>165</v>
      </c>
      <c r="N2379" t="b">
        <f t="shared" si="186"/>
        <v>0</v>
      </c>
    </row>
    <row r="2380" spans="1:14" x14ac:dyDescent="0.15">
      <c r="A2380" t="s">
        <v>14780</v>
      </c>
      <c r="B2380" t="s">
        <v>14783</v>
      </c>
      <c r="C2380" t="s">
        <v>14797</v>
      </c>
      <c r="D2380" t="s">
        <v>23</v>
      </c>
      <c r="E2380" t="s">
        <v>14389</v>
      </c>
      <c r="F2380" s="5">
        <v>5445000</v>
      </c>
      <c r="G2380" s="5">
        <v>5445000</v>
      </c>
      <c r="H2380" s="4">
        <v>4377200</v>
      </c>
      <c r="I2380" s="2">
        <f t="shared" si="184"/>
        <v>0.8038934802571166</v>
      </c>
      <c r="J2380" s="4">
        <v>4377400</v>
      </c>
      <c r="K2380" s="2">
        <f t="shared" si="185"/>
        <v>0.80393021120293851</v>
      </c>
      <c r="L2380" t="s">
        <v>540</v>
      </c>
      <c r="M2380" t="s">
        <v>1015</v>
      </c>
      <c r="N2380" t="b">
        <f t="shared" si="186"/>
        <v>0</v>
      </c>
    </row>
    <row r="2381" spans="1:14" x14ac:dyDescent="0.15">
      <c r="A2381" t="s">
        <v>14780</v>
      </c>
      <c r="B2381" t="s">
        <v>14783</v>
      </c>
      <c r="C2381" t="s">
        <v>14798</v>
      </c>
      <c r="D2381" t="s">
        <v>23</v>
      </c>
      <c r="E2381" t="s">
        <v>13499</v>
      </c>
      <c r="F2381" s="5">
        <v>4198000</v>
      </c>
      <c r="G2381" s="5">
        <v>4198000</v>
      </c>
      <c r="H2381" s="4">
        <v>3371700</v>
      </c>
      <c r="I2381" s="2">
        <f t="shared" si="184"/>
        <v>0.80316817532158169</v>
      </c>
      <c r="J2381" s="4">
        <v>4100000</v>
      </c>
      <c r="K2381" s="2">
        <f t="shared" si="185"/>
        <v>0.97665555026202955</v>
      </c>
      <c r="L2381" t="s">
        <v>1384</v>
      </c>
      <c r="M2381" t="s">
        <v>1015</v>
      </c>
      <c r="N2381" t="b">
        <f t="shared" si="186"/>
        <v>0</v>
      </c>
    </row>
    <row r="2382" spans="1:14" x14ac:dyDescent="0.15">
      <c r="A2382" t="s">
        <v>14780</v>
      </c>
      <c r="B2382" t="s">
        <v>14783</v>
      </c>
      <c r="C2382" t="s">
        <v>14799</v>
      </c>
      <c r="D2382" t="s">
        <v>23</v>
      </c>
      <c r="E2382" t="s">
        <v>14800</v>
      </c>
      <c r="F2382" s="5">
        <v>2952000</v>
      </c>
      <c r="G2382" s="5">
        <v>2952000</v>
      </c>
      <c r="H2382" s="4">
        <v>2374000</v>
      </c>
      <c r="I2382" s="2">
        <f t="shared" si="184"/>
        <v>0.80420054200542002</v>
      </c>
      <c r="J2382" s="4">
        <v>2700000</v>
      </c>
      <c r="K2382" s="2">
        <f t="shared" si="185"/>
        <v>0.91463414634146345</v>
      </c>
      <c r="L2382" t="s">
        <v>5068</v>
      </c>
      <c r="M2382" t="s">
        <v>1015</v>
      </c>
      <c r="N2382" t="b">
        <f t="shared" si="186"/>
        <v>0</v>
      </c>
    </row>
    <row r="2383" spans="1:14" x14ac:dyDescent="0.15">
      <c r="A2383" t="s">
        <v>14780</v>
      </c>
      <c r="B2383" t="s">
        <v>14783</v>
      </c>
      <c r="C2383" t="s">
        <v>14801</v>
      </c>
      <c r="D2383" t="s">
        <v>23</v>
      </c>
      <c r="E2383" t="s">
        <v>14802</v>
      </c>
      <c r="F2383" s="5">
        <v>13814000</v>
      </c>
      <c r="G2383" s="5">
        <v>13814000</v>
      </c>
      <c r="H2383" s="4">
        <v>11098900</v>
      </c>
      <c r="I2383" s="2">
        <f t="shared" si="184"/>
        <v>0.80345301867670482</v>
      </c>
      <c r="J2383" s="4">
        <v>12500000</v>
      </c>
      <c r="K2383" s="2">
        <f t="shared" si="185"/>
        <v>0.90487910815115102</v>
      </c>
      <c r="L2383" t="s">
        <v>3321</v>
      </c>
      <c r="M2383" t="s">
        <v>165</v>
      </c>
      <c r="N2383" t="b">
        <f t="shared" si="186"/>
        <v>0</v>
      </c>
    </row>
    <row r="2384" spans="1:14" x14ac:dyDescent="0.15">
      <c r="A2384" t="s">
        <v>14780</v>
      </c>
      <c r="B2384" t="s">
        <v>14783</v>
      </c>
      <c r="C2384" t="s">
        <v>14803</v>
      </c>
      <c r="D2384" t="s">
        <v>23</v>
      </c>
      <c r="E2384" t="s">
        <v>14804</v>
      </c>
      <c r="F2384" s="5">
        <v>5933000</v>
      </c>
      <c r="G2384" s="5">
        <v>5933000</v>
      </c>
      <c r="H2384" s="4">
        <v>4805700</v>
      </c>
      <c r="I2384" s="2">
        <f t="shared" si="184"/>
        <v>0.80999494353615376</v>
      </c>
      <c r="J2384" s="4">
        <v>5900000</v>
      </c>
      <c r="K2384" s="2">
        <f t="shared" si="185"/>
        <v>0.9944378897690882</v>
      </c>
      <c r="L2384" t="s">
        <v>9274</v>
      </c>
      <c r="M2384" t="s">
        <v>1015</v>
      </c>
      <c r="N2384" t="b">
        <f t="shared" si="186"/>
        <v>0</v>
      </c>
    </row>
    <row r="2385" spans="1:14" x14ac:dyDescent="0.15">
      <c r="A2385" t="s">
        <v>14780</v>
      </c>
      <c r="B2385" t="s">
        <v>14783</v>
      </c>
      <c r="C2385" t="s">
        <v>14805</v>
      </c>
      <c r="D2385" t="s">
        <v>23</v>
      </c>
      <c r="E2385" t="s">
        <v>14806</v>
      </c>
      <c r="F2385" s="5">
        <v>6188000</v>
      </c>
      <c r="G2385" s="5">
        <v>6188000</v>
      </c>
      <c r="H2385" s="4">
        <v>4973200</v>
      </c>
      <c r="I2385" s="2">
        <f t="shared" si="184"/>
        <v>0.8036845507433743</v>
      </c>
      <c r="J2385" s="4">
        <v>4973200</v>
      </c>
      <c r="K2385" s="2">
        <f t="shared" si="185"/>
        <v>0.8036845507433743</v>
      </c>
      <c r="L2385" t="s">
        <v>360</v>
      </c>
      <c r="M2385" t="s">
        <v>1015</v>
      </c>
      <c r="N2385" t="b">
        <f t="shared" si="186"/>
        <v>0</v>
      </c>
    </row>
    <row r="2386" spans="1:14" x14ac:dyDescent="0.15">
      <c r="A2386" t="s">
        <v>14780</v>
      </c>
      <c r="B2386" t="s">
        <v>14783</v>
      </c>
      <c r="C2386" t="s">
        <v>14807</v>
      </c>
      <c r="D2386" t="s">
        <v>23</v>
      </c>
      <c r="E2386" t="s">
        <v>14808</v>
      </c>
      <c r="F2386" s="5">
        <v>10175000</v>
      </c>
      <c r="G2386" s="5">
        <v>10175000</v>
      </c>
      <c r="H2386" s="4">
        <v>8169300</v>
      </c>
      <c r="I2386" s="2">
        <f t="shared" si="184"/>
        <v>0.80287960687960691</v>
      </c>
      <c r="J2386" s="4">
        <v>8200000</v>
      </c>
      <c r="K2386" s="2">
        <f t="shared" si="185"/>
        <v>0.8058968058968059</v>
      </c>
      <c r="L2386" t="s">
        <v>853</v>
      </c>
      <c r="M2386" t="s">
        <v>165</v>
      </c>
      <c r="N2386" t="b">
        <f t="shared" si="186"/>
        <v>0</v>
      </c>
    </row>
    <row r="2387" spans="1:14" x14ac:dyDescent="0.15">
      <c r="A2387" t="s">
        <v>14780</v>
      </c>
      <c r="B2387" t="s">
        <v>14783</v>
      </c>
      <c r="C2387" t="s">
        <v>14809</v>
      </c>
      <c r="D2387" t="s">
        <v>23</v>
      </c>
      <c r="E2387" t="s">
        <v>14810</v>
      </c>
      <c r="F2387" s="5">
        <v>31442000</v>
      </c>
      <c r="G2387" s="5">
        <v>31442000</v>
      </c>
      <c r="H2387" s="4">
        <v>25237400</v>
      </c>
      <c r="I2387" s="2">
        <f t="shared" si="184"/>
        <v>0.80266522485846958</v>
      </c>
      <c r="J2387" s="4">
        <v>25237600</v>
      </c>
      <c r="K2387" s="2">
        <f t="shared" si="185"/>
        <v>0.80267158577698616</v>
      </c>
      <c r="L2387" t="s">
        <v>173</v>
      </c>
      <c r="M2387" t="s">
        <v>165</v>
      </c>
      <c r="N2387" t="b">
        <f t="shared" si="186"/>
        <v>0</v>
      </c>
    </row>
    <row r="2388" spans="1:14" x14ac:dyDescent="0.15">
      <c r="A2388" t="s">
        <v>14780</v>
      </c>
      <c r="B2388" t="s">
        <v>14783</v>
      </c>
      <c r="C2388" t="s">
        <v>14811</v>
      </c>
      <c r="D2388" t="s">
        <v>23</v>
      </c>
      <c r="E2388" t="s">
        <v>14812</v>
      </c>
      <c r="F2388" s="5">
        <v>3150000</v>
      </c>
      <c r="G2388" s="5">
        <v>3150000</v>
      </c>
      <c r="H2388" s="4">
        <v>2527300</v>
      </c>
      <c r="I2388" s="2">
        <f t="shared" si="184"/>
        <v>0.80231746031746032</v>
      </c>
      <c r="J2388" s="4">
        <v>2970000</v>
      </c>
      <c r="K2388" s="2">
        <f t="shared" si="185"/>
        <v>0.94285714285714284</v>
      </c>
      <c r="L2388" t="s">
        <v>744</v>
      </c>
      <c r="M2388" t="s">
        <v>1015</v>
      </c>
      <c r="N2388" t="b">
        <f t="shared" si="186"/>
        <v>0</v>
      </c>
    </row>
    <row r="2389" spans="1:14" x14ac:dyDescent="0.15">
      <c r="A2389" t="s">
        <v>14780</v>
      </c>
      <c r="B2389" t="s">
        <v>14783</v>
      </c>
      <c r="C2389" t="s">
        <v>14813</v>
      </c>
      <c r="D2389" t="s">
        <v>23</v>
      </c>
      <c r="E2389" t="s">
        <v>14814</v>
      </c>
      <c r="F2389" s="5">
        <v>3020000</v>
      </c>
      <c r="G2389" s="5">
        <v>3020000</v>
      </c>
      <c r="H2389" s="4">
        <v>2431200</v>
      </c>
      <c r="I2389" s="2">
        <f t="shared" si="184"/>
        <v>0.80503311258278143</v>
      </c>
      <c r="J2389" s="4">
        <v>2720000</v>
      </c>
      <c r="K2389" s="2">
        <f t="shared" si="185"/>
        <v>0.90066225165562919</v>
      </c>
      <c r="L2389" t="s">
        <v>5068</v>
      </c>
      <c r="M2389" t="s">
        <v>1015</v>
      </c>
      <c r="N2389" t="b">
        <f t="shared" si="186"/>
        <v>0</v>
      </c>
    </row>
    <row r="2390" spans="1:14" x14ac:dyDescent="0.15">
      <c r="A2390" t="s">
        <v>14780</v>
      </c>
      <c r="B2390" t="s">
        <v>14783</v>
      </c>
      <c r="C2390" t="s">
        <v>14815</v>
      </c>
      <c r="D2390" t="s">
        <v>23</v>
      </c>
      <c r="E2390" t="s">
        <v>14816</v>
      </c>
      <c r="F2390" s="5">
        <v>24662000</v>
      </c>
      <c r="G2390" s="5">
        <v>24662000</v>
      </c>
      <c r="H2390" s="4">
        <v>19802400</v>
      </c>
      <c r="I2390" s="2">
        <f t="shared" si="184"/>
        <v>0.80295190982077691</v>
      </c>
      <c r="J2390" s="4">
        <v>19802600</v>
      </c>
      <c r="K2390" s="2">
        <f t="shared" si="185"/>
        <v>0.80296001946314166</v>
      </c>
      <c r="L2390" t="s">
        <v>173</v>
      </c>
      <c r="M2390" t="s">
        <v>165</v>
      </c>
      <c r="N2390" t="b">
        <f t="shared" si="186"/>
        <v>0</v>
      </c>
    </row>
    <row r="2391" spans="1:14" x14ac:dyDescent="0.15">
      <c r="A2391" t="s">
        <v>14780</v>
      </c>
      <c r="B2391" t="s">
        <v>14783</v>
      </c>
      <c r="C2391" t="s">
        <v>14817</v>
      </c>
      <c r="D2391" t="s">
        <v>23</v>
      </c>
      <c r="E2391" t="s">
        <v>14818</v>
      </c>
      <c r="F2391" s="5">
        <v>21375000</v>
      </c>
      <c r="G2391" s="5">
        <v>21375000</v>
      </c>
      <c r="H2391" s="4">
        <v>17158300</v>
      </c>
      <c r="I2391" s="2">
        <f t="shared" si="184"/>
        <v>0.80272748538011696</v>
      </c>
      <c r="J2391" s="4">
        <v>21100000</v>
      </c>
      <c r="K2391" s="2">
        <f t="shared" si="185"/>
        <v>0.98713450292397664</v>
      </c>
      <c r="L2391" t="s">
        <v>853</v>
      </c>
      <c r="M2391" t="s">
        <v>165</v>
      </c>
      <c r="N2391" t="b">
        <f t="shared" si="186"/>
        <v>0</v>
      </c>
    </row>
    <row r="2392" spans="1:14" x14ac:dyDescent="0.15">
      <c r="A2392" t="s">
        <v>14780</v>
      </c>
      <c r="B2392" t="s">
        <v>14783</v>
      </c>
      <c r="C2392" t="s">
        <v>14819</v>
      </c>
      <c r="D2392" t="s">
        <v>23</v>
      </c>
      <c r="E2392" t="s">
        <v>14820</v>
      </c>
      <c r="F2392" s="5">
        <v>14270000</v>
      </c>
      <c r="G2392" s="5">
        <v>14270000</v>
      </c>
      <c r="H2392" s="4">
        <v>11461200</v>
      </c>
      <c r="I2392" s="2">
        <f t="shared" si="184"/>
        <v>0.80316748423265594</v>
      </c>
      <c r="J2392" s="4">
        <v>12900000</v>
      </c>
      <c r="K2392" s="2">
        <f t="shared" si="185"/>
        <v>0.90399439383321656</v>
      </c>
      <c r="L2392" t="s">
        <v>5068</v>
      </c>
      <c r="M2392" t="s">
        <v>165</v>
      </c>
      <c r="N2392" t="b">
        <f t="shared" si="186"/>
        <v>0</v>
      </c>
    </row>
    <row r="2393" spans="1:14" x14ac:dyDescent="0.15">
      <c r="A2393" t="s">
        <v>14780</v>
      </c>
      <c r="B2393" t="s">
        <v>14783</v>
      </c>
      <c r="C2393" t="s">
        <v>13895</v>
      </c>
      <c r="D2393" t="s">
        <v>23</v>
      </c>
      <c r="E2393" t="s">
        <v>14821</v>
      </c>
      <c r="F2393" s="5">
        <v>1237000</v>
      </c>
      <c r="G2393" s="5">
        <v>1237000</v>
      </c>
      <c r="H2393" s="4">
        <v>1001900</v>
      </c>
      <c r="I2393" s="2">
        <f t="shared" si="184"/>
        <v>0.80994341147938564</v>
      </c>
      <c r="J2393" s="4">
        <v>1180000</v>
      </c>
      <c r="K2393" s="2">
        <f t="shared" si="185"/>
        <v>0.9539207760711399</v>
      </c>
      <c r="L2393" t="s">
        <v>12415</v>
      </c>
      <c r="M2393" t="s">
        <v>21</v>
      </c>
      <c r="N2393" t="b">
        <f t="shared" si="186"/>
        <v>0</v>
      </c>
    </row>
    <row r="2394" spans="1:14" x14ac:dyDescent="0.15">
      <c r="A2394" t="s">
        <v>14780</v>
      </c>
      <c r="B2394" t="s">
        <v>14783</v>
      </c>
      <c r="C2394" t="s">
        <v>14822</v>
      </c>
      <c r="D2394" t="s">
        <v>23</v>
      </c>
      <c r="E2394" t="s">
        <v>14823</v>
      </c>
      <c r="F2394" s="5">
        <v>3887000</v>
      </c>
      <c r="G2394" s="5">
        <v>3887000</v>
      </c>
      <c r="H2394" s="4">
        <v>3121400</v>
      </c>
      <c r="I2394" s="2">
        <f t="shared" si="184"/>
        <v>0.80303576022639567</v>
      </c>
      <c r="J2394" s="4">
        <v>3550000</v>
      </c>
      <c r="K2394" s="2">
        <f t="shared" si="185"/>
        <v>0.91330074607666578</v>
      </c>
      <c r="L2394" t="s">
        <v>5068</v>
      </c>
      <c r="M2394" t="s">
        <v>1015</v>
      </c>
      <c r="N2394" t="b">
        <f t="shared" si="186"/>
        <v>0</v>
      </c>
    </row>
    <row r="2395" spans="1:14" x14ac:dyDescent="0.15">
      <c r="A2395" t="s">
        <v>14780</v>
      </c>
      <c r="B2395" t="s">
        <v>14783</v>
      </c>
      <c r="C2395" t="s">
        <v>14824</v>
      </c>
      <c r="D2395" t="s">
        <v>23</v>
      </c>
      <c r="E2395" t="s">
        <v>14825</v>
      </c>
      <c r="F2395" s="5">
        <v>5270000</v>
      </c>
      <c r="G2395" s="5">
        <v>5270000</v>
      </c>
      <c r="H2395" s="4">
        <v>4237500</v>
      </c>
      <c r="I2395" s="2">
        <f t="shared" si="184"/>
        <v>0.8040796963946869</v>
      </c>
      <c r="J2395" s="4">
        <v>4300000</v>
      </c>
      <c r="K2395" s="2">
        <f t="shared" si="185"/>
        <v>0.81593927893738138</v>
      </c>
      <c r="L2395" t="s">
        <v>14826</v>
      </c>
      <c r="M2395" t="s">
        <v>1015</v>
      </c>
      <c r="N2395" t="b">
        <f t="shared" si="186"/>
        <v>0</v>
      </c>
    </row>
    <row r="2396" spans="1:14" x14ac:dyDescent="0.15">
      <c r="A2396" t="s">
        <v>14780</v>
      </c>
      <c r="B2396" t="s">
        <v>14783</v>
      </c>
      <c r="C2396" t="s">
        <v>14827</v>
      </c>
      <c r="D2396" t="s">
        <v>23</v>
      </c>
      <c r="E2396" t="s">
        <v>14828</v>
      </c>
      <c r="F2396" s="5">
        <v>1580000</v>
      </c>
      <c r="G2396" s="5">
        <v>1580000</v>
      </c>
      <c r="H2396" s="4">
        <v>1270000</v>
      </c>
      <c r="I2396" s="2">
        <f t="shared" si="184"/>
        <v>0.80379746835443033</v>
      </c>
      <c r="J2396" s="4">
        <v>1550000</v>
      </c>
      <c r="K2396" s="2">
        <f t="shared" si="185"/>
        <v>0.98101265822784811</v>
      </c>
      <c r="L2396" t="s">
        <v>263</v>
      </c>
      <c r="M2396" t="s">
        <v>21</v>
      </c>
      <c r="N2396" t="b">
        <f t="shared" si="186"/>
        <v>0</v>
      </c>
    </row>
    <row r="2397" spans="1:14" x14ac:dyDescent="0.15">
      <c r="A2397" t="s">
        <v>14780</v>
      </c>
      <c r="B2397" t="s">
        <v>14783</v>
      </c>
      <c r="C2397" t="s">
        <v>14829</v>
      </c>
      <c r="D2397" t="s">
        <v>23</v>
      </c>
      <c r="E2397" t="s">
        <v>14830</v>
      </c>
      <c r="F2397" s="5">
        <v>11666000</v>
      </c>
      <c r="G2397" s="5">
        <v>11666000</v>
      </c>
      <c r="H2397" s="4">
        <v>9284400</v>
      </c>
      <c r="I2397" s="2">
        <f t="shared" si="184"/>
        <v>0.79585119149665695</v>
      </c>
      <c r="J2397" s="4">
        <v>10500000</v>
      </c>
      <c r="K2397" s="2">
        <f t="shared" si="185"/>
        <v>0.90005143151037204</v>
      </c>
      <c r="L2397" t="s">
        <v>853</v>
      </c>
      <c r="M2397" t="s">
        <v>1015</v>
      </c>
      <c r="N2397" t="b">
        <f t="shared" si="186"/>
        <v>0</v>
      </c>
    </row>
    <row r="2398" spans="1:14" x14ac:dyDescent="0.15">
      <c r="A2398" t="s">
        <v>14780</v>
      </c>
      <c r="B2398" t="s">
        <v>14783</v>
      </c>
      <c r="C2398" t="s">
        <v>14831</v>
      </c>
      <c r="D2398" t="s">
        <v>23</v>
      </c>
      <c r="E2398" t="s">
        <v>14832</v>
      </c>
      <c r="F2398" s="5">
        <v>19581000</v>
      </c>
      <c r="G2398" s="5">
        <v>19581000</v>
      </c>
      <c r="H2398" s="4">
        <v>15586900</v>
      </c>
      <c r="I2398" s="2">
        <f t="shared" si="184"/>
        <v>0.79602165364383837</v>
      </c>
      <c r="J2398" s="4">
        <v>17800000</v>
      </c>
      <c r="K2398" s="2">
        <f t="shared" si="185"/>
        <v>0.90904448189571518</v>
      </c>
      <c r="L2398" t="s">
        <v>5068</v>
      </c>
      <c r="M2398" t="s">
        <v>165</v>
      </c>
      <c r="N2398" t="b">
        <f t="shared" si="186"/>
        <v>0</v>
      </c>
    </row>
    <row r="2399" spans="1:14" x14ac:dyDescent="0.15">
      <c r="A2399" t="s">
        <v>14780</v>
      </c>
      <c r="B2399" t="s">
        <v>14783</v>
      </c>
      <c r="C2399" t="s">
        <v>14833</v>
      </c>
      <c r="D2399" t="s">
        <v>23</v>
      </c>
      <c r="E2399" t="s">
        <v>14834</v>
      </c>
      <c r="F2399" s="5">
        <v>1620000</v>
      </c>
      <c r="G2399" s="5">
        <v>1620000</v>
      </c>
      <c r="H2399" s="4">
        <v>1296000</v>
      </c>
      <c r="I2399" s="2">
        <f t="shared" si="184"/>
        <v>0.8</v>
      </c>
      <c r="J2399" s="4">
        <v>1520000</v>
      </c>
      <c r="K2399" s="2">
        <f t="shared" si="185"/>
        <v>0.93827160493827155</v>
      </c>
      <c r="L2399" t="s">
        <v>5186</v>
      </c>
      <c r="M2399" t="s">
        <v>21</v>
      </c>
      <c r="N2399" t="b">
        <f t="shared" si="186"/>
        <v>0</v>
      </c>
    </row>
    <row r="2400" spans="1:14" x14ac:dyDescent="0.15">
      <c r="A2400" t="s">
        <v>14780</v>
      </c>
      <c r="B2400" t="s">
        <v>14783</v>
      </c>
      <c r="C2400" t="s">
        <v>14835</v>
      </c>
      <c r="D2400" t="s">
        <v>23</v>
      </c>
      <c r="E2400" t="s">
        <v>14836</v>
      </c>
      <c r="F2400" s="5">
        <v>2716000</v>
      </c>
      <c r="G2400" s="5">
        <v>2716000</v>
      </c>
      <c r="H2400" s="4">
        <v>2165700</v>
      </c>
      <c r="I2400" s="2">
        <f t="shared" si="184"/>
        <v>0.79738586156111935</v>
      </c>
      <c r="J2400" s="4">
        <v>2500000</v>
      </c>
      <c r="K2400" s="2">
        <f t="shared" si="185"/>
        <v>0.92047128129602351</v>
      </c>
      <c r="L2400" t="s">
        <v>5068</v>
      </c>
      <c r="M2400" t="s">
        <v>1015</v>
      </c>
      <c r="N2400" t="b">
        <f t="shared" si="186"/>
        <v>0</v>
      </c>
    </row>
    <row r="2401" spans="1:14" x14ac:dyDescent="0.15">
      <c r="A2401" t="s">
        <v>14780</v>
      </c>
      <c r="B2401" t="s">
        <v>14783</v>
      </c>
      <c r="C2401" t="s">
        <v>14837</v>
      </c>
      <c r="D2401" t="s">
        <v>23</v>
      </c>
      <c r="E2401" t="s">
        <v>14838</v>
      </c>
      <c r="F2401" s="5">
        <v>2610000</v>
      </c>
      <c r="G2401" s="5">
        <v>2610000</v>
      </c>
      <c r="H2401" s="4">
        <v>2081600</v>
      </c>
      <c r="I2401" s="2">
        <f t="shared" si="184"/>
        <v>0.79754789272030646</v>
      </c>
      <c r="J2401" s="4">
        <v>2500000</v>
      </c>
      <c r="K2401" s="2">
        <f t="shared" si="185"/>
        <v>0.95785440613026818</v>
      </c>
      <c r="L2401" t="s">
        <v>360</v>
      </c>
      <c r="M2401" t="s">
        <v>1015</v>
      </c>
      <c r="N2401" t="b">
        <f t="shared" si="186"/>
        <v>0</v>
      </c>
    </row>
    <row r="2402" spans="1:14" x14ac:dyDescent="0.15">
      <c r="A2402" t="s">
        <v>14780</v>
      </c>
      <c r="B2402" t="s">
        <v>14783</v>
      </c>
      <c r="C2402" t="s">
        <v>14839</v>
      </c>
      <c r="D2402" t="s">
        <v>23</v>
      </c>
      <c r="E2402" t="s">
        <v>14840</v>
      </c>
      <c r="F2402" s="5">
        <v>8899000</v>
      </c>
      <c r="G2402" s="5">
        <v>8899000</v>
      </c>
      <c r="H2402" s="4">
        <v>7086400</v>
      </c>
      <c r="I2402" s="2">
        <f t="shared" si="184"/>
        <v>0.79631419260591074</v>
      </c>
      <c r="J2402" s="4">
        <v>7100000</v>
      </c>
      <c r="K2402" s="2">
        <f t="shared" si="185"/>
        <v>0.79784245420833799</v>
      </c>
      <c r="L2402" t="s">
        <v>271</v>
      </c>
      <c r="M2402" t="s">
        <v>1015</v>
      </c>
      <c r="N2402" t="b">
        <f t="shared" si="186"/>
        <v>0</v>
      </c>
    </row>
    <row r="2403" spans="1:14" x14ac:dyDescent="0.15">
      <c r="A2403" t="s">
        <v>14780</v>
      </c>
      <c r="B2403" t="s">
        <v>14783</v>
      </c>
      <c r="C2403" t="s">
        <v>14841</v>
      </c>
      <c r="D2403" t="s">
        <v>23</v>
      </c>
      <c r="E2403" t="s">
        <v>14842</v>
      </c>
      <c r="F2403" s="5">
        <v>3688000</v>
      </c>
      <c r="G2403" s="5">
        <v>3688000</v>
      </c>
      <c r="H2403" s="4">
        <v>2821800</v>
      </c>
      <c r="I2403" s="2">
        <f t="shared" si="184"/>
        <v>0.76513015184381783</v>
      </c>
      <c r="J2403" s="4">
        <v>3300000</v>
      </c>
      <c r="K2403" s="2">
        <f t="shared" si="185"/>
        <v>0.89479392624728848</v>
      </c>
      <c r="L2403" t="s">
        <v>14843</v>
      </c>
      <c r="M2403" t="s">
        <v>1015</v>
      </c>
      <c r="N2403" t="b">
        <f t="shared" si="186"/>
        <v>0</v>
      </c>
    </row>
    <row r="2404" spans="1:14" x14ac:dyDescent="0.15">
      <c r="A2404" t="s">
        <v>14780</v>
      </c>
      <c r="B2404" t="s">
        <v>14783</v>
      </c>
      <c r="C2404" t="s">
        <v>14844</v>
      </c>
      <c r="D2404" t="s">
        <v>23</v>
      </c>
      <c r="E2404" t="s">
        <v>14845</v>
      </c>
      <c r="F2404" s="5">
        <v>12547000</v>
      </c>
      <c r="G2404" s="5">
        <v>12547000</v>
      </c>
      <c r="H2404" s="4">
        <v>9992700</v>
      </c>
      <c r="I2404" s="2">
        <f t="shared" si="184"/>
        <v>0.79642145532796682</v>
      </c>
      <c r="J2404" s="4">
        <v>9992700</v>
      </c>
      <c r="K2404" s="2">
        <f t="shared" si="185"/>
        <v>0.79642145532796682</v>
      </c>
      <c r="L2404" t="s">
        <v>271</v>
      </c>
      <c r="M2404" t="s">
        <v>1015</v>
      </c>
      <c r="N2404" t="b">
        <f t="shared" si="186"/>
        <v>0</v>
      </c>
    </row>
    <row r="2405" spans="1:14" x14ac:dyDescent="0.15">
      <c r="A2405" t="s">
        <v>14780</v>
      </c>
      <c r="B2405" t="s">
        <v>14783</v>
      </c>
      <c r="C2405" t="s">
        <v>14846</v>
      </c>
      <c r="D2405" t="s">
        <v>23</v>
      </c>
      <c r="E2405" t="s">
        <v>14847</v>
      </c>
      <c r="F2405" s="5">
        <v>5396000</v>
      </c>
      <c r="G2405" s="5">
        <v>5396000</v>
      </c>
      <c r="H2405" s="4">
        <v>4298900</v>
      </c>
      <c r="I2405" s="2">
        <f t="shared" si="184"/>
        <v>0.79668272794662709</v>
      </c>
      <c r="J2405" s="4">
        <v>5395000</v>
      </c>
      <c r="K2405" s="2">
        <f t="shared" si="185"/>
        <v>0.99981467753891773</v>
      </c>
      <c r="L2405" t="s">
        <v>10407</v>
      </c>
      <c r="M2405" t="s">
        <v>1015</v>
      </c>
      <c r="N2405" t="b">
        <f t="shared" si="186"/>
        <v>0</v>
      </c>
    </row>
    <row r="2406" spans="1:14" x14ac:dyDescent="0.15">
      <c r="A2406" t="s">
        <v>14780</v>
      </c>
      <c r="B2406" t="s">
        <v>14783</v>
      </c>
      <c r="C2406" t="s">
        <v>14848</v>
      </c>
      <c r="D2406" t="s">
        <v>23</v>
      </c>
      <c r="E2406" t="s">
        <v>14849</v>
      </c>
      <c r="F2406" s="5">
        <v>23530000</v>
      </c>
      <c r="G2406" s="5">
        <v>23530000</v>
      </c>
      <c r="H2406" s="4">
        <v>18736500</v>
      </c>
      <c r="I2406" s="2">
        <f t="shared" si="184"/>
        <v>0.79628134296642583</v>
      </c>
      <c r="J2406" s="4">
        <v>22000000</v>
      </c>
      <c r="K2406" s="2">
        <f t="shared" si="185"/>
        <v>0.93497662558436034</v>
      </c>
      <c r="L2406" t="s">
        <v>182</v>
      </c>
      <c r="M2406" t="s">
        <v>165</v>
      </c>
      <c r="N2406" t="b">
        <f t="shared" si="186"/>
        <v>0</v>
      </c>
    </row>
    <row r="2407" spans="1:14" x14ac:dyDescent="0.15">
      <c r="A2407" t="s">
        <v>14780</v>
      </c>
      <c r="B2407" t="s">
        <v>14783</v>
      </c>
      <c r="C2407" t="s">
        <v>14801</v>
      </c>
      <c r="D2407" t="s">
        <v>23</v>
      </c>
      <c r="E2407" t="s">
        <v>14850</v>
      </c>
      <c r="F2407" s="5">
        <v>11503000</v>
      </c>
      <c r="G2407" s="5">
        <v>11503000</v>
      </c>
      <c r="H2407" s="4">
        <v>9165000</v>
      </c>
      <c r="I2407" s="2">
        <f t="shared" si="184"/>
        <v>0.79674867425888896</v>
      </c>
      <c r="J2407" s="4">
        <v>9165200</v>
      </c>
      <c r="K2407" s="2">
        <f t="shared" si="185"/>
        <v>0.79676606102755798</v>
      </c>
      <c r="L2407" t="s">
        <v>853</v>
      </c>
      <c r="M2407" t="s">
        <v>1015</v>
      </c>
      <c r="N2407" t="b">
        <f t="shared" si="186"/>
        <v>0</v>
      </c>
    </row>
    <row r="2408" spans="1:14" x14ac:dyDescent="0.15">
      <c r="A2408" t="s">
        <v>14780</v>
      </c>
      <c r="B2408" t="s">
        <v>14783</v>
      </c>
      <c r="C2408" t="s">
        <v>14851</v>
      </c>
      <c r="D2408" t="s">
        <v>23</v>
      </c>
      <c r="E2408" t="s">
        <v>14852</v>
      </c>
      <c r="F2408" s="5">
        <v>1902000</v>
      </c>
      <c r="G2408" s="5">
        <v>1902000</v>
      </c>
      <c r="H2408" s="4">
        <v>1521600</v>
      </c>
      <c r="I2408" s="2">
        <f t="shared" si="184"/>
        <v>0.8</v>
      </c>
      <c r="J2408" s="4">
        <v>1850000</v>
      </c>
      <c r="K2408" s="2">
        <f t="shared" si="185"/>
        <v>0.97266035751840163</v>
      </c>
      <c r="L2408" t="s">
        <v>1624</v>
      </c>
      <c r="M2408" t="s">
        <v>1015</v>
      </c>
      <c r="N2408" t="b">
        <f t="shared" si="186"/>
        <v>0</v>
      </c>
    </row>
    <row r="2409" spans="1:14" x14ac:dyDescent="0.15">
      <c r="A2409" t="s">
        <v>14780</v>
      </c>
      <c r="B2409" t="s">
        <v>14783</v>
      </c>
      <c r="C2409" t="s">
        <v>14853</v>
      </c>
      <c r="D2409" t="s">
        <v>23</v>
      </c>
      <c r="E2409" t="s">
        <v>14854</v>
      </c>
      <c r="F2409" s="5">
        <v>6343000</v>
      </c>
      <c r="G2409" s="5">
        <v>6343000</v>
      </c>
      <c r="H2409" s="4">
        <v>5052600</v>
      </c>
      <c r="I2409" s="2">
        <f t="shared" si="184"/>
        <v>0.79656314046980925</v>
      </c>
      <c r="J2409" s="4">
        <v>5800000</v>
      </c>
      <c r="K2409" s="2">
        <f t="shared" si="185"/>
        <v>0.91439381995900992</v>
      </c>
      <c r="L2409" t="s">
        <v>5068</v>
      </c>
      <c r="M2409" t="s">
        <v>1015</v>
      </c>
      <c r="N2409" t="b">
        <f t="shared" si="186"/>
        <v>0</v>
      </c>
    </row>
    <row r="2410" spans="1:14" x14ac:dyDescent="0.15">
      <c r="A2410" t="s">
        <v>14780</v>
      </c>
      <c r="B2410" t="s">
        <v>14783</v>
      </c>
      <c r="C2410" t="s">
        <v>14855</v>
      </c>
      <c r="D2410" t="s">
        <v>23</v>
      </c>
      <c r="E2410" t="s">
        <v>14856</v>
      </c>
      <c r="F2410" s="5">
        <v>7690000</v>
      </c>
      <c r="G2410" s="5">
        <v>7690000</v>
      </c>
      <c r="H2410" s="4">
        <v>6152000</v>
      </c>
      <c r="I2410" s="2">
        <f t="shared" si="184"/>
        <v>0.8</v>
      </c>
      <c r="J2410" s="4">
        <v>6500000</v>
      </c>
      <c r="K2410" s="2">
        <f t="shared" si="185"/>
        <v>0.84525357607282181</v>
      </c>
      <c r="L2410" t="s">
        <v>14857</v>
      </c>
      <c r="M2410" t="s">
        <v>1015</v>
      </c>
      <c r="N2410" t="b">
        <f t="shared" si="186"/>
        <v>0</v>
      </c>
    </row>
    <row r="2411" spans="1:14" x14ac:dyDescent="0.15">
      <c r="A2411" t="s">
        <v>14780</v>
      </c>
      <c r="B2411" t="s">
        <v>14783</v>
      </c>
      <c r="C2411" t="s">
        <v>14858</v>
      </c>
      <c r="D2411" t="s">
        <v>23</v>
      </c>
      <c r="E2411" t="s">
        <v>14859</v>
      </c>
      <c r="F2411" s="5">
        <v>16852000</v>
      </c>
      <c r="G2411" s="5">
        <v>16852000</v>
      </c>
      <c r="H2411" s="4">
        <v>13414300</v>
      </c>
      <c r="I2411" s="2">
        <f t="shared" si="184"/>
        <v>0.79600640873486828</v>
      </c>
      <c r="J2411" s="4">
        <v>13900000</v>
      </c>
      <c r="K2411" s="2">
        <f t="shared" si="185"/>
        <v>0.82482791360075958</v>
      </c>
      <c r="L2411" t="s">
        <v>182</v>
      </c>
      <c r="M2411" t="s">
        <v>165</v>
      </c>
      <c r="N2411" t="b">
        <f t="shared" si="186"/>
        <v>0</v>
      </c>
    </row>
    <row r="2412" spans="1:14" x14ac:dyDescent="0.15">
      <c r="A2412" t="s">
        <v>14780</v>
      </c>
      <c r="B2412" t="s">
        <v>14783</v>
      </c>
      <c r="C2412" t="s">
        <v>14860</v>
      </c>
      <c r="D2412" t="s">
        <v>23</v>
      </c>
      <c r="E2412" t="s">
        <v>14861</v>
      </c>
      <c r="F2412" s="5">
        <v>4248000</v>
      </c>
      <c r="G2412" s="5">
        <v>4248000</v>
      </c>
      <c r="H2412" s="4">
        <v>3384900</v>
      </c>
      <c r="I2412" s="2">
        <f t="shared" si="184"/>
        <v>0.79682203389830508</v>
      </c>
      <c r="J2412" s="4">
        <v>3900000</v>
      </c>
      <c r="K2412" s="2">
        <f t="shared" si="185"/>
        <v>0.91807909604519777</v>
      </c>
      <c r="L2412" t="s">
        <v>5068</v>
      </c>
      <c r="M2412" t="s">
        <v>1015</v>
      </c>
      <c r="N2412" t="b">
        <f t="shared" si="186"/>
        <v>0</v>
      </c>
    </row>
    <row r="2413" spans="1:14" x14ac:dyDescent="0.15">
      <c r="A2413" t="s">
        <v>14780</v>
      </c>
      <c r="B2413" t="s">
        <v>14783</v>
      </c>
      <c r="C2413" t="s">
        <v>13258</v>
      </c>
      <c r="D2413" t="s">
        <v>23</v>
      </c>
      <c r="E2413" t="s">
        <v>14862</v>
      </c>
      <c r="F2413" s="5">
        <v>6914000</v>
      </c>
      <c r="G2413" s="5">
        <v>6914000</v>
      </c>
      <c r="H2413" s="4">
        <v>5506800</v>
      </c>
      <c r="I2413" s="2">
        <f t="shared" si="184"/>
        <v>0.79647092855076651</v>
      </c>
      <c r="J2413" s="4">
        <v>6700000</v>
      </c>
      <c r="K2413" s="2">
        <f t="shared" si="185"/>
        <v>0.96904830778131323</v>
      </c>
      <c r="L2413" t="s">
        <v>360</v>
      </c>
      <c r="M2413" t="s">
        <v>1015</v>
      </c>
      <c r="N2413" t="b">
        <f t="shared" si="186"/>
        <v>0</v>
      </c>
    </row>
    <row r="2414" spans="1:14" x14ac:dyDescent="0.15">
      <c r="A2414" t="s">
        <v>14780</v>
      </c>
      <c r="B2414" t="s">
        <v>14783</v>
      </c>
      <c r="C2414" t="s">
        <v>14863</v>
      </c>
      <c r="D2414" t="s">
        <v>23</v>
      </c>
      <c r="E2414" t="s">
        <v>13269</v>
      </c>
      <c r="F2414" s="5">
        <v>5253000</v>
      </c>
      <c r="G2414" s="5">
        <v>5253000</v>
      </c>
      <c r="H2414" s="4">
        <v>4186200</v>
      </c>
      <c r="I2414" s="2">
        <f t="shared" si="184"/>
        <v>0.79691604797258708</v>
      </c>
      <c r="J2414" s="4">
        <v>4400000</v>
      </c>
      <c r="K2414" s="2">
        <f t="shared" si="185"/>
        <v>0.83761660003807348</v>
      </c>
      <c r="L2414" t="s">
        <v>263</v>
      </c>
      <c r="M2414" t="s">
        <v>1015</v>
      </c>
      <c r="N2414" t="b">
        <f t="shared" si="186"/>
        <v>0</v>
      </c>
    </row>
    <row r="2415" spans="1:14" x14ac:dyDescent="0.15">
      <c r="A2415" t="s">
        <v>14780</v>
      </c>
      <c r="B2415" t="s">
        <v>14783</v>
      </c>
      <c r="C2415" t="s">
        <v>14864</v>
      </c>
      <c r="D2415" t="s">
        <v>23</v>
      </c>
      <c r="E2415" t="s">
        <v>14865</v>
      </c>
      <c r="F2415" s="5">
        <v>15353000</v>
      </c>
      <c r="G2415" s="5">
        <v>15353000</v>
      </c>
      <c r="H2415" s="4">
        <v>12217700</v>
      </c>
      <c r="I2415" s="2">
        <f t="shared" si="184"/>
        <v>0.79578583990099649</v>
      </c>
      <c r="J2415" s="4">
        <v>12220000</v>
      </c>
      <c r="K2415" s="2">
        <f t="shared" si="185"/>
        <v>0.7959356477561389</v>
      </c>
      <c r="L2415" t="s">
        <v>1458</v>
      </c>
      <c r="M2415" t="s">
        <v>165</v>
      </c>
      <c r="N2415" t="b">
        <f t="shared" si="186"/>
        <v>0</v>
      </c>
    </row>
    <row r="2416" spans="1:14" x14ac:dyDescent="0.15">
      <c r="A2416" t="s">
        <v>14780</v>
      </c>
      <c r="B2416" t="s">
        <v>14783</v>
      </c>
      <c r="C2416" t="s">
        <v>14866</v>
      </c>
      <c r="D2416" t="s">
        <v>23</v>
      </c>
      <c r="E2416" t="s">
        <v>14867</v>
      </c>
      <c r="F2416" s="5">
        <v>1817000</v>
      </c>
      <c r="G2416" s="5">
        <v>1817000</v>
      </c>
      <c r="H2416" s="4">
        <v>1445900</v>
      </c>
      <c r="I2416" s="2">
        <f t="shared" si="184"/>
        <v>0.79576224545954866</v>
      </c>
      <c r="J2416" s="4">
        <v>1720000</v>
      </c>
      <c r="K2416" s="2">
        <f t="shared" si="185"/>
        <v>0.94661529994496418</v>
      </c>
      <c r="L2416" t="s">
        <v>332</v>
      </c>
      <c r="M2416" t="s">
        <v>21</v>
      </c>
      <c r="N2416" t="b">
        <f t="shared" si="186"/>
        <v>0</v>
      </c>
    </row>
    <row r="2417" spans="1:14" x14ac:dyDescent="0.15">
      <c r="A2417" t="s">
        <v>14780</v>
      </c>
      <c r="B2417" t="s">
        <v>14783</v>
      </c>
      <c r="C2417" t="s">
        <v>14868</v>
      </c>
      <c r="D2417" t="s">
        <v>23</v>
      </c>
      <c r="E2417" t="s">
        <v>14869</v>
      </c>
      <c r="F2417" s="5">
        <v>2994000</v>
      </c>
      <c r="G2417" s="5">
        <v>2994000</v>
      </c>
      <c r="H2417" s="4">
        <v>2386900</v>
      </c>
      <c r="I2417" s="2">
        <f t="shared" si="184"/>
        <v>0.79722778891115564</v>
      </c>
      <c r="J2417" s="4">
        <v>2750000</v>
      </c>
      <c r="K2417" s="2">
        <f t="shared" si="185"/>
        <v>0.91850367401469601</v>
      </c>
      <c r="L2417" t="s">
        <v>5068</v>
      </c>
      <c r="M2417" t="s">
        <v>1015</v>
      </c>
      <c r="N2417" t="b">
        <f t="shared" si="186"/>
        <v>0</v>
      </c>
    </row>
    <row r="2418" spans="1:14" x14ac:dyDescent="0.15">
      <c r="A2418" t="s">
        <v>14780</v>
      </c>
      <c r="B2418" t="s">
        <v>14783</v>
      </c>
      <c r="C2418" t="s">
        <v>14870</v>
      </c>
      <c r="D2418" t="s">
        <v>23</v>
      </c>
      <c r="E2418" t="s">
        <v>14871</v>
      </c>
      <c r="F2418" s="5">
        <v>2956000</v>
      </c>
      <c r="G2418" s="5">
        <v>2956000</v>
      </c>
      <c r="H2418" s="4">
        <v>2353500</v>
      </c>
      <c r="I2418" s="2">
        <f t="shared" si="184"/>
        <v>0.79617726657645471</v>
      </c>
      <c r="J2418" s="4">
        <v>2700000</v>
      </c>
      <c r="K2418" s="2">
        <f t="shared" si="185"/>
        <v>0.91339648173207033</v>
      </c>
      <c r="L2418" t="s">
        <v>5068</v>
      </c>
      <c r="M2418" t="s">
        <v>1015</v>
      </c>
      <c r="N2418" t="b">
        <f t="shared" si="186"/>
        <v>0</v>
      </c>
    </row>
    <row r="2419" spans="1:14" x14ac:dyDescent="0.15">
      <c r="A2419" t="s">
        <v>14780</v>
      </c>
      <c r="B2419" t="s">
        <v>14783</v>
      </c>
      <c r="C2419" t="s">
        <v>14872</v>
      </c>
      <c r="D2419" t="s">
        <v>23</v>
      </c>
      <c r="E2419" t="s">
        <v>14873</v>
      </c>
      <c r="F2419" s="5">
        <v>40154000</v>
      </c>
      <c r="G2419" s="5">
        <v>40154000</v>
      </c>
      <c r="H2419" s="4">
        <v>31932700</v>
      </c>
      <c r="I2419" s="2">
        <f t="shared" si="184"/>
        <v>0.79525576530358122</v>
      </c>
      <c r="J2419" s="4">
        <v>38500000</v>
      </c>
      <c r="K2419" s="2">
        <f t="shared" si="185"/>
        <v>0.95880858694027993</v>
      </c>
      <c r="L2419" t="s">
        <v>5186</v>
      </c>
      <c r="M2419" t="s">
        <v>165</v>
      </c>
      <c r="N2419" t="b">
        <f t="shared" si="186"/>
        <v>0</v>
      </c>
    </row>
    <row r="2420" spans="1:14" x14ac:dyDescent="0.15">
      <c r="A2420" t="s">
        <v>14780</v>
      </c>
      <c r="B2420" t="s">
        <v>14783</v>
      </c>
      <c r="C2420" t="s">
        <v>14874</v>
      </c>
      <c r="D2420" t="s">
        <v>23</v>
      </c>
      <c r="E2420" t="s">
        <v>14875</v>
      </c>
      <c r="F2420" s="5">
        <v>4594000</v>
      </c>
      <c r="G2420" s="5">
        <v>4594000</v>
      </c>
      <c r="H2420" s="4">
        <v>3657600</v>
      </c>
      <c r="I2420" s="2">
        <f t="shared" si="184"/>
        <v>0.79616891597736172</v>
      </c>
      <c r="J2420" s="4">
        <v>4300000</v>
      </c>
      <c r="K2420" s="2">
        <f t="shared" si="185"/>
        <v>0.93600348280365697</v>
      </c>
      <c r="L2420" t="s">
        <v>360</v>
      </c>
      <c r="M2420" t="s">
        <v>1015</v>
      </c>
      <c r="N2420" t="b">
        <f t="shared" si="186"/>
        <v>0</v>
      </c>
    </row>
    <row r="2421" spans="1:14" x14ac:dyDescent="0.15">
      <c r="A2421" t="s">
        <v>14780</v>
      </c>
      <c r="B2421" t="s">
        <v>14783</v>
      </c>
      <c r="C2421" t="s">
        <v>14876</v>
      </c>
      <c r="D2421" t="s">
        <v>23</v>
      </c>
      <c r="E2421" t="s">
        <v>14877</v>
      </c>
      <c r="F2421" s="5">
        <v>1845000</v>
      </c>
      <c r="G2421" s="5">
        <v>1845000</v>
      </c>
      <c r="H2421" s="4">
        <v>1472000</v>
      </c>
      <c r="I2421" s="2">
        <f t="shared" si="184"/>
        <v>0.79783197831978325</v>
      </c>
      <c r="J2421" s="4">
        <v>1750000</v>
      </c>
      <c r="K2421" s="2">
        <f t="shared" si="185"/>
        <v>0.948509485094851</v>
      </c>
      <c r="L2421" t="s">
        <v>744</v>
      </c>
      <c r="M2421" t="s">
        <v>1015</v>
      </c>
      <c r="N2421" t="b">
        <f t="shared" si="186"/>
        <v>0</v>
      </c>
    </row>
    <row r="2422" spans="1:14" x14ac:dyDescent="0.15">
      <c r="A2422" t="s">
        <v>14780</v>
      </c>
      <c r="B2422" t="s">
        <v>14783</v>
      </c>
      <c r="C2422" t="s">
        <v>14878</v>
      </c>
      <c r="D2422" t="s">
        <v>23</v>
      </c>
      <c r="E2422" t="s">
        <v>13594</v>
      </c>
      <c r="F2422" s="5">
        <v>4749000</v>
      </c>
      <c r="G2422" s="5">
        <v>4749000</v>
      </c>
      <c r="H2422" s="4">
        <v>3799200</v>
      </c>
      <c r="I2422" s="2">
        <f t="shared" si="184"/>
        <v>0.8</v>
      </c>
      <c r="J2422" s="4">
        <v>4630000</v>
      </c>
      <c r="K2422" s="2">
        <f t="shared" si="185"/>
        <v>0.97494209307222568</v>
      </c>
      <c r="L2422" t="s">
        <v>1624</v>
      </c>
      <c r="M2422" t="s">
        <v>1015</v>
      </c>
      <c r="N2422" t="b">
        <f t="shared" si="186"/>
        <v>0</v>
      </c>
    </row>
    <row r="2423" spans="1:14" x14ac:dyDescent="0.15">
      <c r="A2423" t="s">
        <v>14780</v>
      </c>
      <c r="B2423" t="s">
        <v>14783</v>
      </c>
      <c r="C2423" t="s">
        <v>13895</v>
      </c>
      <c r="D2423" t="s">
        <v>23</v>
      </c>
      <c r="E2423" t="s">
        <v>14879</v>
      </c>
      <c r="F2423" s="5">
        <v>1180000</v>
      </c>
      <c r="G2423" s="5">
        <v>1180000</v>
      </c>
      <c r="H2423" s="4">
        <v>944000</v>
      </c>
      <c r="I2423" s="2">
        <f t="shared" si="184"/>
        <v>0.8</v>
      </c>
      <c r="J2423" s="4">
        <v>1130000</v>
      </c>
      <c r="K2423" s="2">
        <f t="shared" si="185"/>
        <v>0.9576271186440678</v>
      </c>
      <c r="L2423" t="s">
        <v>1624</v>
      </c>
      <c r="M2423" t="s">
        <v>21</v>
      </c>
      <c r="N2423" t="b">
        <f t="shared" si="186"/>
        <v>0</v>
      </c>
    </row>
    <row r="2424" spans="1:14" x14ac:dyDescent="0.15">
      <c r="A2424" t="s">
        <v>14880</v>
      </c>
      <c r="B2424" t="s">
        <v>14883</v>
      </c>
      <c r="C2424" t="s">
        <v>14881</v>
      </c>
      <c r="D2424" t="s">
        <v>23</v>
      </c>
      <c r="E2424" t="s">
        <v>14882</v>
      </c>
      <c r="F2424" s="5">
        <f t="shared" ref="F2424:F2487" si="187">G2424</f>
        <v>7230000</v>
      </c>
      <c r="G2424" s="5">
        <v>7230000</v>
      </c>
      <c r="H2424" s="4">
        <v>5726000</v>
      </c>
      <c r="I2424" s="2">
        <f t="shared" si="184"/>
        <v>0.7919778699861687</v>
      </c>
      <c r="J2424" s="4">
        <v>6800000</v>
      </c>
      <c r="K2424" s="2">
        <f t="shared" si="185"/>
        <v>0.94052558782849238</v>
      </c>
      <c r="L2424" t="s">
        <v>14884</v>
      </c>
      <c r="M2424" t="s">
        <v>1015</v>
      </c>
      <c r="N2424" t="b">
        <f t="shared" si="186"/>
        <v>0</v>
      </c>
    </row>
    <row r="2425" spans="1:14" x14ac:dyDescent="0.15">
      <c r="A2425" t="s">
        <v>14880</v>
      </c>
      <c r="B2425" t="s">
        <v>14883</v>
      </c>
      <c r="C2425" t="s">
        <v>14885</v>
      </c>
      <c r="D2425" t="s">
        <v>23</v>
      </c>
      <c r="E2425" t="s">
        <v>14886</v>
      </c>
      <c r="F2425" s="5">
        <f t="shared" si="187"/>
        <v>1836000</v>
      </c>
      <c r="G2425" s="5">
        <v>1836000</v>
      </c>
      <c r="H2425" s="4">
        <v>1477000</v>
      </c>
      <c r="I2425" s="2">
        <f t="shared" si="184"/>
        <v>0.80446623093681913</v>
      </c>
      <c r="J2425" s="4">
        <v>1750000</v>
      </c>
      <c r="K2425" s="2">
        <f t="shared" si="185"/>
        <v>0.95315904139433549</v>
      </c>
      <c r="L2425" t="s">
        <v>5068</v>
      </c>
      <c r="M2425" t="s">
        <v>21</v>
      </c>
      <c r="N2425" t="b">
        <f t="shared" si="186"/>
        <v>0</v>
      </c>
    </row>
    <row r="2426" spans="1:14" x14ac:dyDescent="0.15">
      <c r="A2426" t="s">
        <v>14880</v>
      </c>
      <c r="B2426" t="s">
        <v>14883</v>
      </c>
      <c r="C2426" t="s">
        <v>14887</v>
      </c>
      <c r="D2426" t="s">
        <v>23</v>
      </c>
      <c r="E2426" t="s">
        <v>14888</v>
      </c>
      <c r="F2426" s="5">
        <f t="shared" si="187"/>
        <v>5861000</v>
      </c>
      <c r="G2426" s="5">
        <v>5861000</v>
      </c>
      <c r="I2426" s="2">
        <f t="shared" si="184"/>
        <v>0</v>
      </c>
      <c r="J2426" s="4">
        <v>5500000</v>
      </c>
      <c r="K2426" s="2">
        <f t="shared" si="185"/>
        <v>0.93840641528749358</v>
      </c>
      <c r="L2426" t="s">
        <v>5068</v>
      </c>
      <c r="M2426" t="s">
        <v>1015</v>
      </c>
      <c r="N2426" t="b">
        <f t="shared" si="186"/>
        <v>0</v>
      </c>
    </row>
    <row r="2427" spans="1:14" x14ac:dyDescent="0.15">
      <c r="A2427" t="s">
        <v>14880</v>
      </c>
      <c r="B2427" t="s">
        <v>14883</v>
      </c>
      <c r="C2427" t="s">
        <v>14889</v>
      </c>
      <c r="D2427" t="s">
        <v>23</v>
      </c>
      <c r="E2427" t="s">
        <v>14890</v>
      </c>
      <c r="F2427" s="5">
        <f t="shared" si="187"/>
        <v>7373000</v>
      </c>
      <c r="G2427" s="5">
        <v>7373000</v>
      </c>
      <c r="H2427" s="4">
        <v>5919000</v>
      </c>
      <c r="I2427" s="2">
        <f t="shared" si="184"/>
        <v>0.80279397802793973</v>
      </c>
      <c r="J2427" s="4">
        <v>7000000</v>
      </c>
      <c r="K2427" s="2">
        <f t="shared" si="185"/>
        <v>0.94941000949410015</v>
      </c>
      <c r="L2427" t="s">
        <v>14884</v>
      </c>
      <c r="M2427" t="s">
        <v>432</v>
      </c>
      <c r="N2427" t="b">
        <f t="shared" si="186"/>
        <v>0</v>
      </c>
    </row>
    <row r="2428" spans="1:14" x14ac:dyDescent="0.15">
      <c r="A2428" t="s">
        <v>14880</v>
      </c>
      <c r="B2428" t="s">
        <v>14883</v>
      </c>
      <c r="C2428" t="s">
        <v>14891</v>
      </c>
      <c r="D2428" t="s">
        <v>23</v>
      </c>
      <c r="E2428" t="s">
        <v>14892</v>
      </c>
      <c r="F2428" s="5">
        <f t="shared" si="187"/>
        <v>5100000</v>
      </c>
      <c r="G2428" s="5">
        <v>5100000</v>
      </c>
      <c r="H2428" s="4">
        <v>4128000</v>
      </c>
      <c r="I2428" s="2">
        <f t="shared" si="184"/>
        <v>0.80941176470588239</v>
      </c>
      <c r="J2428" s="4">
        <v>4600000</v>
      </c>
      <c r="K2428" s="2">
        <f t="shared" si="185"/>
        <v>0.90196078431372551</v>
      </c>
      <c r="L2428" t="s">
        <v>14884</v>
      </c>
      <c r="M2428" t="s">
        <v>1015</v>
      </c>
      <c r="N2428" t="b">
        <f t="shared" si="186"/>
        <v>0</v>
      </c>
    </row>
    <row r="2429" spans="1:14" x14ac:dyDescent="0.15">
      <c r="A2429" t="s">
        <v>14880</v>
      </c>
      <c r="B2429" t="s">
        <v>14883</v>
      </c>
      <c r="C2429" t="s">
        <v>14893</v>
      </c>
      <c r="D2429" t="s">
        <v>23</v>
      </c>
      <c r="E2429" t="s">
        <v>14894</v>
      </c>
      <c r="F2429" s="5">
        <f t="shared" si="187"/>
        <v>5165000</v>
      </c>
      <c r="G2429" s="5">
        <v>5165000</v>
      </c>
      <c r="I2429" s="2">
        <f t="shared" si="184"/>
        <v>0</v>
      </c>
      <c r="J2429" s="4">
        <v>4750000</v>
      </c>
      <c r="K2429" s="2">
        <f t="shared" si="185"/>
        <v>0.91965150048402711</v>
      </c>
      <c r="L2429" t="s">
        <v>5068</v>
      </c>
      <c r="M2429" t="s">
        <v>432</v>
      </c>
      <c r="N2429" t="b">
        <f t="shared" si="186"/>
        <v>0</v>
      </c>
    </row>
    <row r="2430" spans="1:14" x14ac:dyDescent="0.15">
      <c r="A2430" t="s">
        <v>14880</v>
      </c>
      <c r="B2430" t="s">
        <v>14897</v>
      </c>
      <c r="C2430" t="s">
        <v>14895</v>
      </c>
      <c r="D2430" t="s">
        <v>23</v>
      </c>
      <c r="E2430" t="s">
        <v>14896</v>
      </c>
      <c r="F2430" s="5">
        <f t="shared" si="187"/>
        <v>9008000</v>
      </c>
      <c r="G2430" s="5">
        <v>9008000</v>
      </c>
      <c r="H2430" s="4">
        <v>7236000</v>
      </c>
      <c r="I2430" s="2">
        <f t="shared" si="184"/>
        <v>0.80328596802841923</v>
      </c>
      <c r="J2430" s="4">
        <v>8400000</v>
      </c>
      <c r="K2430" s="2">
        <f t="shared" si="185"/>
        <v>0.93250444049733572</v>
      </c>
      <c r="L2430" t="s">
        <v>2674</v>
      </c>
      <c r="M2430" t="s">
        <v>1015</v>
      </c>
      <c r="N2430" t="b">
        <f t="shared" si="186"/>
        <v>0</v>
      </c>
    </row>
    <row r="2431" spans="1:14" x14ac:dyDescent="0.15">
      <c r="A2431" t="s">
        <v>14880</v>
      </c>
      <c r="B2431" t="s">
        <v>14883</v>
      </c>
      <c r="C2431" t="s">
        <v>14898</v>
      </c>
      <c r="D2431" t="s">
        <v>23</v>
      </c>
      <c r="E2431" t="s">
        <v>14899</v>
      </c>
      <c r="F2431" s="5">
        <f t="shared" si="187"/>
        <v>4809000</v>
      </c>
      <c r="G2431" s="5">
        <v>4809000</v>
      </c>
      <c r="H2431" s="4">
        <v>3862000</v>
      </c>
      <c r="I2431" s="2">
        <f t="shared" si="184"/>
        <v>0.80307756290289045</v>
      </c>
      <c r="J2431" s="4">
        <v>4550000</v>
      </c>
      <c r="K2431" s="2">
        <f t="shared" si="185"/>
        <v>0.94614264919941771</v>
      </c>
      <c r="L2431" t="s">
        <v>14884</v>
      </c>
      <c r="M2431" t="s">
        <v>1015</v>
      </c>
      <c r="N2431" t="b">
        <f t="shared" si="186"/>
        <v>0</v>
      </c>
    </row>
    <row r="2432" spans="1:14" x14ac:dyDescent="0.15">
      <c r="A2432" t="s">
        <v>14880</v>
      </c>
      <c r="B2432" t="s">
        <v>14883</v>
      </c>
      <c r="C2432" t="s">
        <v>14900</v>
      </c>
      <c r="D2432" t="s">
        <v>23</v>
      </c>
      <c r="E2432" t="s">
        <v>14901</v>
      </c>
      <c r="F2432" s="5">
        <f t="shared" si="187"/>
        <v>3639000</v>
      </c>
      <c r="G2432" s="5">
        <v>3639000</v>
      </c>
      <c r="H2432" s="4">
        <v>2919000</v>
      </c>
      <c r="I2432" s="2">
        <f t="shared" si="184"/>
        <v>0.80214344600164877</v>
      </c>
      <c r="J2432" s="4">
        <v>3400000</v>
      </c>
      <c r="K2432" s="2">
        <f t="shared" si="185"/>
        <v>0.93432261610332512</v>
      </c>
      <c r="L2432" t="s">
        <v>14902</v>
      </c>
      <c r="M2432" t="s">
        <v>21</v>
      </c>
      <c r="N2432" t="b">
        <f t="shared" si="186"/>
        <v>0</v>
      </c>
    </row>
    <row r="2433" spans="1:14" x14ac:dyDescent="0.15">
      <c r="A2433" t="s">
        <v>14880</v>
      </c>
      <c r="B2433" t="s">
        <v>14897</v>
      </c>
      <c r="C2433" t="s">
        <v>14903</v>
      </c>
      <c r="D2433" t="s">
        <v>23</v>
      </c>
      <c r="E2433" t="s">
        <v>14904</v>
      </c>
      <c r="F2433" s="5">
        <f t="shared" si="187"/>
        <v>6260000</v>
      </c>
      <c r="G2433" s="5">
        <v>6260000</v>
      </c>
      <c r="H2433" s="4">
        <v>5029000</v>
      </c>
      <c r="I2433" s="2">
        <f t="shared" si="184"/>
        <v>0.80335463258785944</v>
      </c>
      <c r="J2433" s="4">
        <v>5850000</v>
      </c>
      <c r="K2433" s="2">
        <f t="shared" si="185"/>
        <v>0.93450479233226835</v>
      </c>
      <c r="L2433" t="s">
        <v>14902</v>
      </c>
      <c r="M2433" t="s">
        <v>1015</v>
      </c>
      <c r="N2433" t="b">
        <f t="shared" si="186"/>
        <v>0</v>
      </c>
    </row>
    <row r="2434" spans="1:14" x14ac:dyDescent="0.15">
      <c r="A2434" t="s">
        <v>14880</v>
      </c>
      <c r="B2434" t="s">
        <v>14897</v>
      </c>
      <c r="C2434" t="s">
        <v>14905</v>
      </c>
      <c r="D2434" t="s">
        <v>23</v>
      </c>
      <c r="E2434" t="s">
        <v>14906</v>
      </c>
      <c r="F2434" s="5">
        <f t="shared" si="187"/>
        <v>10870000</v>
      </c>
      <c r="G2434" s="5">
        <v>10870000</v>
      </c>
      <c r="H2434" s="4">
        <v>8731000</v>
      </c>
      <c r="I2434" s="2">
        <f t="shared" si="184"/>
        <v>0.80321987120515181</v>
      </c>
      <c r="J2434" s="4">
        <v>10300000</v>
      </c>
      <c r="K2434" s="2">
        <f t="shared" si="185"/>
        <v>0.94756209751609932</v>
      </c>
      <c r="L2434" t="s">
        <v>12016</v>
      </c>
      <c r="M2434" t="s">
        <v>165</v>
      </c>
      <c r="N2434" t="b">
        <f t="shared" si="186"/>
        <v>0</v>
      </c>
    </row>
    <row r="2435" spans="1:14" x14ac:dyDescent="0.15">
      <c r="A2435" t="s">
        <v>14880</v>
      </c>
      <c r="B2435" t="s">
        <v>14883</v>
      </c>
      <c r="C2435" t="s">
        <v>14907</v>
      </c>
      <c r="D2435" t="s">
        <v>23</v>
      </c>
      <c r="E2435" t="s">
        <v>14908</v>
      </c>
      <c r="F2435" s="5">
        <f t="shared" si="187"/>
        <v>11364000</v>
      </c>
      <c r="G2435" s="5">
        <v>11364000</v>
      </c>
      <c r="I2435" s="2">
        <f t="shared" si="184"/>
        <v>0</v>
      </c>
      <c r="J2435" s="4">
        <v>10500000</v>
      </c>
      <c r="K2435" s="2">
        <f t="shared" si="185"/>
        <v>0.92397043294614567</v>
      </c>
      <c r="L2435" t="s">
        <v>10194</v>
      </c>
      <c r="M2435" t="s">
        <v>165</v>
      </c>
      <c r="N2435" t="b">
        <f t="shared" si="186"/>
        <v>0</v>
      </c>
    </row>
    <row r="2436" spans="1:14" x14ac:dyDescent="0.15">
      <c r="A2436" t="s">
        <v>14880</v>
      </c>
      <c r="B2436" t="s">
        <v>14883</v>
      </c>
      <c r="C2436" t="s">
        <v>14909</v>
      </c>
      <c r="D2436" t="s">
        <v>23</v>
      </c>
      <c r="E2436" t="s">
        <v>14910</v>
      </c>
      <c r="F2436" s="5">
        <f t="shared" si="187"/>
        <v>5263000</v>
      </c>
      <c r="G2436" s="5">
        <v>5263000</v>
      </c>
      <c r="I2436" s="2">
        <f t="shared" ref="I2436:I2499" si="188">H2436/G2436</f>
        <v>0</v>
      </c>
      <c r="J2436" s="4">
        <v>4900000</v>
      </c>
      <c r="K2436" s="2">
        <f t="shared" ref="K2436:K2499" si="189">J2436/G2436</f>
        <v>0.93102793083792512</v>
      </c>
      <c r="L2436" t="s">
        <v>10194</v>
      </c>
      <c r="M2436" t="s">
        <v>1015</v>
      </c>
      <c r="N2436" t="b">
        <f t="shared" ref="N2436:N2499" si="190">F2436&lt;&gt;G2436</f>
        <v>0</v>
      </c>
    </row>
    <row r="2437" spans="1:14" x14ac:dyDescent="0.15">
      <c r="A2437" t="s">
        <v>14880</v>
      </c>
      <c r="B2437" t="s">
        <v>14883</v>
      </c>
      <c r="C2437" t="s">
        <v>14911</v>
      </c>
      <c r="D2437" t="s">
        <v>23</v>
      </c>
      <c r="E2437" t="s">
        <v>14912</v>
      </c>
      <c r="F2437" s="5">
        <f t="shared" si="187"/>
        <v>14788000</v>
      </c>
      <c r="G2437" s="5">
        <v>14788000</v>
      </c>
      <c r="H2437" s="4">
        <v>11918000</v>
      </c>
      <c r="I2437" s="2">
        <f t="shared" si="188"/>
        <v>0.80592372193670547</v>
      </c>
      <c r="J2437" s="4">
        <v>14300000</v>
      </c>
      <c r="K2437" s="2">
        <f t="shared" si="189"/>
        <v>0.96700027048958614</v>
      </c>
      <c r="L2437" t="s">
        <v>10639</v>
      </c>
      <c r="M2437" t="s">
        <v>165</v>
      </c>
      <c r="N2437" t="b">
        <f t="shared" si="190"/>
        <v>0</v>
      </c>
    </row>
    <row r="2438" spans="1:14" x14ac:dyDescent="0.15">
      <c r="A2438" t="s">
        <v>14880</v>
      </c>
      <c r="B2438" t="s">
        <v>14883</v>
      </c>
      <c r="C2438" t="s">
        <v>14913</v>
      </c>
      <c r="D2438" t="s">
        <v>23</v>
      </c>
      <c r="E2438" t="s">
        <v>14914</v>
      </c>
      <c r="F2438" s="5">
        <f t="shared" si="187"/>
        <v>8043000</v>
      </c>
      <c r="G2438" s="5">
        <v>8043000</v>
      </c>
      <c r="H2438" s="4">
        <v>6356000</v>
      </c>
      <c r="I2438" s="2">
        <f t="shared" si="188"/>
        <v>0.79025239338555264</v>
      </c>
      <c r="J2438" s="4">
        <v>7550000</v>
      </c>
      <c r="K2438" s="2">
        <f t="shared" si="189"/>
        <v>0.93870446350864101</v>
      </c>
      <c r="L2438" t="s">
        <v>14915</v>
      </c>
      <c r="M2438" t="s">
        <v>1015</v>
      </c>
      <c r="N2438" t="b">
        <f t="shared" si="190"/>
        <v>0</v>
      </c>
    </row>
    <row r="2439" spans="1:14" x14ac:dyDescent="0.15">
      <c r="A2439" t="s">
        <v>14880</v>
      </c>
      <c r="B2439" t="s">
        <v>14883</v>
      </c>
      <c r="C2439" t="s">
        <v>14916</v>
      </c>
      <c r="D2439" t="s">
        <v>23</v>
      </c>
      <c r="E2439" t="s">
        <v>14917</v>
      </c>
      <c r="F2439" s="5">
        <f t="shared" si="187"/>
        <v>9078000</v>
      </c>
      <c r="G2439" s="5">
        <v>9078000</v>
      </c>
      <c r="H2439" s="4">
        <v>7168000</v>
      </c>
      <c r="I2439" s="2">
        <f t="shared" si="188"/>
        <v>0.7896012337519277</v>
      </c>
      <c r="J2439" s="4">
        <v>8500000</v>
      </c>
      <c r="K2439" s="2">
        <f t="shared" si="189"/>
        <v>0.93632958801498123</v>
      </c>
      <c r="L2439" t="s">
        <v>14884</v>
      </c>
      <c r="M2439" t="s">
        <v>1015</v>
      </c>
      <c r="N2439" t="b">
        <f t="shared" si="190"/>
        <v>0</v>
      </c>
    </row>
    <row r="2440" spans="1:14" x14ac:dyDescent="0.15">
      <c r="A2440" t="s">
        <v>14880</v>
      </c>
      <c r="B2440" t="s">
        <v>14883</v>
      </c>
      <c r="C2440" t="s">
        <v>14918</v>
      </c>
      <c r="D2440" t="s">
        <v>23</v>
      </c>
      <c r="E2440" t="s">
        <v>14919</v>
      </c>
      <c r="F2440" s="5">
        <f t="shared" si="187"/>
        <v>8114000</v>
      </c>
      <c r="G2440" s="5">
        <v>8114000</v>
      </c>
      <c r="H2440" s="4">
        <v>6521000</v>
      </c>
      <c r="I2440" s="2">
        <f t="shared" si="188"/>
        <v>0.80367266453044117</v>
      </c>
      <c r="J2440" s="4">
        <v>7550000</v>
      </c>
      <c r="K2440" s="2">
        <f t="shared" si="189"/>
        <v>0.93049051022923346</v>
      </c>
      <c r="L2440" t="s">
        <v>1104</v>
      </c>
      <c r="M2440" t="s">
        <v>432</v>
      </c>
      <c r="N2440" t="b">
        <f t="shared" si="190"/>
        <v>0</v>
      </c>
    </row>
    <row r="2441" spans="1:14" x14ac:dyDescent="0.15">
      <c r="A2441" t="s">
        <v>14880</v>
      </c>
      <c r="B2441" t="s">
        <v>14883</v>
      </c>
      <c r="C2441" t="s">
        <v>14920</v>
      </c>
      <c r="D2441" t="s">
        <v>23</v>
      </c>
      <c r="E2441" t="s">
        <v>14921</v>
      </c>
      <c r="F2441" s="5">
        <f t="shared" si="187"/>
        <v>4798000</v>
      </c>
      <c r="G2441" s="5">
        <v>4798000</v>
      </c>
      <c r="H2441" s="4">
        <v>3861000</v>
      </c>
      <c r="I2441" s="2">
        <f t="shared" si="188"/>
        <v>0.80471029595664856</v>
      </c>
      <c r="J2441" s="4">
        <v>4400000</v>
      </c>
      <c r="K2441" s="2">
        <f t="shared" si="189"/>
        <v>0.9170487703209671</v>
      </c>
      <c r="L2441" t="s">
        <v>271</v>
      </c>
      <c r="M2441" t="s">
        <v>1015</v>
      </c>
      <c r="N2441" t="b">
        <f t="shared" si="190"/>
        <v>0</v>
      </c>
    </row>
    <row r="2442" spans="1:14" x14ac:dyDescent="0.15">
      <c r="A2442" t="s">
        <v>14880</v>
      </c>
      <c r="B2442" t="s">
        <v>14883</v>
      </c>
      <c r="C2442" t="s">
        <v>14922</v>
      </c>
      <c r="D2442" t="s">
        <v>23</v>
      </c>
      <c r="E2442" t="s">
        <v>14923</v>
      </c>
      <c r="F2442" s="5">
        <f t="shared" si="187"/>
        <v>7976000</v>
      </c>
      <c r="G2442" s="5">
        <v>7976000</v>
      </c>
      <c r="H2442" s="4">
        <v>6304000</v>
      </c>
      <c r="I2442" s="2">
        <f t="shared" si="188"/>
        <v>0.79037111334002008</v>
      </c>
      <c r="J2442" s="4">
        <v>7500000</v>
      </c>
      <c r="K2442" s="2">
        <f t="shared" si="189"/>
        <v>0.94032096288866596</v>
      </c>
      <c r="L2442" t="s">
        <v>14884</v>
      </c>
      <c r="M2442" t="s">
        <v>1015</v>
      </c>
      <c r="N2442" t="b">
        <f t="shared" si="190"/>
        <v>0</v>
      </c>
    </row>
    <row r="2443" spans="1:14" x14ac:dyDescent="0.15">
      <c r="A2443" t="s">
        <v>14880</v>
      </c>
      <c r="B2443" t="s">
        <v>14883</v>
      </c>
      <c r="C2443" t="s">
        <v>14924</v>
      </c>
      <c r="D2443" t="s">
        <v>23</v>
      </c>
      <c r="E2443" t="s">
        <v>14925</v>
      </c>
      <c r="F2443" s="5">
        <f t="shared" si="187"/>
        <v>9054000</v>
      </c>
      <c r="G2443" s="5">
        <v>9054000</v>
      </c>
      <c r="I2443" s="2">
        <f t="shared" si="188"/>
        <v>0</v>
      </c>
      <c r="J2443" s="4">
        <v>8900000</v>
      </c>
      <c r="K2443" s="2">
        <f t="shared" si="189"/>
        <v>0.98299094322951186</v>
      </c>
      <c r="L2443" t="s">
        <v>10194</v>
      </c>
      <c r="M2443" t="s">
        <v>165</v>
      </c>
      <c r="N2443" t="b">
        <f t="shared" si="190"/>
        <v>0</v>
      </c>
    </row>
    <row r="2444" spans="1:14" x14ac:dyDescent="0.15">
      <c r="A2444" t="s">
        <v>14880</v>
      </c>
      <c r="B2444" t="s">
        <v>14883</v>
      </c>
      <c r="C2444" t="s">
        <v>14926</v>
      </c>
      <c r="D2444" t="s">
        <v>23</v>
      </c>
      <c r="E2444" t="s">
        <v>14927</v>
      </c>
      <c r="F2444" s="5">
        <f t="shared" si="187"/>
        <v>5313000</v>
      </c>
      <c r="G2444" s="5">
        <v>5313000</v>
      </c>
      <c r="H2444" s="4">
        <v>4270000</v>
      </c>
      <c r="I2444" s="2">
        <f t="shared" si="188"/>
        <v>0.80368906455862976</v>
      </c>
      <c r="J2444" s="4">
        <v>5000000</v>
      </c>
      <c r="K2444" s="2">
        <f t="shared" si="189"/>
        <v>0.94108789760963674</v>
      </c>
      <c r="L2444" t="s">
        <v>271</v>
      </c>
      <c r="M2444" t="s">
        <v>1015</v>
      </c>
      <c r="N2444" t="b">
        <f t="shared" si="190"/>
        <v>0</v>
      </c>
    </row>
    <row r="2445" spans="1:14" x14ac:dyDescent="0.15">
      <c r="A2445" t="s">
        <v>14880</v>
      </c>
      <c r="B2445" t="s">
        <v>14883</v>
      </c>
      <c r="C2445" t="s">
        <v>14928</v>
      </c>
      <c r="D2445" t="s">
        <v>23</v>
      </c>
      <c r="E2445" t="s">
        <v>14929</v>
      </c>
      <c r="F2445" s="5">
        <f t="shared" si="187"/>
        <v>4499000</v>
      </c>
      <c r="G2445" s="5">
        <v>4499000</v>
      </c>
      <c r="H2445" s="4">
        <v>3575000</v>
      </c>
      <c r="I2445" s="2">
        <f t="shared" si="188"/>
        <v>0.79462102689486558</v>
      </c>
      <c r="J2445" s="4">
        <v>4200000</v>
      </c>
      <c r="K2445" s="2">
        <f t="shared" si="189"/>
        <v>0.93354078684152031</v>
      </c>
      <c r="L2445" t="s">
        <v>14884</v>
      </c>
      <c r="M2445" t="s">
        <v>1015</v>
      </c>
      <c r="N2445" t="b">
        <f t="shared" si="190"/>
        <v>0</v>
      </c>
    </row>
    <row r="2446" spans="1:14" x14ac:dyDescent="0.15">
      <c r="A2446" t="s">
        <v>14880</v>
      </c>
      <c r="B2446" t="s">
        <v>14897</v>
      </c>
      <c r="C2446" t="s">
        <v>14930</v>
      </c>
      <c r="D2446" t="s">
        <v>23</v>
      </c>
      <c r="E2446" t="s">
        <v>14931</v>
      </c>
      <c r="F2446" s="5">
        <f t="shared" si="187"/>
        <v>28880000</v>
      </c>
      <c r="G2446" s="5">
        <v>28880000</v>
      </c>
      <c r="H2446" s="4">
        <v>23100000</v>
      </c>
      <c r="I2446" s="2">
        <f t="shared" si="188"/>
        <v>0.79986149584487531</v>
      </c>
      <c r="J2446" s="4">
        <v>26000000</v>
      </c>
      <c r="K2446" s="2">
        <f t="shared" si="189"/>
        <v>0.90027700831024926</v>
      </c>
      <c r="L2446" t="s">
        <v>10326</v>
      </c>
      <c r="M2446" t="s">
        <v>165</v>
      </c>
      <c r="N2446" t="b">
        <f t="shared" si="190"/>
        <v>0</v>
      </c>
    </row>
    <row r="2447" spans="1:14" x14ac:dyDescent="0.15">
      <c r="A2447" t="s">
        <v>14880</v>
      </c>
      <c r="B2447" t="s">
        <v>14883</v>
      </c>
      <c r="C2447" t="s">
        <v>14932</v>
      </c>
      <c r="D2447" t="s">
        <v>23</v>
      </c>
      <c r="E2447" t="s">
        <v>14933</v>
      </c>
      <c r="F2447" s="5">
        <f t="shared" si="187"/>
        <v>4767000</v>
      </c>
      <c r="G2447" s="5">
        <v>4767000</v>
      </c>
      <c r="H2447" s="4">
        <v>3762000</v>
      </c>
      <c r="I2447" s="2">
        <f t="shared" si="188"/>
        <v>0.78917558212712402</v>
      </c>
      <c r="J2447" s="4">
        <v>4350000</v>
      </c>
      <c r="K2447" s="2">
        <f t="shared" si="189"/>
        <v>0.91252359974826935</v>
      </c>
      <c r="L2447" t="s">
        <v>5068</v>
      </c>
      <c r="M2447" t="s">
        <v>1015</v>
      </c>
      <c r="N2447" t="b">
        <f t="shared" si="190"/>
        <v>0</v>
      </c>
    </row>
    <row r="2448" spans="1:14" x14ac:dyDescent="0.15">
      <c r="A2448" t="s">
        <v>14880</v>
      </c>
      <c r="B2448" t="s">
        <v>14883</v>
      </c>
      <c r="C2448" t="s">
        <v>14934</v>
      </c>
      <c r="D2448" t="s">
        <v>23</v>
      </c>
      <c r="E2448" t="s">
        <v>14935</v>
      </c>
      <c r="F2448" s="5">
        <f t="shared" si="187"/>
        <v>2963000</v>
      </c>
      <c r="G2448" s="5">
        <v>2963000</v>
      </c>
      <c r="H2448" s="4">
        <v>2377000</v>
      </c>
      <c r="I2448" s="2">
        <f t="shared" si="188"/>
        <v>0.80222747215659806</v>
      </c>
      <c r="J2448" s="4">
        <v>2800000</v>
      </c>
      <c r="K2448" s="2">
        <f t="shared" si="189"/>
        <v>0.94498818764765435</v>
      </c>
      <c r="L2448" t="s">
        <v>14884</v>
      </c>
      <c r="M2448" t="s">
        <v>21</v>
      </c>
      <c r="N2448" t="b">
        <f t="shared" si="190"/>
        <v>0</v>
      </c>
    </row>
    <row r="2449" spans="1:14" x14ac:dyDescent="0.15">
      <c r="A2449" t="s">
        <v>14880</v>
      </c>
      <c r="B2449" t="s">
        <v>14883</v>
      </c>
      <c r="C2449" t="s">
        <v>14936</v>
      </c>
      <c r="D2449" t="s">
        <v>23</v>
      </c>
      <c r="E2449" t="s">
        <v>14937</v>
      </c>
      <c r="F2449" s="5">
        <f t="shared" si="187"/>
        <v>3404000</v>
      </c>
      <c r="G2449" s="5">
        <v>3404000</v>
      </c>
      <c r="H2449" s="4">
        <v>2671000</v>
      </c>
      <c r="I2449" s="2">
        <f t="shared" si="188"/>
        <v>0.78466509988249122</v>
      </c>
      <c r="J2449" s="4">
        <v>3200000</v>
      </c>
      <c r="K2449" s="2">
        <f t="shared" si="189"/>
        <v>0.9400705052878966</v>
      </c>
      <c r="L2449" t="s">
        <v>14884</v>
      </c>
      <c r="M2449" t="s">
        <v>21</v>
      </c>
      <c r="N2449" t="b">
        <f t="shared" si="190"/>
        <v>0</v>
      </c>
    </row>
    <row r="2450" spans="1:14" x14ac:dyDescent="0.15">
      <c r="A2450" t="s">
        <v>14880</v>
      </c>
      <c r="B2450" t="s">
        <v>14883</v>
      </c>
      <c r="C2450" t="s">
        <v>14938</v>
      </c>
      <c r="D2450" t="s">
        <v>23</v>
      </c>
      <c r="E2450" t="s">
        <v>14939</v>
      </c>
      <c r="F2450" s="5">
        <f t="shared" si="187"/>
        <v>4542000</v>
      </c>
      <c r="G2450" s="5">
        <v>4542000</v>
      </c>
      <c r="H2450" s="4">
        <v>3650000</v>
      </c>
      <c r="I2450" s="2">
        <f t="shared" si="188"/>
        <v>0.80361074416556588</v>
      </c>
      <c r="J2450" s="4">
        <v>4000000</v>
      </c>
      <c r="K2450" s="2">
        <f t="shared" si="189"/>
        <v>0.8806693086745927</v>
      </c>
      <c r="L2450" t="s">
        <v>14884</v>
      </c>
      <c r="M2450" t="s">
        <v>1015</v>
      </c>
      <c r="N2450" t="b">
        <f t="shared" si="190"/>
        <v>0</v>
      </c>
    </row>
    <row r="2451" spans="1:14" x14ac:dyDescent="0.15">
      <c r="A2451" t="s">
        <v>14880</v>
      </c>
      <c r="B2451" t="s">
        <v>14883</v>
      </c>
      <c r="C2451" t="s">
        <v>13258</v>
      </c>
      <c r="D2451" t="s">
        <v>23</v>
      </c>
      <c r="E2451" t="s">
        <v>14940</v>
      </c>
      <c r="F2451" s="5">
        <f t="shared" si="187"/>
        <v>13477000</v>
      </c>
      <c r="G2451" s="5">
        <v>13477000</v>
      </c>
      <c r="I2451" s="2">
        <f t="shared" si="188"/>
        <v>0</v>
      </c>
      <c r="J2451" s="4">
        <v>12700000</v>
      </c>
      <c r="K2451" s="2">
        <f t="shared" si="189"/>
        <v>0.9423462194850486</v>
      </c>
      <c r="L2451" t="s">
        <v>10639</v>
      </c>
      <c r="M2451" t="s">
        <v>165</v>
      </c>
      <c r="N2451" t="b">
        <f t="shared" si="190"/>
        <v>0</v>
      </c>
    </row>
    <row r="2452" spans="1:14" x14ac:dyDescent="0.15">
      <c r="A2452" t="s">
        <v>14880</v>
      </c>
      <c r="B2452" t="s">
        <v>14897</v>
      </c>
      <c r="C2452" t="s">
        <v>14941</v>
      </c>
      <c r="D2452" t="s">
        <v>23</v>
      </c>
      <c r="E2452" t="s">
        <v>14942</v>
      </c>
      <c r="F2452" s="5">
        <f t="shared" si="187"/>
        <v>4531000</v>
      </c>
      <c r="G2452" s="5">
        <v>4531000</v>
      </c>
      <c r="H2452" s="4">
        <v>3597000</v>
      </c>
      <c r="I2452" s="2">
        <f t="shared" si="188"/>
        <v>0.79386448907525931</v>
      </c>
      <c r="J2452" s="4">
        <v>4300000</v>
      </c>
      <c r="K2452" s="2">
        <f t="shared" si="189"/>
        <v>0.94901787684837779</v>
      </c>
      <c r="L2452" t="s">
        <v>14884</v>
      </c>
      <c r="M2452" t="s">
        <v>1015</v>
      </c>
      <c r="N2452" t="b">
        <f t="shared" si="190"/>
        <v>0</v>
      </c>
    </row>
    <row r="2453" spans="1:14" x14ac:dyDescent="0.15">
      <c r="A2453" t="s">
        <v>14880</v>
      </c>
      <c r="B2453" t="s">
        <v>14883</v>
      </c>
      <c r="C2453" t="s">
        <v>14943</v>
      </c>
      <c r="D2453" t="s">
        <v>23</v>
      </c>
      <c r="E2453" t="s">
        <v>14944</v>
      </c>
      <c r="F2453" s="5">
        <f t="shared" si="187"/>
        <v>7110000</v>
      </c>
      <c r="G2453" s="5">
        <v>7110000</v>
      </c>
      <c r="H2453" s="4">
        <v>5708000</v>
      </c>
      <c r="I2453" s="2">
        <f t="shared" si="188"/>
        <v>0.80281293952180033</v>
      </c>
      <c r="J2453" s="4">
        <v>6700000</v>
      </c>
      <c r="K2453" s="2">
        <f t="shared" si="189"/>
        <v>0.94233473980309423</v>
      </c>
      <c r="L2453" t="s">
        <v>14884</v>
      </c>
      <c r="M2453" t="s">
        <v>432</v>
      </c>
      <c r="N2453" t="b">
        <f t="shared" si="190"/>
        <v>0</v>
      </c>
    </row>
    <row r="2454" spans="1:14" x14ac:dyDescent="0.15">
      <c r="A2454" t="s">
        <v>14880</v>
      </c>
      <c r="B2454" t="s">
        <v>14883</v>
      </c>
      <c r="C2454" t="s">
        <v>14945</v>
      </c>
      <c r="D2454" t="s">
        <v>23</v>
      </c>
      <c r="E2454" t="s">
        <v>14946</v>
      </c>
      <c r="F2454" s="5">
        <f t="shared" si="187"/>
        <v>15258000</v>
      </c>
      <c r="G2454" s="5">
        <v>15258000</v>
      </c>
      <c r="H2454" s="4">
        <v>12242000</v>
      </c>
      <c r="I2454" s="2">
        <f t="shared" si="188"/>
        <v>0.80233320225455496</v>
      </c>
      <c r="J2454" s="4">
        <v>14350000</v>
      </c>
      <c r="K2454" s="2">
        <f t="shared" si="189"/>
        <v>0.94049023463101322</v>
      </c>
      <c r="L2454" t="s">
        <v>14884</v>
      </c>
      <c r="M2454" t="s">
        <v>165</v>
      </c>
      <c r="N2454" t="b">
        <f t="shared" si="190"/>
        <v>0</v>
      </c>
    </row>
    <row r="2455" spans="1:14" x14ac:dyDescent="0.15">
      <c r="A2455" t="s">
        <v>14880</v>
      </c>
      <c r="B2455" t="s">
        <v>14883</v>
      </c>
      <c r="C2455" t="s">
        <v>14947</v>
      </c>
      <c r="D2455" t="s">
        <v>23</v>
      </c>
      <c r="E2455" t="s">
        <v>14948</v>
      </c>
      <c r="F2455" s="5">
        <f t="shared" si="187"/>
        <v>23522000</v>
      </c>
      <c r="G2455" s="5">
        <v>23522000</v>
      </c>
      <c r="H2455" s="4">
        <v>18872000</v>
      </c>
      <c r="I2455" s="2">
        <f t="shared" si="188"/>
        <v>0.80231272850948043</v>
      </c>
      <c r="J2455" s="4">
        <v>21800000</v>
      </c>
      <c r="K2455" s="2">
        <f t="shared" si="189"/>
        <v>0.92679193946093019</v>
      </c>
      <c r="L2455" t="s">
        <v>2674</v>
      </c>
      <c r="M2455" t="s">
        <v>165</v>
      </c>
      <c r="N2455" t="b">
        <f t="shared" si="190"/>
        <v>0</v>
      </c>
    </row>
    <row r="2456" spans="1:14" x14ac:dyDescent="0.15">
      <c r="A2456" t="s">
        <v>14880</v>
      </c>
      <c r="B2456" t="s">
        <v>14883</v>
      </c>
      <c r="C2456" t="s">
        <v>14949</v>
      </c>
      <c r="D2456" t="s">
        <v>23</v>
      </c>
      <c r="E2456" t="s">
        <v>14950</v>
      </c>
      <c r="F2456" s="5">
        <f t="shared" si="187"/>
        <v>5765000</v>
      </c>
      <c r="G2456" s="5">
        <v>5765000</v>
      </c>
      <c r="H2456" s="4">
        <v>4633000</v>
      </c>
      <c r="I2456" s="2">
        <f t="shared" si="188"/>
        <v>0.80364267129228095</v>
      </c>
      <c r="J2456" s="4">
        <v>5500000</v>
      </c>
      <c r="K2456" s="2">
        <f t="shared" si="189"/>
        <v>0.95403295750216821</v>
      </c>
      <c r="L2456" t="s">
        <v>14884</v>
      </c>
      <c r="M2456" t="s">
        <v>1015</v>
      </c>
      <c r="N2456" t="b">
        <f t="shared" si="190"/>
        <v>0</v>
      </c>
    </row>
    <row r="2457" spans="1:14" x14ac:dyDescent="0.15">
      <c r="A2457" t="s">
        <v>14880</v>
      </c>
      <c r="B2457" t="s">
        <v>14897</v>
      </c>
      <c r="C2457" t="s">
        <v>14951</v>
      </c>
      <c r="D2457" t="s">
        <v>23</v>
      </c>
      <c r="E2457" t="s">
        <v>14952</v>
      </c>
      <c r="F2457" s="5">
        <f t="shared" si="187"/>
        <v>4978000</v>
      </c>
      <c r="G2457" s="5">
        <v>4978000</v>
      </c>
      <c r="I2457" s="2">
        <f t="shared" si="188"/>
        <v>0</v>
      </c>
      <c r="J2457" s="4">
        <v>4600000</v>
      </c>
      <c r="K2457" s="2">
        <f t="shared" si="189"/>
        <v>0.92406588991562877</v>
      </c>
      <c r="L2457" t="s">
        <v>14902</v>
      </c>
      <c r="M2457" t="s">
        <v>1015</v>
      </c>
      <c r="N2457" t="b">
        <f t="shared" si="190"/>
        <v>0</v>
      </c>
    </row>
    <row r="2458" spans="1:14" x14ac:dyDescent="0.15">
      <c r="A2458" t="s">
        <v>14880</v>
      </c>
      <c r="B2458" t="s">
        <v>14897</v>
      </c>
      <c r="C2458" t="s">
        <v>14953</v>
      </c>
      <c r="D2458" t="s">
        <v>23</v>
      </c>
      <c r="E2458" t="s">
        <v>14954</v>
      </c>
      <c r="F2458" s="5">
        <f t="shared" si="187"/>
        <v>8517000</v>
      </c>
      <c r="G2458" s="5">
        <v>8517000</v>
      </c>
      <c r="I2458" s="2">
        <f t="shared" si="188"/>
        <v>0</v>
      </c>
      <c r="J2458" s="4">
        <v>8000000</v>
      </c>
      <c r="K2458" s="2">
        <f t="shared" si="189"/>
        <v>0.9392978748385582</v>
      </c>
      <c r="L2458" t="s">
        <v>12016</v>
      </c>
      <c r="M2458" t="s">
        <v>1015</v>
      </c>
      <c r="N2458" t="b">
        <f t="shared" si="190"/>
        <v>0</v>
      </c>
    </row>
    <row r="2459" spans="1:14" x14ac:dyDescent="0.15">
      <c r="A2459" t="s">
        <v>14880</v>
      </c>
      <c r="B2459" t="s">
        <v>14897</v>
      </c>
      <c r="C2459" t="s">
        <v>14955</v>
      </c>
      <c r="D2459" t="s">
        <v>23</v>
      </c>
      <c r="E2459" t="s">
        <v>14956</v>
      </c>
      <c r="F2459" s="5">
        <f t="shared" si="187"/>
        <v>10044000</v>
      </c>
      <c r="G2459" s="5">
        <v>10044000</v>
      </c>
      <c r="I2459" s="2">
        <f t="shared" si="188"/>
        <v>0</v>
      </c>
      <c r="J2459" s="4">
        <v>9360000</v>
      </c>
      <c r="K2459" s="2">
        <f t="shared" si="189"/>
        <v>0.93189964157706096</v>
      </c>
      <c r="L2459" t="s">
        <v>2674</v>
      </c>
      <c r="M2459" t="s">
        <v>165</v>
      </c>
      <c r="N2459" t="b">
        <f t="shared" si="190"/>
        <v>0</v>
      </c>
    </row>
    <row r="2460" spans="1:14" x14ac:dyDescent="0.15">
      <c r="A2460" t="s">
        <v>14880</v>
      </c>
      <c r="B2460" t="s">
        <v>14883</v>
      </c>
      <c r="C2460" t="s">
        <v>14957</v>
      </c>
      <c r="D2460" t="s">
        <v>23</v>
      </c>
      <c r="E2460" t="s">
        <v>14958</v>
      </c>
      <c r="F2460" s="5">
        <f t="shared" si="187"/>
        <v>3623000</v>
      </c>
      <c r="G2460" s="5">
        <v>3623000</v>
      </c>
      <c r="I2460" s="2">
        <f t="shared" si="188"/>
        <v>0</v>
      </c>
      <c r="J2460" s="4">
        <v>3200000</v>
      </c>
      <c r="K2460" s="2">
        <f t="shared" si="189"/>
        <v>0.883245928788297</v>
      </c>
      <c r="L2460" t="s">
        <v>14884</v>
      </c>
      <c r="M2460" t="s">
        <v>21</v>
      </c>
      <c r="N2460" t="b">
        <f t="shared" si="190"/>
        <v>0</v>
      </c>
    </row>
    <row r="2461" spans="1:14" x14ac:dyDescent="0.15">
      <c r="A2461" t="s">
        <v>14880</v>
      </c>
      <c r="B2461" t="s">
        <v>14883</v>
      </c>
      <c r="C2461" t="s">
        <v>14959</v>
      </c>
      <c r="D2461" t="s">
        <v>23</v>
      </c>
      <c r="E2461" t="s">
        <v>14960</v>
      </c>
      <c r="F2461" s="5">
        <f t="shared" si="187"/>
        <v>2720000</v>
      </c>
      <c r="G2461" s="5">
        <v>2720000</v>
      </c>
      <c r="I2461" s="2">
        <f t="shared" si="188"/>
        <v>0</v>
      </c>
      <c r="J2461" s="4">
        <v>2700000</v>
      </c>
      <c r="K2461" s="2">
        <f t="shared" si="189"/>
        <v>0.99264705882352944</v>
      </c>
      <c r="L2461" t="s">
        <v>903</v>
      </c>
      <c r="M2461" t="s">
        <v>21</v>
      </c>
      <c r="N2461" t="b">
        <f t="shared" si="190"/>
        <v>0</v>
      </c>
    </row>
    <row r="2462" spans="1:14" x14ac:dyDescent="0.15">
      <c r="A2462" t="s">
        <v>14880</v>
      </c>
      <c r="B2462" t="s">
        <v>14883</v>
      </c>
      <c r="C2462" t="s">
        <v>14961</v>
      </c>
      <c r="D2462" t="s">
        <v>23</v>
      </c>
      <c r="E2462" t="s">
        <v>14962</v>
      </c>
      <c r="F2462" s="5">
        <f t="shared" si="187"/>
        <v>8740000</v>
      </c>
      <c r="G2462" s="5">
        <v>8740000</v>
      </c>
      <c r="I2462" s="2">
        <f t="shared" si="188"/>
        <v>0</v>
      </c>
      <c r="J2462" s="4">
        <v>8300000</v>
      </c>
      <c r="K2462" s="2">
        <f t="shared" si="189"/>
        <v>0.94965675057208243</v>
      </c>
      <c r="L2462" t="s">
        <v>14884</v>
      </c>
      <c r="M2462" t="s">
        <v>165</v>
      </c>
      <c r="N2462" t="b">
        <f t="shared" si="190"/>
        <v>0</v>
      </c>
    </row>
    <row r="2463" spans="1:14" x14ac:dyDescent="0.15">
      <c r="A2463" t="s">
        <v>14880</v>
      </c>
      <c r="B2463" t="s">
        <v>14883</v>
      </c>
      <c r="C2463" t="s">
        <v>14963</v>
      </c>
      <c r="D2463" t="s">
        <v>23</v>
      </c>
      <c r="E2463" t="s">
        <v>14964</v>
      </c>
      <c r="F2463" s="5">
        <f t="shared" si="187"/>
        <v>3629000</v>
      </c>
      <c r="G2463" s="5">
        <v>3629000</v>
      </c>
      <c r="I2463" s="2">
        <f t="shared" si="188"/>
        <v>0</v>
      </c>
      <c r="J2463" s="4">
        <v>3400000</v>
      </c>
      <c r="K2463" s="2">
        <f t="shared" si="189"/>
        <v>0.93689721686414995</v>
      </c>
      <c r="L2463" t="s">
        <v>1915</v>
      </c>
      <c r="M2463" t="s">
        <v>21</v>
      </c>
      <c r="N2463" t="b">
        <f t="shared" si="190"/>
        <v>0</v>
      </c>
    </row>
    <row r="2464" spans="1:14" x14ac:dyDescent="0.15">
      <c r="A2464" t="s">
        <v>14880</v>
      </c>
      <c r="B2464" t="s">
        <v>14883</v>
      </c>
      <c r="C2464" t="s">
        <v>14965</v>
      </c>
      <c r="D2464" t="s">
        <v>23</v>
      </c>
      <c r="E2464" t="s">
        <v>14966</v>
      </c>
      <c r="F2464" s="5">
        <f t="shared" si="187"/>
        <v>8636000</v>
      </c>
      <c r="G2464" s="5">
        <v>8636000</v>
      </c>
      <c r="I2464" s="2">
        <f t="shared" si="188"/>
        <v>0</v>
      </c>
      <c r="J2464" s="4">
        <v>8100000</v>
      </c>
      <c r="K2464" s="2">
        <f t="shared" si="189"/>
        <v>0.93793422880963406</v>
      </c>
      <c r="L2464" t="s">
        <v>14884</v>
      </c>
      <c r="M2464" t="s">
        <v>1015</v>
      </c>
      <c r="N2464" t="b">
        <f t="shared" si="190"/>
        <v>0</v>
      </c>
    </row>
    <row r="2465" spans="1:14" x14ac:dyDescent="0.15">
      <c r="A2465" t="s">
        <v>14880</v>
      </c>
      <c r="B2465" t="s">
        <v>14883</v>
      </c>
      <c r="C2465" t="s">
        <v>14967</v>
      </c>
      <c r="D2465" t="s">
        <v>23</v>
      </c>
      <c r="E2465" t="s">
        <v>14968</v>
      </c>
      <c r="F2465" s="5">
        <f t="shared" si="187"/>
        <v>7411000</v>
      </c>
      <c r="G2465" s="5">
        <v>7411000</v>
      </c>
      <c r="I2465" s="2">
        <f t="shared" si="188"/>
        <v>0</v>
      </c>
      <c r="J2465" s="4">
        <v>7000000</v>
      </c>
      <c r="K2465" s="2">
        <f t="shared" si="189"/>
        <v>0.94454189717986781</v>
      </c>
      <c r="L2465" t="s">
        <v>2674</v>
      </c>
      <c r="M2465" t="s">
        <v>165</v>
      </c>
      <c r="N2465" t="b">
        <f t="shared" si="190"/>
        <v>0</v>
      </c>
    </row>
    <row r="2466" spans="1:14" x14ac:dyDescent="0.15">
      <c r="A2466" t="s">
        <v>14880</v>
      </c>
      <c r="B2466" t="s">
        <v>14883</v>
      </c>
      <c r="C2466" t="s">
        <v>14969</v>
      </c>
      <c r="D2466" t="s">
        <v>23</v>
      </c>
      <c r="E2466" t="s">
        <v>14970</v>
      </c>
      <c r="F2466" s="5">
        <f t="shared" si="187"/>
        <v>2269000</v>
      </c>
      <c r="G2466" s="5">
        <v>2269000</v>
      </c>
      <c r="I2466" s="2">
        <f t="shared" si="188"/>
        <v>0</v>
      </c>
      <c r="J2466" s="4">
        <v>2150000</v>
      </c>
      <c r="K2466" s="2">
        <f t="shared" si="189"/>
        <v>0.94755398854120754</v>
      </c>
      <c r="L2466" t="s">
        <v>14884</v>
      </c>
      <c r="M2466" t="s">
        <v>21</v>
      </c>
      <c r="N2466" t="b">
        <f t="shared" si="190"/>
        <v>0</v>
      </c>
    </row>
    <row r="2467" spans="1:14" x14ac:dyDescent="0.15">
      <c r="A2467" t="s">
        <v>14880</v>
      </c>
      <c r="B2467" t="s">
        <v>14883</v>
      </c>
      <c r="C2467" t="s">
        <v>14971</v>
      </c>
      <c r="D2467" t="s">
        <v>23</v>
      </c>
      <c r="E2467" t="s">
        <v>14972</v>
      </c>
      <c r="F2467" s="5">
        <f t="shared" si="187"/>
        <v>21596000</v>
      </c>
      <c r="G2467" s="5">
        <v>21596000</v>
      </c>
      <c r="I2467" s="2">
        <f t="shared" si="188"/>
        <v>0</v>
      </c>
      <c r="J2467" s="4">
        <v>21000000</v>
      </c>
      <c r="K2467" s="2">
        <f t="shared" si="189"/>
        <v>0.97240229672161516</v>
      </c>
      <c r="L2467" t="s">
        <v>1915</v>
      </c>
      <c r="M2467" t="s">
        <v>165</v>
      </c>
      <c r="N2467" t="b">
        <f t="shared" si="190"/>
        <v>0</v>
      </c>
    </row>
    <row r="2468" spans="1:14" x14ac:dyDescent="0.15">
      <c r="A2468" t="s">
        <v>14880</v>
      </c>
      <c r="B2468" t="s">
        <v>14883</v>
      </c>
      <c r="C2468" t="s">
        <v>14973</v>
      </c>
      <c r="D2468" t="s">
        <v>23</v>
      </c>
      <c r="E2468" t="s">
        <v>14974</v>
      </c>
      <c r="F2468" s="5">
        <f t="shared" si="187"/>
        <v>8629000</v>
      </c>
      <c r="G2468" s="5">
        <v>8629000</v>
      </c>
      <c r="I2468" s="2">
        <f t="shared" si="188"/>
        <v>0</v>
      </c>
      <c r="J2468" s="4">
        <v>7900000</v>
      </c>
      <c r="K2468" s="2">
        <f t="shared" si="189"/>
        <v>0.91551744118669598</v>
      </c>
      <c r="L2468" t="s">
        <v>2674</v>
      </c>
      <c r="M2468" t="s">
        <v>165</v>
      </c>
      <c r="N2468" t="b">
        <f t="shared" si="190"/>
        <v>0</v>
      </c>
    </row>
    <row r="2469" spans="1:14" x14ac:dyDescent="0.15">
      <c r="A2469" t="s">
        <v>14880</v>
      </c>
      <c r="B2469" t="s">
        <v>14883</v>
      </c>
      <c r="C2469" t="s">
        <v>14975</v>
      </c>
      <c r="D2469" t="s">
        <v>23</v>
      </c>
      <c r="E2469" t="s">
        <v>14976</v>
      </c>
      <c r="F2469" s="5">
        <f t="shared" si="187"/>
        <v>10499000</v>
      </c>
      <c r="G2469" s="5">
        <v>10499000</v>
      </c>
      <c r="I2469" s="2">
        <f t="shared" si="188"/>
        <v>0</v>
      </c>
      <c r="J2469" s="4">
        <v>9800000</v>
      </c>
      <c r="K2469" s="2">
        <f t="shared" si="189"/>
        <v>0.93342223068863706</v>
      </c>
      <c r="L2469" t="s">
        <v>10639</v>
      </c>
      <c r="M2469" t="s">
        <v>165</v>
      </c>
      <c r="N2469" t="b">
        <f t="shared" si="190"/>
        <v>0</v>
      </c>
    </row>
    <row r="2470" spans="1:14" x14ac:dyDescent="0.15">
      <c r="A2470" t="s">
        <v>14880</v>
      </c>
      <c r="B2470" t="s">
        <v>14883</v>
      </c>
      <c r="C2470" t="s">
        <v>14977</v>
      </c>
      <c r="D2470" t="s">
        <v>23</v>
      </c>
      <c r="E2470" t="s">
        <v>14978</v>
      </c>
      <c r="F2470" s="5">
        <f t="shared" si="187"/>
        <v>3172000</v>
      </c>
      <c r="G2470" s="5">
        <v>3172000</v>
      </c>
      <c r="I2470" s="2">
        <f t="shared" si="188"/>
        <v>0</v>
      </c>
      <c r="J2470" s="4">
        <v>2950000</v>
      </c>
      <c r="K2470" s="2">
        <f t="shared" si="189"/>
        <v>0.93001261034047922</v>
      </c>
      <c r="L2470" t="s">
        <v>14884</v>
      </c>
      <c r="M2470" t="s">
        <v>1015</v>
      </c>
      <c r="N2470" t="b">
        <f t="shared" si="190"/>
        <v>0</v>
      </c>
    </row>
    <row r="2471" spans="1:14" x14ac:dyDescent="0.15">
      <c r="A2471" t="s">
        <v>14880</v>
      </c>
      <c r="B2471" t="s">
        <v>14883</v>
      </c>
      <c r="C2471" t="s">
        <v>14979</v>
      </c>
      <c r="D2471" t="s">
        <v>23</v>
      </c>
      <c r="E2471" t="s">
        <v>14980</v>
      </c>
      <c r="F2471" s="5">
        <f t="shared" si="187"/>
        <v>11718000</v>
      </c>
      <c r="G2471" s="5">
        <v>11718000</v>
      </c>
      <c r="I2471" s="2">
        <f t="shared" si="188"/>
        <v>0</v>
      </c>
      <c r="J2471" s="4">
        <v>11000000</v>
      </c>
      <c r="K2471" s="2">
        <f t="shared" si="189"/>
        <v>0.93872674517835808</v>
      </c>
      <c r="L2471" t="s">
        <v>10639</v>
      </c>
      <c r="M2471" t="s">
        <v>192</v>
      </c>
      <c r="N2471" t="b">
        <f t="shared" si="190"/>
        <v>0</v>
      </c>
    </row>
    <row r="2472" spans="1:14" x14ac:dyDescent="0.15">
      <c r="A2472" t="s">
        <v>14880</v>
      </c>
      <c r="B2472" t="s">
        <v>14883</v>
      </c>
      <c r="C2472" t="s">
        <v>14981</v>
      </c>
      <c r="D2472" t="s">
        <v>23</v>
      </c>
      <c r="E2472" t="s">
        <v>14982</v>
      </c>
      <c r="F2472" s="5">
        <f t="shared" si="187"/>
        <v>12918000</v>
      </c>
      <c r="G2472" s="5">
        <v>12918000</v>
      </c>
      <c r="I2472" s="2">
        <f t="shared" si="188"/>
        <v>0</v>
      </c>
      <c r="J2472" s="4">
        <v>12150000</v>
      </c>
      <c r="K2472" s="2">
        <f t="shared" si="189"/>
        <v>0.94054807245703664</v>
      </c>
      <c r="L2472" t="s">
        <v>1104</v>
      </c>
      <c r="M2472" t="s">
        <v>192</v>
      </c>
      <c r="N2472" t="b">
        <f t="shared" si="190"/>
        <v>0</v>
      </c>
    </row>
    <row r="2473" spans="1:14" x14ac:dyDescent="0.15">
      <c r="A2473" t="s">
        <v>14880</v>
      </c>
      <c r="B2473" t="s">
        <v>14883</v>
      </c>
      <c r="C2473" t="s">
        <v>14983</v>
      </c>
      <c r="D2473" t="s">
        <v>23</v>
      </c>
      <c r="E2473" t="s">
        <v>14984</v>
      </c>
      <c r="F2473" s="5">
        <f t="shared" si="187"/>
        <v>9922000</v>
      </c>
      <c r="G2473" s="5">
        <v>9922000</v>
      </c>
      <c r="I2473" s="2">
        <f t="shared" si="188"/>
        <v>0</v>
      </c>
      <c r="J2473" s="4">
        <v>9300000</v>
      </c>
      <c r="K2473" s="2">
        <f t="shared" si="189"/>
        <v>0.93731102600282201</v>
      </c>
      <c r="L2473" t="s">
        <v>14884</v>
      </c>
      <c r="M2473" t="s">
        <v>165</v>
      </c>
      <c r="N2473" t="b">
        <f t="shared" si="190"/>
        <v>0</v>
      </c>
    </row>
    <row r="2474" spans="1:14" x14ac:dyDescent="0.15">
      <c r="A2474" t="s">
        <v>14880</v>
      </c>
      <c r="B2474" t="s">
        <v>14883</v>
      </c>
      <c r="C2474" t="s">
        <v>14985</v>
      </c>
      <c r="D2474" t="s">
        <v>23</v>
      </c>
      <c r="E2474" t="s">
        <v>14986</v>
      </c>
      <c r="F2474" s="5">
        <f t="shared" si="187"/>
        <v>11810000</v>
      </c>
      <c r="G2474" s="5">
        <v>11810000</v>
      </c>
      <c r="I2474" s="2">
        <f t="shared" si="188"/>
        <v>0</v>
      </c>
      <c r="J2474" s="4">
        <v>9600000</v>
      </c>
      <c r="K2474" s="2">
        <f t="shared" si="189"/>
        <v>0.81287044877222692</v>
      </c>
      <c r="L2474" t="s">
        <v>10194</v>
      </c>
      <c r="M2474" t="s">
        <v>165</v>
      </c>
      <c r="N2474" t="b">
        <f t="shared" si="190"/>
        <v>0</v>
      </c>
    </row>
    <row r="2475" spans="1:14" x14ac:dyDescent="0.15">
      <c r="A2475" t="s">
        <v>14880</v>
      </c>
      <c r="B2475" t="s">
        <v>14883</v>
      </c>
      <c r="C2475" t="s">
        <v>14987</v>
      </c>
      <c r="D2475" t="s">
        <v>23</v>
      </c>
      <c r="E2475" t="s">
        <v>14988</v>
      </c>
      <c r="F2475" s="5">
        <f t="shared" si="187"/>
        <v>8622000</v>
      </c>
      <c r="G2475" s="5">
        <v>8622000</v>
      </c>
      <c r="I2475" s="2">
        <f t="shared" si="188"/>
        <v>0</v>
      </c>
      <c r="J2475" s="4">
        <v>7950000</v>
      </c>
      <c r="K2475" s="2">
        <f t="shared" si="189"/>
        <v>0.9220598469032707</v>
      </c>
      <c r="L2475" t="s">
        <v>271</v>
      </c>
      <c r="M2475" t="s">
        <v>1015</v>
      </c>
      <c r="N2475" t="b">
        <f t="shared" si="190"/>
        <v>0</v>
      </c>
    </row>
    <row r="2476" spans="1:14" x14ac:dyDescent="0.15">
      <c r="A2476" t="s">
        <v>14880</v>
      </c>
      <c r="B2476" t="s">
        <v>14883</v>
      </c>
      <c r="C2476" t="s">
        <v>14989</v>
      </c>
      <c r="D2476" t="s">
        <v>23</v>
      </c>
      <c r="E2476" t="s">
        <v>14990</v>
      </c>
      <c r="F2476" s="5">
        <f t="shared" si="187"/>
        <v>4312000</v>
      </c>
      <c r="G2476" s="5">
        <v>4312000</v>
      </c>
      <c r="I2476" s="2">
        <f t="shared" si="188"/>
        <v>0</v>
      </c>
      <c r="J2476" s="4">
        <v>4050000</v>
      </c>
      <c r="K2476" s="2">
        <f t="shared" si="189"/>
        <v>0.93923933209647492</v>
      </c>
      <c r="L2476" t="s">
        <v>14884</v>
      </c>
      <c r="M2476" t="s">
        <v>21</v>
      </c>
      <c r="N2476" t="b">
        <f t="shared" si="190"/>
        <v>0</v>
      </c>
    </row>
    <row r="2477" spans="1:14" x14ac:dyDescent="0.15">
      <c r="A2477" t="s">
        <v>14880</v>
      </c>
      <c r="B2477" t="s">
        <v>14883</v>
      </c>
      <c r="C2477" t="s">
        <v>14991</v>
      </c>
      <c r="D2477" t="s">
        <v>23</v>
      </c>
      <c r="E2477" t="s">
        <v>14992</v>
      </c>
      <c r="F2477" s="5">
        <f t="shared" si="187"/>
        <v>3634000</v>
      </c>
      <c r="G2477" s="5">
        <v>3634000</v>
      </c>
      <c r="I2477" s="2">
        <f t="shared" si="188"/>
        <v>0</v>
      </c>
      <c r="J2477" s="4">
        <v>3500000</v>
      </c>
      <c r="K2477" s="2">
        <f t="shared" si="189"/>
        <v>0.96312603192074853</v>
      </c>
      <c r="L2477" t="s">
        <v>87</v>
      </c>
      <c r="M2477" t="s">
        <v>21</v>
      </c>
      <c r="N2477" t="b">
        <f t="shared" si="190"/>
        <v>0</v>
      </c>
    </row>
    <row r="2478" spans="1:14" x14ac:dyDescent="0.15">
      <c r="A2478" t="s">
        <v>14880</v>
      </c>
      <c r="B2478" t="s">
        <v>14883</v>
      </c>
      <c r="C2478" t="s">
        <v>14993</v>
      </c>
      <c r="D2478" t="s">
        <v>23</v>
      </c>
      <c r="E2478" t="s">
        <v>14994</v>
      </c>
      <c r="F2478" s="5">
        <f t="shared" si="187"/>
        <v>13446000</v>
      </c>
      <c r="G2478" s="5">
        <v>13446000</v>
      </c>
      <c r="I2478" s="2">
        <f t="shared" si="188"/>
        <v>0</v>
      </c>
      <c r="J2478" s="4">
        <v>12700000</v>
      </c>
      <c r="K2478" s="2">
        <f t="shared" si="189"/>
        <v>0.94451881600475973</v>
      </c>
      <c r="L2478" t="s">
        <v>14884</v>
      </c>
      <c r="M2478" t="s">
        <v>165</v>
      </c>
      <c r="N2478" t="b">
        <f t="shared" si="190"/>
        <v>0</v>
      </c>
    </row>
    <row r="2479" spans="1:14" x14ac:dyDescent="0.15">
      <c r="A2479" t="s">
        <v>14880</v>
      </c>
      <c r="B2479" t="s">
        <v>14883</v>
      </c>
      <c r="C2479" t="s">
        <v>14995</v>
      </c>
      <c r="D2479" t="s">
        <v>23</v>
      </c>
      <c r="E2479" t="s">
        <v>14996</v>
      </c>
      <c r="F2479" s="5">
        <f t="shared" si="187"/>
        <v>3863000</v>
      </c>
      <c r="G2479" s="5">
        <v>3863000</v>
      </c>
      <c r="I2479" s="2">
        <f t="shared" si="188"/>
        <v>0</v>
      </c>
      <c r="J2479" s="4">
        <v>3650000</v>
      </c>
      <c r="K2479" s="2">
        <f t="shared" si="189"/>
        <v>0.94486150660108725</v>
      </c>
      <c r="L2479" t="s">
        <v>14884</v>
      </c>
      <c r="M2479" t="s">
        <v>21</v>
      </c>
      <c r="N2479" t="b">
        <f t="shared" si="190"/>
        <v>0</v>
      </c>
    </row>
    <row r="2480" spans="1:14" x14ac:dyDescent="0.15">
      <c r="A2480" t="s">
        <v>14880</v>
      </c>
      <c r="B2480" t="s">
        <v>14883</v>
      </c>
      <c r="C2480" t="s">
        <v>14997</v>
      </c>
      <c r="D2480" t="s">
        <v>23</v>
      </c>
      <c r="E2480" t="s">
        <v>14998</v>
      </c>
      <c r="F2480" s="5">
        <f t="shared" si="187"/>
        <v>1818000</v>
      </c>
      <c r="G2480" s="5">
        <v>1818000</v>
      </c>
      <c r="I2480" s="2">
        <f t="shared" si="188"/>
        <v>0</v>
      </c>
      <c r="J2480" s="4">
        <v>1700000</v>
      </c>
      <c r="K2480" s="2">
        <f t="shared" si="189"/>
        <v>0.93509350935093505</v>
      </c>
      <c r="L2480" t="s">
        <v>14884</v>
      </c>
      <c r="M2480" t="s">
        <v>21</v>
      </c>
      <c r="N2480" t="b">
        <f t="shared" si="190"/>
        <v>0</v>
      </c>
    </row>
    <row r="2481" spans="1:14" x14ac:dyDescent="0.15">
      <c r="A2481" t="s">
        <v>14880</v>
      </c>
      <c r="B2481" t="s">
        <v>14897</v>
      </c>
      <c r="C2481" t="s">
        <v>14999</v>
      </c>
      <c r="D2481" t="s">
        <v>23</v>
      </c>
      <c r="E2481" t="s">
        <v>15000</v>
      </c>
      <c r="F2481" s="5">
        <f t="shared" si="187"/>
        <v>12560000</v>
      </c>
      <c r="G2481" s="5">
        <v>12560000</v>
      </c>
      <c r="I2481" s="2">
        <f t="shared" si="188"/>
        <v>0</v>
      </c>
      <c r="J2481" s="4">
        <v>11800000</v>
      </c>
      <c r="K2481" s="2">
        <f t="shared" si="189"/>
        <v>0.93949044585987262</v>
      </c>
      <c r="L2481" t="s">
        <v>10326</v>
      </c>
      <c r="M2481" t="s">
        <v>174</v>
      </c>
      <c r="N2481" t="b">
        <f t="shared" si="190"/>
        <v>0</v>
      </c>
    </row>
    <row r="2482" spans="1:14" x14ac:dyDescent="0.15">
      <c r="A2482" t="s">
        <v>14880</v>
      </c>
      <c r="B2482" t="s">
        <v>14897</v>
      </c>
      <c r="C2482" t="s">
        <v>15001</v>
      </c>
      <c r="D2482" t="s">
        <v>23</v>
      </c>
      <c r="E2482" t="s">
        <v>9525</v>
      </c>
      <c r="F2482" s="5">
        <f t="shared" si="187"/>
        <v>2700000</v>
      </c>
      <c r="G2482" s="5">
        <v>2700000</v>
      </c>
      <c r="I2482" s="2">
        <f t="shared" si="188"/>
        <v>0</v>
      </c>
      <c r="J2482" s="4">
        <v>2300000</v>
      </c>
      <c r="K2482" s="2">
        <f t="shared" si="189"/>
        <v>0.85185185185185186</v>
      </c>
      <c r="L2482" t="s">
        <v>10326</v>
      </c>
      <c r="M2482" t="s">
        <v>1015</v>
      </c>
      <c r="N2482" t="b">
        <f t="shared" si="190"/>
        <v>0</v>
      </c>
    </row>
    <row r="2483" spans="1:14" x14ac:dyDescent="0.15">
      <c r="A2483" t="s">
        <v>14880</v>
      </c>
      <c r="B2483" t="s">
        <v>14883</v>
      </c>
      <c r="C2483" t="s">
        <v>14934</v>
      </c>
      <c r="D2483" t="s">
        <v>23</v>
      </c>
      <c r="E2483" t="s">
        <v>15002</v>
      </c>
      <c r="F2483" s="5">
        <f t="shared" si="187"/>
        <v>2127000</v>
      </c>
      <c r="G2483" s="5">
        <v>2127000</v>
      </c>
      <c r="I2483" s="2">
        <f t="shared" si="188"/>
        <v>0</v>
      </c>
      <c r="J2483" s="4">
        <v>2000000</v>
      </c>
      <c r="K2483" s="2">
        <f t="shared" si="189"/>
        <v>0.94029149036201221</v>
      </c>
      <c r="L2483" t="s">
        <v>14884</v>
      </c>
      <c r="M2483" t="s">
        <v>21</v>
      </c>
      <c r="N2483" t="b">
        <f t="shared" si="190"/>
        <v>0</v>
      </c>
    </row>
    <row r="2484" spans="1:14" x14ac:dyDescent="0.15">
      <c r="A2484" t="s">
        <v>14880</v>
      </c>
      <c r="B2484" t="s">
        <v>14883</v>
      </c>
      <c r="C2484" t="s">
        <v>15003</v>
      </c>
      <c r="D2484" t="s">
        <v>23</v>
      </c>
      <c r="E2484" t="s">
        <v>15004</v>
      </c>
      <c r="F2484" s="5">
        <f t="shared" si="187"/>
        <v>2246000</v>
      </c>
      <c r="G2484" s="5">
        <v>2246000</v>
      </c>
      <c r="I2484" s="2">
        <f t="shared" si="188"/>
        <v>0</v>
      </c>
      <c r="J2484" s="4">
        <v>2100000</v>
      </c>
      <c r="K2484" s="2">
        <f t="shared" si="189"/>
        <v>0.93499554764024928</v>
      </c>
      <c r="L2484" t="s">
        <v>14884</v>
      </c>
      <c r="M2484" t="s">
        <v>21</v>
      </c>
      <c r="N2484" t="b">
        <f t="shared" si="190"/>
        <v>0</v>
      </c>
    </row>
    <row r="2485" spans="1:14" x14ac:dyDescent="0.15">
      <c r="A2485" t="s">
        <v>14880</v>
      </c>
      <c r="B2485" t="s">
        <v>14883</v>
      </c>
      <c r="C2485" t="s">
        <v>15005</v>
      </c>
      <c r="D2485" t="s">
        <v>23</v>
      </c>
      <c r="E2485" t="s">
        <v>11444</v>
      </c>
      <c r="F2485" s="5">
        <f t="shared" si="187"/>
        <v>12260000</v>
      </c>
      <c r="G2485" s="5">
        <v>12260000</v>
      </c>
      <c r="I2485" s="2">
        <f t="shared" si="188"/>
        <v>0</v>
      </c>
      <c r="J2485" s="4">
        <v>11700000</v>
      </c>
      <c r="K2485" s="2">
        <f t="shared" si="189"/>
        <v>0.95432300163132133</v>
      </c>
      <c r="L2485" t="s">
        <v>10194</v>
      </c>
      <c r="M2485" t="s">
        <v>165</v>
      </c>
      <c r="N2485" t="b">
        <f t="shared" si="190"/>
        <v>0</v>
      </c>
    </row>
    <row r="2486" spans="1:14" x14ac:dyDescent="0.15">
      <c r="A2486" t="s">
        <v>14880</v>
      </c>
      <c r="B2486" t="s">
        <v>14883</v>
      </c>
      <c r="C2486" t="s">
        <v>15006</v>
      </c>
      <c r="D2486" t="s">
        <v>23</v>
      </c>
      <c r="E2486" t="s">
        <v>15007</v>
      </c>
      <c r="F2486" s="5">
        <f t="shared" si="187"/>
        <v>2488000</v>
      </c>
      <c r="G2486" s="5">
        <v>2488000</v>
      </c>
      <c r="I2486" s="2">
        <f t="shared" si="188"/>
        <v>0</v>
      </c>
      <c r="J2486" s="4">
        <v>2300000</v>
      </c>
      <c r="K2486" s="2">
        <f t="shared" si="189"/>
        <v>0.92443729903536975</v>
      </c>
      <c r="L2486" t="s">
        <v>10326</v>
      </c>
      <c r="M2486" t="s">
        <v>21</v>
      </c>
      <c r="N2486" t="b">
        <f t="shared" si="190"/>
        <v>0</v>
      </c>
    </row>
    <row r="2487" spans="1:14" x14ac:dyDescent="0.15">
      <c r="A2487" t="s">
        <v>14880</v>
      </c>
      <c r="B2487" t="s">
        <v>14883</v>
      </c>
      <c r="C2487" t="s">
        <v>15008</v>
      </c>
      <c r="D2487" t="s">
        <v>23</v>
      </c>
      <c r="E2487" t="s">
        <v>15009</v>
      </c>
      <c r="F2487" s="5">
        <f t="shared" si="187"/>
        <v>8167000</v>
      </c>
      <c r="G2487" s="5">
        <v>8167000</v>
      </c>
      <c r="I2487" s="2">
        <f t="shared" si="188"/>
        <v>0</v>
      </c>
      <c r="J2487" s="4">
        <v>7500000</v>
      </c>
      <c r="K2487" s="2">
        <f t="shared" si="189"/>
        <v>0.91832986408718009</v>
      </c>
      <c r="L2487" t="s">
        <v>10194</v>
      </c>
      <c r="M2487" t="s">
        <v>1015</v>
      </c>
      <c r="N2487" t="b">
        <f t="shared" si="190"/>
        <v>0</v>
      </c>
    </row>
    <row r="2488" spans="1:14" x14ac:dyDescent="0.15">
      <c r="A2488" t="s">
        <v>14880</v>
      </c>
      <c r="B2488" t="s">
        <v>14883</v>
      </c>
      <c r="C2488" t="s">
        <v>15010</v>
      </c>
      <c r="D2488" t="s">
        <v>23</v>
      </c>
      <c r="E2488" t="s">
        <v>11448</v>
      </c>
      <c r="F2488" s="5">
        <f t="shared" ref="F2488:F2491" si="191">G2488</f>
        <v>3630000</v>
      </c>
      <c r="G2488" s="5">
        <v>3630000</v>
      </c>
      <c r="I2488" s="2">
        <f t="shared" si="188"/>
        <v>0</v>
      </c>
      <c r="J2488" s="4">
        <v>3400000</v>
      </c>
      <c r="K2488" s="2">
        <f t="shared" si="189"/>
        <v>0.9366391184573003</v>
      </c>
      <c r="L2488" t="s">
        <v>14884</v>
      </c>
      <c r="M2488" t="s">
        <v>21</v>
      </c>
      <c r="N2488" t="b">
        <f t="shared" si="190"/>
        <v>0</v>
      </c>
    </row>
    <row r="2489" spans="1:14" x14ac:dyDescent="0.15">
      <c r="A2489" t="s">
        <v>14880</v>
      </c>
      <c r="B2489" t="s">
        <v>14883</v>
      </c>
      <c r="C2489" t="s">
        <v>15011</v>
      </c>
      <c r="D2489" t="s">
        <v>23</v>
      </c>
      <c r="E2489" t="s">
        <v>15012</v>
      </c>
      <c r="F2489" s="5">
        <f t="shared" si="191"/>
        <v>2726000</v>
      </c>
      <c r="G2489" s="5">
        <v>2726000</v>
      </c>
      <c r="I2489" s="2">
        <f t="shared" si="188"/>
        <v>0</v>
      </c>
      <c r="J2489" s="4">
        <v>2550000</v>
      </c>
      <c r="K2489" s="2">
        <f t="shared" si="189"/>
        <v>0.93543653705062357</v>
      </c>
      <c r="L2489" t="s">
        <v>14884</v>
      </c>
      <c r="M2489" t="s">
        <v>21</v>
      </c>
      <c r="N2489" t="b">
        <f t="shared" si="190"/>
        <v>0</v>
      </c>
    </row>
    <row r="2490" spans="1:14" x14ac:dyDescent="0.15">
      <c r="A2490" t="s">
        <v>14880</v>
      </c>
      <c r="B2490" t="s">
        <v>14883</v>
      </c>
      <c r="C2490" t="s">
        <v>15013</v>
      </c>
      <c r="D2490" t="s">
        <v>23</v>
      </c>
      <c r="E2490" t="s">
        <v>15014</v>
      </c>
      <c r="F2490" s="5">
        <f t="shared" si="191"/>
        <v>7653000</v>
      </c>
      <c r="G2490" s="5">
        <v>7653000</v>
      </c>
      <c r="I2490" s="2">
        <f t="shared" si="188"/>
        <v>0</v>
      </c>
      <c r="J2490" s="4">
        <v>7200000</v>
      </c>
      <c r="K2490" s="2">
        <f t="shared" si="189"/>
        <v>0.94080752646021171</v>
      </c>
      <c r="L2490" t="s">
        <v>14884</v>
      </c>
      <c r="M2490" t="s">
        <v>1015</v>
      </c>
      <c r="N2490" t="b">
        <f t="shared" si="190"/>
        <v>0</v>
      </c>
    </row>
    <row r="2491" spans="1:14" x14ac:dyDescent="0.15">
      <c r="A2491" t="s">
        <v>14880</v>
      </c>
      <c r="B2491" t="s">
        <v>14897</v>
      </c>
      <c r="C2491" t="s">
        <v>15015</v>
      </c>
      <c r="D2491" t="s">
        <v>23</v>
      </c>
      <c r="E2491" t="s">
        <v>15016</v>
      </c>
      <c r="F2491" s="5">
        <f t="shared" si="191"/>
        <v>3984000</v>
      </c>
      <c r="G2491" s="5">
        <v>3984000</v>
      </c>
      <c r="I2491" s="2">
        <f t="shared" si="188"/>
        <v>0</v>
      </c>
      <c r="J2491" s="4">
        <v>3700000</v>
      </c>
      <c r="K2491" s="2">
        <f t="shared" si="189"/>
        <v>0.92871485943775101</v>
      </c>
      <c r="L2491" t="s">
        <v>14884</v>
      </c>
      <c r="M2491" t="s">
        <v>1015</v>
      </c>
      <c r="N2491" t="b">
        <f t="shared" si="190"/>
        <v>0</v>
      </c>
    </row>
    <row r="2492" spans="1:14" x14ac:dyDescent="0.15">
      <c r="A2492" t="s">
        <v>15017</v>
      </c>
      <c r="B2492" t="s">
        <v>15020</v>
      </c>
      <c r="C2492" t="s">
        <v>15018</v>
      </c>
      <c r="D2492" t="s">
        <v>118</v>
      </c>
      <c r="E2492" t="s">
        <v>15019</v>
      </c>
      <c r="F2492" s="5">
        <v>15342000</v>
      </c>
      <c r="G2492" s="5">
        <v>15342000</v>
      </c>
      <c r="H2492" s="4">
        <v>12185000</v>
      </c>
      <c r="I2492" s="2">
        <f t="shared" si="188"/>
        <v>0.79422500325902745</v>
      </c>
      <c r="J2492" s="4">
        <v>12185000</v>
      </c>
      <c r="K2492" s="2">
        <f t="shared" si="189"/>
        <v>0.79422500325902745</v>
      </c>
      <c r="L2492" t="s">
        <v>263</v>
      </c>
      <c r="M2492" t="s">
        <v>2017</v>
      </c>
      <c r="N2492" t="b">
        <f t="shared" si="190"/>
        <v>0</v>
      </c>
    </row>
    <row r="2493" spans="1:14" x14ac:dyDescent="0.15">
      <c r="A2493" t="s">
        <v>15017</v>
      </c>
      <c r="B2493" t="s">
        <v>15020</v>
      </c>
      <c r="C2493" t="s">
        <v>15021</v>
      </c>
      <c r="D2493" t="s">
        <v>118</v>
      </c>
      <c r="E2493" t="s">
        <v>15022</v>
      </c>
      <c r="F2493" s="5">
        <v>7720000</v>
      </c>
      <c r="G2493" s="5">
        <v>7720000</v>
      </c>
      <c r="H2493" s="4">
        <v>6149000</v>
      </c>
      <c r="I2493" s="2">
        <f t="shared" si="188"/>
        <v>0.79650259067357509</v>
      </c>
      <c r="J2493" s="4">
        <v>6149000</v>
      </c>
      <c r="K2493" s="2">
        <f t="shared" si="189"/>
        <v>0.79650259067357509</v>
      </c>
      <c r="L2493" t="s">
        <v>10217</v>
      </c>
      <c r="M2493" t="s">
        <v>80</v>
      </c>
      <c r="N2493" t="b">
        <f t="shared" si="190"/>
        <v>0</v>
      </c>
    </row>
    <row r="2494" spans="1:14" x14ac:dyDescent="0.15">
      <c r="A2494" t="s">
        <v>15017</v>
      </c>
      <c r="B2494" t="s">
        <v>15020</v>
      </c>
      <c r="C2494" t="s">
        <v>15023</v>
      </c>
      <c r="D2494" t="s">
        <v>118</v>
      </c>
      <c r="E2494" t="s">
        <v>15024</v>
      </c>
      <c r="F2494" s="5">
        <v>7948000</v>
      </c>
      <c r="G2494" s="5">
        <v>7948000</v>
      </c>
      <c r="H2494" s="4">
        <v>6329000</v>
      </c>
      <c r="I2494" s="2">
        <f t="shared" si="188"/>
        <v>0.79630095621540009</v>
      </c>
      <c r="J2494" s="4">
        <v>6505000</v>
      </c>
      <c r="K2494" s="2">
        <f t="shared" si="189"/>
        <v>0.81844489179667845</v>
      </c>
      <c r="L2494" t="s">
        <v>190</v>
      </c>
      <c r="M2494" t="s">
        <v>248</v>
      </c>
      <c r="N2494" t="b">
        <f t="shared" si="190"/>
        <v>0</v>
      </c>
    </row>
    <row r="2495" spans="1:14" x14ac:dyDescent="0.15">
      <c r="A2495" t="s">
        <v>15017</v>
      </c>
      <c r="B2495" t="s">
        <v>15020</v>
      </c>
      <c r="C2495" t="s">
        <v>15025</v>
      </c>
      <c r="D2495" t="s">
        <v>23</v>
      </c>
      <c r="E2495" t="s">
        <v>15026</v>
      </c>
      <c r="F2495" s="5">
        <v>2178000</v>
      </c>
      <c r="G2495" s="5">
        <v>2178000</v>
      </c>
      <c r="H2495" s="4">
        <v>1732000</v>
      </c>
      <c r="I2495" s="2">
        <f t="shared" si="188"/>
        <v>0.79522497704315886</v>
      </c>
      <c r="J2495" s="4">
        <v>1880000</v>
      </c>
      <c r="K2495" s="2">
        <f t="shared" si="189"/>
        <v>0.86317722681359044</v>
      </c>
      <c r="L2495" t="s">
        <v>15027</v>
      </c>
      <c r="M2495" t="s">
        <v>80</v>
      </c>
      <c r="N2495" t="b">
        <f t="shared" si="190"/>
        <v>0</v>
      </c>
    </row>
    <row r="2496" spans="1:14" x14ac:dyDescent="0.15">
      <c r="A2496" t="s">
        <v>15017</v>
      </c>
      <c r="B2496" t="s">
        <v>15020</v>
      </c>
      <c r="C2496" t="s">
        <v>15028</v>
      </c>
      <c r="D2496" t="s">
        <v>23</v>
      </c>
      <c r="E2496" t="s">
        <v>15029</v>
      </c>
      <c r="F2496" s="5">
        <v>8146000</v>
      </c>
      <c r="G2496" s="5">
        <v>8146000</v>
      </c>
      <c r="H2496" s="4">
        <v>6408000</v>
      </c>
      <c r="I2496" s="2">
        <f t="shared" si="188"/>
        <v>0.78664375153449551</v>
      </c>
      <c r="J2496" s="4">
        <v>6472000</v>
      </c>
      <c r="K2496" s="2">
        <f t="shared" si="189"/>
        <v>0.79450036827890991</v>
      </c>
      <c r="L2496" t="s">
        <v>190</v>
      </c>
      <c r="M2496" t="s">
        <v>104</v>
      </c>
      <c r="N2496" t="b">
        <f t="shared" si="190"/>
        <v>0</v>
      </c>
    </row>
    <row r="2497" spans="1:14" x14ac:dyDescent="0.15">
      <c r="A2497" t="s">
        <v>15017</v>
      </c>
      <c r="B2497" t="s">
        <v>15020</v>
      </c>
      <c r="C2497" t="s">
        <v>15030</v>
      </c>
      <c r="D2497" t="s">
        <v>118</v>
      </c>
      <c r="E2497" t="s">
        <v>13003</v>
      </c>
      <c r="F2497" s="5">
        <v>8326000</v>
      </c>
      <c r="G2497" s="5">
        <v>8326000</v>
      </c>
      <c r="H2497" s="4">
        <v>6630000</v>
      </c>
      <c r="I2497" s="2">
        <f t="shared" si="188"/>
        <v>0.79630074465529666</v>
      </c>
      <c r="J2497" s="4">
        <v>6680000</v>
      </c>
      <c r="K2497" s="2">
        <f t="shared" si="189"/>
        <v>0.80230602930578909</v>
      </c>
      <c r="L2497" t="s">
        <v>5068</v>
      </c>
      <c r="M2497" t="s">
        <v>126</v>
      </c>
      <c r="N2497" t="b">
        <f t="shared" si="190"/>
        <v>0</v>
      </c>
    </row>
    <row r="2498" spans="1:14" x14ac:dyDescent="0.15">
      <c r="A2498" t="s">
        <v>15017</v>
      </c>
      <c r="B2498" t="s">
        <v>15020</v>
      </c>
      <c r="C2498" t="s">
        <v>15031</v>
      </c>
      <c r="D2498" t="s">
        <v>118</v>
      </c>
      <c r="E2498" t="s">
        <v>15032</v>
      </c>
      <c r="F2498" s="5">
        <v>14698000</v>
      </c>
      <c r="G2498" s="5">
        <v>14698000</v>
      </c>
      <c r="H2498" s="4">
        <v>11701000</v>
      </c>
      <c r="I2498" s="2">
        <f t="shared" si="188"/>
        <v>0.7960947067628249</v>
      </c>
      <c r="J2498" s="4">
        <v>11701000</v>
      </c>
      <c r="K2498" s="2">
        <f t="shared" si="189"/>
        <v>0.7960947067628249</v>
      </c>
      <c r="L2498" t="s">
        <v>567</v>
      </c>
      <c r="M2498" t="s">
        <v>31</v>
      </c>
      <c r="N2498" t="b">
        <f t="shared" si="190"/>
        <v>0</v>
      </c>
    </row>
    <row r="2499" spans="1:14" x14ac:dyDescent="0.15">
      <c r="A2499" t="s">
        <v>15017</v>
      </c>
      <c r="B2499" t="s">
        <v>15020</v>
      </c>
      <c r="C2499" t="s">
        <v>15033</v>
      </c>
      <c r="D2499" t="s">
        <v>23</v>
      </c>
      <c r="E2499" t="s">
        <v>15034</v>
      </c>
      <c r="F2499" s="5">
        <v>3440000</v>
      </c>
      <c r="G2499" s="5">
        <v>3440000</v>
      </c>
      <c r="H2499" s="4">
        <v>2743000</v>
      </c>
      <c r="I2499" s="2">
        <f t="shared" si="188"/>
        <v>0.79738372093023258</v>
      </c>
      <c r="J2499" s="4">
        <v>2750000</v>
      </c>
      <c r="K2499" s="2">
        <f t="shared" si="189"/>
        <v>0.79941860465116277</v>
      </c>
      <c r="L2499" t="s">
        <v>10639</v>
      </c>
      <c r="M2499" t="s">
        <v>41</v>
      </c>
      <c r="N2499" t="b">
        <f t="shared" si="190"/>
        <v>0</v>
      </c>
    </row>
    <row r="2500" spans="1:14" x14ac:dyDescent="0.15">
      <c r="A2500" t="s">
        <v>15017</v>
      </c>
      <c r="B2500" t="s">
        <v>15020</v>
      </c>
      <c r="C2500" t="s">
        <v>15035</v>
      </c>
      <c r="D2500" t="s">
        <v>23</v>
      </c>
      <c r="E2500" t="s">
        <v>15036</v>
      </c>
      <c r="F2500" s="5">
        <v>18526000</v>
      </c>
      <c r="G2500" s="5">
        <v>18526000</v>
      </c>
      <c r="H2500" s="4">
        <v>14742000</v>
      </c>
      <c r="I2500" s="2">
        <f t="shared" ref="I2500:I2563" si="192">H2500/G2500</f>
        <v>0.79574651840656374</v>
      </c>
      <c r="J2500" s="4">
        <v>16000000</v>
      </c>
      <c r="K2500" s="2">
        <f t="shared" ref="K2500:K2563" si="193">J2500/G2500</f>
        <v>0.86365108496167553</v>
      </c>
      <c r="L2500" t="s">
        <v>1458</v>
      </c>
      <c r="M2500" t="s">
        <v>31</v>
      </c>
      <c r="N2500" t="b">
        <f t="shared" ref="N2500:N2563" si="194">F2500&lt;&gt;G2500</f>
        <v>0</v>
      </c>
    </row>
    <row r="2501" spans="1:14" x14ac:dyDescent="0.15">
      <c r="A2501" t="s">
        <v>15017</v>
      </c>
      <c r="B2501" t="s">
        <v>15020</v>
      </c>
      <c r="C2501" t="s">
        <v>15037</v>
      </c>
      <c r="D2501" t="s">
        <v>118</v>
      </c>
      <c r="E2501" t="s">
        <v>15038</v>
      </c>
      <c r="F2501" s="5">
        <v>14240000</v>
      </c>
      <c r="G2501" s="5">
        <v>14240000</v>
      </c>
      <c r="H2501" s="4">
        <v>11337000</v>
      </c>
      <c r="I2501" s="2">
        <f t="shared" si="192"/>
        <v>0.79613764044943824</v>
      </c>
      <c r="J2501" s="4">
        <v>11360000</v>
      </c>
      <c r="K2501" s="2">
        <f t="shared" si="193"/>
        <v>0.797752808988764</v>
      </c>
      <c r="L2501" t="s">
        <v>231</v>
      </c>
      <c r="M2501" t="s">
        <v>31</v>
      </c>
      <c r="N2501" t="b">
        <f t="shared" si="194"/>
        <v>0</v>
      </c>
    </row>
    <row r="2502" spans="1:14" x14ac:dyDescent="0.15">
      <c r="A2502" t="s">
        <v>15017</v>
      </c>
      <c r="B2502" t="s">
        <v>15020</v>
      </c>
      <c r="C2502" t="s">
        <v>15039</v>
      </c>
      <c r="D2502" t="s">
        <v>23</v>
      </c>
      <c r="E2502" t="s">
        <v>15040</v>
      </c>
      <c r="F2502" s="5">
        <v>4676000</v>
      </c>
      <c r="G2502" s="5">
        <v>4676000</v>
      </c>
      <c r="H2502" s="4">
        <v>3737000</v>
      </c>
      <c r="I2502" s="2">
        <f t="shared" si="192"/>
        <v>0.79918733960650123</v>
      </c>
      <c r="J2502" s="4">
        <v>4470000</v>
      </c>
      <c r="K2502" s="2">
        <f t="shared" si="193"/>
        <v>0.95594525235243799</v>
      </c>
      <c r="L2502" t="s">
        <v>1262</v>
      </c>
      <c r="M2502" t="s">
        <v>104</v>
      </c>
      <c r="N2502" t="b">
        <f t="shared" si="194"/>
        <v>0</v>
      </c>
    </row>
    <row r="2503" spans="1:14" x14ac:dyDescent="0.15">
      <c r="A2503" t="s">
        <v>15017</v>
      </c>
      <c r="B2503" t="s">
        <v>15020</v>
      </c>
      <c r="C2503" t="s">
        <v>15041</v>
      </c>
      <c r="D2503" t="s">
        <v>23</v>
      </c>
      <c r="E2503" t="s">
        <v>15042</v>
      </c>
      <c r="F2503" s="5">
        <v>35822000</v>
      </c>
      <c r="G2503" s="5">
        <v>35822000</v>
      </c>
      <c r="H2503" s="4">
        <v>28499000</v>
      </c>
      <c r="I2503" s="2">
        <f t="shared" si="192"/>
        <v>0.79557255317961029</v>
      </c>
      <c r="J2503" s="4">
        <v>31500000</v>
      </c>
      <c r="K2503" s="2">
        <f t="shared" si="193"/>
        <v>0.87934788677349118</v>
      </c>
      <c r="L2503" t="s">
        <v>239</v>
      </c>
      <c r="M2503" t="s">
        <v>31</v>
      </c>
      <c r="N2503" t="b">
        <f t="shared" si="194"/>
        <v>0</v>
      </c>
    </row>
    <row r="2504" spans="1:14" x14ac:dyDescent="0.15">
      <c r="A2504" t="s">
        <v>15017</v>
      </c>
      <c r="B2504" t="s">
        <v>15020</v>
      </c>
      <c r="C2504" t="s">
        <v>15043</v>
      </c>
      <c r="D2504" t="s">
        <v>23</v>
      </c>
      <c r="E2504" t="s">
        <v>15044</v>
      </c>
      <c r="F2504" s="5">
        <v>12539000</v>
      </c>
      <c r="G2504" s="5">
        <v>12539000</v>
      </c>
      <c r="H2504" s="4">
        <v>9979000</v>
      </c>
      <c r="I2504" s="2">
        <f t="shared" si="192"/>
        <v>0.79583698859558183</v>
      </c>
      <c r="J2504" s="4">
        <v>10066000</v>
      </c>
      <c r="K2504" s="2">
        <f t="shared" si="193"/>
        <v>0.80277534093627878</v>
      </c>
      <c r="L2504" t="s">
        <v>298</v>
      </c>
      <c r="M2504" t="s">
        <v>31</v>
      </c>
      <c r="N2504" t="b">
        <f t="shared" si="194"/>
        <v>0</v>
      </c>
    </row>
    <row r="2505" spans="1:14" x14ac:dyDescent="0.15">
      <c r="A2505" t="s">
        <v>15017</v>
      </c>
      <c r="B2505" t="s">
        <v>15020</v>
      </c>
      <c r="C2505" t="s">
        <v>15045</v>
      </c>
      <c r="D2505" t="s">
        <v>23</v>
      </c>
      <c r="E2505" t="s">
        <v>15046</v>
      </c>
      <c r="F2505" s="5">
        <v>16541000</v>
      </c>
      <c r="G2505" s="5">
        <v>16541000</v>
      </c>
      <c r="H2505" s="4">
        <v>13191000</v>
      </c>
      <c r="I2505" s="2">
        <f t="shared" si="192"/>
        <v>0.7974729460129375</v>
      </c>
      <c r="J2505" s="4">
        <v>13191000</v>
      </c>
      <c r="K2505" s="2">
        <f t="shared" si="193"/>
        <v>0.7974729460129375</v>
      </c>
      <c r="L2505" t="s">
        <v>64</v>
      </c>
      <c r="M2505" t="s">
        <v>31</v>
      </c>
      <c r="N2505" t="b">
        <f t="shared" si="194"/>
        <v>0</v>
      </c>
    </row>
    <row r="2506" spans="1:14" x14ac:dyDescent="0.15">
      <c r="A2506" t="s">
        <v>15017</v>
      </c>
      <c r="B2506" t="s">
        <v>15020</v>
      </c>
      <c r="C2506" t="s">
        <v>15047</v>
      </c>
      <c r="D2506" t="s">
        <v>118</v>
      </c>
      <c r="E2506" t="s">
        <v>15048</v>
      </c>
      <c r="F2506" s="5">
        <v>13088600</v>
      </c>
      <c r="G2506" s="5">
        <v>13088600</v>
      </c>
      <c r="H2506" s="4">
        <v>10430000</v>
      </c>
      <c r="I2506" s="2">
        <f t="shared" si="192"/>
        <v>0.79687667130174356</v>
      </c>
      <c r="J2506" s="4">
        <v>10545000</v>
      </c>
      <c r="K2506" s="2">
        <f t="shared" si="193"/>
        <v>0.80566294332472532</v>
      </c>
      <c r="L2506" t="s">
        <v>15049</v>
      </c>
      <c r="M2506" t="s">
        <v>183</v>
      </c>
      <c r="N2506" t="b">
        <f t="shared" si="194"/>
        <v>0</v>
      </c>
    </row>
    <row r="2507" spans="1:14" x14ac:dyDescent="0.15">
      <c r="A2507" t="s">
        <v>15017</v>
      </c>
      <c r="B2507" t="s">
        <v>15020</v>
      </c>
      <c r="C2507" t="s">
        <v>15050</v>
      </c>
      <c r="D2507" t="s">
        <v>118</v>
      </c>
      <c r="E2507" t="s">
        <v>15051</v>
      </c>
      <c r="F2507" s="5">
        <v>4780000</v>
      </c>
      <c r="G2507" s="5">
        <v>4780000</v>
      </c>
      <c r="H2507" s="4">
        <v>3813000</v>
      </c>
      <c r="I2507" s="2">
        <f t="shared" si="192"/>
        <v>0.79769874476987446</v>
      </c>
      <c r="J2507" s="4">
        <v>4400000</v>
      </c>
      <c r="K2507" s="2">
        <f t="shared" si="193"/>
        <v>0.92050209205020916</v>
      </c>
      <c r="L2507" t="s">
        <v>10277</v>
      </c>
      <c r="M2507" t="s">
        <v>432</v>
      </c>
      <c r="N2507" t="b">
        <f t="shared" si="194"/>
        <v>0</v>
      </c>
    </row>
    <row r="2508" spans="1:14" x14ac:dyDescent="0.15">
      <c r="A2508" t="s">
        <v>15017</v>
      </c>
      <c r="B2508" t="s">
        <v>15020</v>
      </c>
      <c r="C2508" t="s">
        <v>15052</v>
      </c>
      <c r="D2508" t="s">
        <v>23</v>
      </c>
      <c r="E2508" t="s">
        <v>15053</v>
      </c>
      <c r="F2508" s="5">
        <v>12057000</v>
      </c>
      <c r="G2508" s="5">
        <v>12057000</v>
      </c>
      <c r="H2508" s="4">
        <v>9594000</v>
      </c>
      <c r="I2508" s="2">
        <f t="shared" si="192"/>
        <v>0.79572032843991047</v>
      </c>
      <c r="J2508" s="4">
        <v>11000000</v>
      </c>
      <c r="K2508" s="2">
        <f t="shared" si="193"/>
        <v>0.91233308451521933</v>
      </c>
      <c r="L2508" t="s">
        <v>2406</v>
      </c>
      <c r="M2508" t="s">
        <v>31</v>
      </c>
      <c r="N2508" t="b">
        <f t="shared" si="194"/>
        <v>0</v>
      </c>
    </row>
    <row r="2509" spans="1:14" x14ac:dyDescent="0.15">
      <c r="A2509" t="s">
        <v>15017</v>
      </c>
      <c r="B2509" t="s">
        <v>15020</v>
      </c>
      <c r="C2509" t="s">
        <v>15054</v>
      </c>
      <c r="D2509" t="s">
        <v>118</v>
      </c>
      <c r="E2509" t="s">
        <v>15055</v>
      </c>
      <c r="F2509" s="5">
        <v>14264000</v>
      </c>
      <c r="G2509" s="5">
        <v>14264000</v>
      </c>
      <c r="H2509" s="4">
        <v>11353000</v>
      </c>
      <c r="I2509" s="2">
        <f t="shared" si="192"/>
        <v>0.79591979809310154</v>
      </c>
      <c r="J2509" s="4">
        <v>11540000</v>
      </c>
      <c r="K2509" s="2">
        <f t="shared" si="193"/>
        <v>0.80902972518227712</v>
      </c>
      <c r="L2509" t="s">
        <v>231</v>
      </c>
      <c r="M2509" t="s">
        <v>353</v>
      </c>
      <c r="N2509" t="b">
        <f t="shared" si="194"/>
        <v>0</v>
      </c>
    </row>
    <row r="2510" spans="1:14" x14ac:dyDescent="0.15">
      <c r="A2510" t="s">
        <v>15017</v>
      </c>
      <c r="B2510" t="s">
        <v>15020</v>
      </c>
      <c r="C2510" t="s">
        <v>15056</v>
      </c>
      <c r="D2510" t="s">
        <v>118</v>
      </c>
      <c r="E2510" t="s">
        <v>15057</v>
      </c>
      <c r="F2510" s="5">
        <v>7345000</v>
      </c>
      <c r="G2510" s="5">
        <v>7345000</v>
      </c>
      <c r="H2510" s="4">
        <v>5829000</v>
      </c>
      <c r="I2510" s="2">
        <f t="shared" si="192"/>
        <v>0.79360108917631045</v>
      </c>
      <c r="J2510" s="4">
        <v>5829000</v>
      </c>
      <c r="K2510" s="2">
        <f t="shared" si="193"/>
        <v>0.79360108917631045</v>
      </c>
      <c r="L2510" t="s">
        <v>1045</v>
      </c>
      <c r="M2510" t="s">
        <v>290</v>
      </c>
      <c r="N2510" t="b">
        <f t="shared" si="194"/>
        <v>0</v>
      </c>
    </row>
    <row r="2511" spans="1:14" x14ac:dyDescent="0.15">
      <c r="A2511" t="s">
        <v>15017</v>
      </c>
      <c r="B2511" t="s">
        <v>15020</v>
      </c>
      <c r="C2511" t="s">
        <v>15058</v>
      </c>
      <c r="D2511" t="s">
        <v>23</v>
      </c>
      <c r="E2511" t="s">
        <v>15059</v>
      </c>
      <c r="F2511" s="5">
        <v>16244000</v>
      </c>
      <c r="G2511" s="5">
        <v>16244000</v>
      </c>
      <c r="H2511" s="4">
        <v>12953000</v>
      </c>
      <c r="I2511" s="2">
        <f t="shared" si="192"/>
        <v>0.7974021177049988</v>
      </c>
      <c r="J2511" s="4">
        <v>13018000</v>
      </c>
      <c r="K2511" s="2">
        <f t="shared" si="193"/>
        <v>0.8014035951736026</v>
      </c>
      <c r="L2511" t="s">
        <v>1558</v>
      </c>
      <c r="M2511" t="s">
        <v>31</v>
      </c>
      <c r="N2511" t="b">
        <f t="shared" si="194"/>
        <v>0</v>
      </c>
    </row>
    <row r="2512" spans="1:14" x14ac:dyDescent="0.15">
      <c r="A2512" t="s">
        <v>15017</v>
      </c>
      <c r="B2512" t="s">
        <v>15020</v>
      </c>
      <c r="C2512" t="s">
        <v>15060</v>
      </c>
      <c r="D2512" t="s">
        <v>118</v>
      </c>
      <c r="E2512" t="s">
        <v>15061</v>
      </c>
      <c r="F2512" s="5">
        <v>10550000</v>
      </c>
      <c r="G2512" s="5">
        <v>10550000</v>
      </c>
      <c r="H2512" s="4">
        <v>8401000</v>
      </c>
      <c r="I2512" s="2">
        <f t="shared" si="192"/>
        <v>0.79630331753554506</v>
      </c>
      <c r="J2512" s="4">
        <v>9800000</v>
      </c>
      <c r="K2512" s="2">
        <f t="shared" si="193"/>
        <v>0.92890995260663511</v>
      </c>
      <c r="L2512" t="s">
        <v>10326</v>
      </c>
      <c r="M2512" t="s">
        <v>139</v>
      </c>
      <c r="N2512" t="b">
        <f t="shared" si="194"/>
        <v>0</v>
      </c>
    </row>
    <row r="2513" spans="1:14" x14ac:dyDescent="0.15">
      <c r="A2513" t="s">
        <v>15017</v>
      </c>
      <c r="B2513" t="s">
        <v>15020</v>
      </c>
      <c r="C2513" t="s">
        <v>15062</v>
      </c>
      <c r="D2513" t="s">
        <v>118</v>
      </c>
      <c r="E2513" t="s">
        <v>15063</v>
      </c>
      <c r="F2513" s="5">
        <v>9550000</v>
      </c>
      <c r="G2513" s="5">
        <v>9550000</v>
      </c>
      <c r="H2513" s="4">
        <v>7600000</v>
      </c>
      <c r="I2513" s="2">
        <f t="shared" si="192"/>
        <v>0.79581151832460728</v>
      </c>
      <c r="J2513" s="4">
        <v>7700000</v>
      </c>
      <c r="K2513" s="2">
        <f t="shared" si="193"/>
        <v>0.80628272251308897</v>
      </c>
      <c r="L2513" t="s">
        <v>15064</v>
      </c>
      <c r="M2513" t="s">
        <v>432</v>
      </c>
      <c r="N2513" t="b">
        <f t="shared" si="194"/>
        <v>0</v>
      </c>
    </row>
    <row r="2514" spans="1:14" x14ac:dyDescent="0.15">
      <c r="A2514" t="s">
        <v>15017</v>
      </c>
      <c r="B2514" t="s">
        <v>15020</v>
      </c>
      <c r="C2514" t="s">
        <v>15065</v>
      </c>
      <c r="D2514" t="s">
        <v>23</v>
      </c>
      <c r="E2514" t="s">
        <v>15066</v>
      </c>
      <c r="F2514" s="5">
        <v>14570000</v>
      </c>
      <c r="G2514" s="5">
        <v>14570000</v>
      </c>
      <c r="H2514" s="4">
        <v>11595000</v>
      </c>
      <c r="I2514" s="2">
        <f t="shared" si="192"/>
        <v>0.79581331503088537</v>
      </c>
      <c r="K2514" s="2">
        <f t="shared" si="193"/>
        <v>0</v>
      </c>
      <c r="M2514" t="s">
        <v>31</v>
      </c>
      <c r="N2514" t="b">
        <f t="shared" si="194"/>
        <v>0</v>
      </c>
    </row>
    <row r="2515" spans="1:14" x14ac:dyDescent="0.15">
      <c r="A2515" t="s">
        <v>15017</v>
      </c>
      <c r="B2515" t="s">
        <v>15069</v>
      </c>
      <c r="C2515" t="s">
        <v>15067</v>
      </c>
      <c r="D2515" t="s">
        <v>118</v>
      </c>
      <c r="E2515" t="s">
        <v>15068</v>
      </c>
      <c r="F2515" s="5">
        <v>9500000</v>
      </c>
      <c r="G2515" s="5">
        <v>9500000</v>
      </c>
      <c r="H2515" s="4">
        <v>7574000</v>
      </c>
      <c r="I2515" s="2">
        <f t="shared" si="192"/>
        <v>0.7972631578947369</v>
      </c>
      <c r="J2515" s="4">
        <v>7649260</v>
      </c>
      <c r="K2515" s="2">
        <f t="shared" si="193"/>
        <v>0.80518526315789474</v>
      </c>
      <c r="L2515" t="s">
        <v>15049</v>
      </c>
      <c r="M2515" t="s">
        <v>432</v>
      </c>
      <c r="N2515" t="b">
        <f t="shared" si="194"/>
        <v>0</v>
      </c>
    </row>
    <row r="2516" spans="1:14" x14ac:dyDescent="0.15">
      <c r="A2516" t="s">
        <v>15017</v>
      </c>
      <c r="B2516" t="s">
        <v>15069</v>
      </c>
      <c r="C2516" t="s">
        <v>15070</v>
      </c>
      <c r="D2516" t="s">
        <v>118</v>
      </c>
      <c r="E2516" t="s">
        <v>15071</v>
      </c>
      <c r="F2516" s="5">
        <v>8484000</v>
      </c>
      <c r="G2516" s="5">
        <v>8484000</v>
      </c>
      <c r="H2516" s="4">
        <v>6747000</v>
      </c>
      <c r="I2516" s="2">
        <f t="shared" si="192"/>
        <v>0.79526166902404527</v>
      </c>
      <c r="J2516" s="4">
        <v>7940000</v>
      </c>
      <c r="K2516" s="2">
        <f t="shared" si="193"/>
        <v>0.93587930221593585</v>
      </c>
      <c r="L2516" t="s">
        <v>5068</v>
      </c>
      <c r="M2516" t="s">
        <v>174</v>
      </c>
      <c r="N2516" t="b">
        <f t="shared" si="194"/>
        <v>0</v>
      </c>
    </row>
    <row r="2517" spans="1:14" x14ac:dyDescent="0.15">
      <c r="A2517" t="s">
        <v>15017</v>
      </c>
      <c r="B2517" t="s">
        <v>15069</v>
      </c>
      <c r="C2517" t="s">
        <v>15072</v>
      </c>
      <c r="D2517" t="s">
        <v>23</v>
      </c>
      <c r="E2517" t="s">
        <v>6554</v>
      </c>
      <c r="F2517" s="5">
        <v>3684000</v>
      </c>
      <c r="G2517" s="5">
        <v>3684000</v>
      </c>
      <c r="H2517" s="4">
        <v>2936000</v>
      </c>
      <c r="I2517" s="2">
        <f t="shared" si="192"/>
        <v>0.79695982627578721</v>
      </c>
      <c r="J2517" s="4">
        <v>3580000</v>
      </c>
      <c r="K2517" s="2">
        <f t="shared" si="193"/>
        <v>0.97176981541802387</v>
      </c>
      <c r="L2517" t="s">
        <v>5068</v>
      </c>
      <c r="M2517" t="s">
        <v>80</v>
      </c>
      <c r="N2517" t="b">
        <f t="shared" si="194"/>
        <v>0</v>
      </c>
    </row>
    <row r="2518" spans="1:14" x14ac:dyDescent="0.15">
      <c r="A2518" t="s">
        <v>15017</v>
      </c>
      <c r="B2518" t="s">
        <v>15069</v>
      </c>
      <c r="C2518" t="s">
        <v>15073</v>
      </c>
      <c r="D2518" t="s">
        <v>23</v>
      </c>
      <c r="E2518" t="s">
        <v>15074</v>
      </c>
      <c r="F2518" s="5">
        <v>2062000</v>
      </c>
      <c r="G2518" s="5">
        <v>2062000</v>
      </c>
      <c r="H2518" s="4">
        <v>1640000</v>
      </c>
      <c r="I2518" s="2">
        <f t="shared" si="192"/>
        <v>0.79534432589718718</v>
      </c>
      <c r="J2518" s="4">
        <v>1830000</v>
      </c>
      <c r="K2518" s="2">
        <f t="shared" si="193"/>
        <v>0.8874878758486906</v>
      </c>
      <c r="L2518" t="s">
        <v>15027</v>
      </c>
      <c r="M2518" t="s">
        <v>80</v>
      </c>
      <c r="N2518" t="b">
        <f t="shared" si="194"/>
        <v>0</v>
      </c>
    </row>
    <row r="2519" spans="1:14" x14ac:dyDescent="0.15">
      <c r="A2519" t="s">
        <v>15017</v>
      </c>
      <c r="B2519" t="s">
        <v>15020</v>
      </c>
      <c r="C2519" t="s">
        <v>15075</v>
      </c>
      <c r="D2519" t="s">
        <v>23</v>
      </c>
      <c r="E2519" t="s">
        <v>15076</v>
      </c>
      <c r="F2519" s="5">
        <v>11320000</v>
      </c>
      <c r="G2519" s="5">
        <v>11320000</v>
      </c>
      <c r="H2519" s="4">
        <v>9013000</v>
      </c>
      <c r="I2519" s="2">
        <f t="shared" si="192"/>
        <v>0.79620141342756179</v>
      </c>
      <c r="K2519" s="2">
        <f t="shared" si="193"/>
        <v>0</v>
      </c>
      <c r="M2519" t="s">
        <v>31</v>
      </c>
      <c r="N2519" t="b">
        <f t="shared" si="194"/>
        <v>0</v>
      </c>
    </row>
    <row r="2520" spans="1:14" x14ac:dyDescent="0.15">
      <c r="A2520" t="s">
        <v>15017</v>
      </c>
      <c r="B2520" t="s">
        <v>15069</v>
      </c>
      <c r="C2520" t="s">
        <v>15077</v>
      </c>
      <c r="D2520" t="s">
        <v>118</v>
      </c>
      <c r="E2520" t="s">
        <v>15078</v>
      </c>
      <c r="F2520" s="5">
        <v>14306000</v>
      </c>
      <c r="G2520" s="5">
        <v>14306000</v>
      </c>
      <c r="H2520" s="4">
        <v>11301000</v>
      </c>
      <c r="I2520" s="2">
        <f t="shared" si="192"/>
        <v>0.7899482734516986</v>
      </c>
      <c r="J2520" s="4">
        <v>11322000</v>
      </c>
      <c r="K2520" s="2">
        <f t="shared" si="193"/>
        <v>0.79141618901160349</v>
      </c>
      <c r="L2520" t="s">
        <v>731</v>
      </c>
      <c r="M2520" t="s">
        <v>80</v>
      </c>
      <c r="N2520" t="b">
        <f t="shared" si="194"/>
        <v>0</v>
      </c>
    </row>
    <row r="2521" spans="1:14" x14ac:dyDescent="0.15">
      <c r="A2521" t="s">
        <v>15017</v>
      </c>
      <c r="B2521" t="s">
        <v>15069</v>
      </c>
      <c r="C2521" t="s">
        <v>15079</v>
      </c>
      <c r="D2521" t="s">
        <v>118</v>
      </c>
      <c r="E2521" t="s">
        <v>15080</v>
      </c>
      <c r="F2521" s="5">
        <v>11111000</v>
      </c>
      <c r="G2521" s="5">
        <v>11111000</v>
      </c>
      <c r="H2521" s="4">
        <v>8818000</v>
      </c>
      <c r="I2521" s="2">
        <f t="shared" si="192"/>
        <v>0.79362793627936279</v>
      </c>
      <c r="J2521" s="4">
        <v>8818000</v>
      </c>
      <c r="K2521" s="2">
        <f t="shared" si="193"/>
        <v>0.79362793627936279</v>
      </c>
      <c r="L2521" t="s">
        <v>15081</v>
      </c>
      <c r="M2521" t="s">
        <v>80</v>
      </c>
      <c r="N2521" t="b">
        <f t="shared" si="194"/>
        <v>0</v>
      </c>
    </row>
    <row r="2522" spans="1:14" x14ac:dyDescent="0.15">
      <c r="A2522" t="s">
        <v>15017</v>
      </c>
      <c r="B2522" t="s">
        <v>15069</v>
      </c>
      <c r="C2522" t="s">
        <v>15082</v>
      </c>
      <c r="D2522" t="s">
        <v>23</v>
      </c>
      <c r="E2522" t="s">
        <v>15083</v>
      </c>
      <c r="F2522" s="5">
        <v>1549000</v>
      </c>
      <c r="G2522" s="5">
        <v>1549000</v>
      </c>
      <c r="H2522" s="4">
        <v>1236000</v>
      </c>
      <c r="I2522" s="2">
        <f t="shared" si="192"/>
        <v>0.79793415106520338</v>
      </c>
      <c r="J2522" s="4">
        <v>1290000</v>
      </c>
      <c r="K2522" s="2">
        <f t="shared" si="193"/>
        <v>0.83279535183989672</v>
      </c>
      <c r="L2522" t="s">
        <v>15027</v>
      </c>
      <c r="M2522" t="s">
        <v>80</v>
      </c>
      <c r="N2522" t="b">
        <f t="shared" si="194"/>
        <v>0</v>
      </c>
    </row>
    <row r="2523" spans="1:14" x14ac:dyDescent="0.15">
      <c r="A2523" t="s">
        <v>15017</v>
      </c>
      <c r="B2523" t="s">
        <v>15069</v>
      </c>
      <c r="C2523" t="s">
        <v>15084</v>
      </c>
      <c r="D2523" t="s">
        <v>23</v>
      </c>
      <c r="E2523" t="s">
        <v>15085</v>
      </c>
      <c r="F2523" s="5">
        <v>28380000</v>
      </c>
      <c r="G2523" s="5">
        <v>28380000</v>
      </c>
      <c r="H2523" s="4">
        <v>22587000</v>
      </c>
      <c r="I2523" s="2">
        <f t="shared" si="192"/>
        <v>0.79587737843551798</v>
      </c>
      <c r="J2523" s="4">
        <v>22624000</v>
      </c>
      <c r="K2523" s="2">
        <f t="shared" si="193"/>
        <v>0.79718111346018328</v>
      </c>
      <c r="L2523" t="s">
        <v>540</v>
      </c>
      <c r="M2523" t="s">
        <v>31</v>
      </c>
      <c r="N2523" t="b">
        <f t="shared" si="194"/>
        <v>0</v>
      </c>
    </row>
    <row r="2524" spans="1:14" x14ac:dyDescent="0.15">
      <c r="A2524" t="s">
        <v>15017</v>
      </c>
      <c r="B2524" t="s">
        <v>15069</v>
      </c>
      <c r="C2524" t="s">
        <v>15086</v>
      </c>
      <c r="D2524" t="s">
        <v>118</v>
      </c>
      <c r="E2524" t="s">
        <v>15087</v>
      </c>
      <c r="F2524" s="5">
        <v>6117000</v>
      </c>
      <c r="G2524" s="5">
        <v>6117000</v>
      </c>
      <c r="H2524" s="4">
        <v>4873000</v>
      </c>
      <c r="I2524" s="2">
        <f t="shared" si="192"/>
        <v>0.79663233611247342</v>
      </c>
      <c r="J2524" s="4">
        <v>5050000</v>
      </c>
      <c r="K2524" s="2">
        <f t="shared" si="193"/>
        <v>0.82556808893248323</v>
      </c>
      <c r="L2524" t="s">
        <v>9984</v>
      </c>
      <c r="M2524" t="s">
        <v>192</v>
      </c>
      <c r="N2524" t="b">
        <f t="shared" si="194"/>
        <v>0</v>
      </c>
    </row>
    <row r="2525" spans="1:14" x14ac:dyDescent="0.15">
      <c r="A2525" t="s">
        <v>15017</v>
      </c>
      <c r="B2525" t="s">
        <v>15069</v>
      </c>
      <c r="C2525" t="s">
        <v>15088</v>
      </c>
      <c r="D2525" t="s">
        <v>23</v>
      </c>
      <c r="E2525" t="s">
        <v>15089</v>
      </c>
      <c r="F2525" s="5">
        <v>3195000</v>
      </c>
      <c r="G2525" s="5">
        <v>3195000</v>
      </c>
      <c r="H2525" s="4">
        <v>2547000</v>
      </c>
      <c r="I2525" s="2">
        <f t="shared" si="192"/>
        <v>0.79718309859154934</v>
      </c>
      <c r="J2525" s="4">
        <v>2690000</v>
      </c>
      <c r="K2525" s="2">
        <f t="shared" si="193"/>
        <v>0.8419405320813772</v>
      </c>
      <c r="L2525" t="s">
        <v>5068</v>
      </c>
      <c r="M2525" t="s">
        <v>80</v>
      </c>
      <c r="N2525" t="b">
        <f t="shared" si="194"/>
        <v>0</v>
      </c>
    </row>
    <row r="2526" spans="1:14" x14ac:dyDescent="0.15">
      <c r="A2526" t="s">
        <v>15017</v>
      </c>
      <c r="B2526" t="s">
        <v>15069</v>
      </c>
      <c r="C2526" t="s">
        <v>15090</v>
      </c>
      <c r="D2526" t="s">
        <v>23</v>
      </c>
      <c r="E2526" t="s">
        <v>11144</v>
      </c>
      <c r="F2526" s="5">
        <v>2210000</v>
      </c>
      <c r="G2526" s="5">
        <v>2210000</v>
      </c>
      <c r="H2526" s="4">
        <v>1765000</v>
      </c>
      <c r="I2526" s="2">
        <f t="shared" si="192"/>
        <v>0.79864253393665163</v>
      </c>
      <c r="J2526" s="4">
        <v>1950000</v>
      </c>
      <c r="K2526" s="2">
        <f t="shared" si="193"/>
        <v>0.88235294117647056</v>
      </c>
      <c r="L2526" t="s">
        <v>10326</v>
      </c>
      <c r="M2526" t="s">
        <v>104</v>
      </c>
      <c r="N2526" t="b">
        <f t="shared" si="194"/>
        <v>0</v>
      </c>
    </row>
    <row r="2527" spans="1:14" x14ac:dyDescent="0.15">
      <c r="A2527" t="s">
        <v>15017</v>
      </c>
      <c r="B2527" t="s">
        <v>15069</v>
      </c>
      <c r="C2527" t="s">
        <v>15091</v>
      </c>
      <c r="D2527" t="s">
        <v>23</v>
      </c>
      <c r="E2527" t="s">
        <v>15092</v>
      </c>
      <c r="F2527" s="5">
        <v>9902000</v>
      </c>
      <c r="G2527" s="5">
        <v>9902000</v>
      </c>
      <c r="H2527" s="4">
        <v>7786000</v>
      </c>
      <c r="I2527" s="2">
        <f t="shared" si="192"/>
        <v>0.78630579680872548</v>
      </c>
      <c r="J2527" s="4">
        <v>7786000</v>
      </c>
      <c r="K2527" s="2">
        <f t="shared" si="193"/>
        <v>0.78630579680872548</v>
      </c>
      <c r="L2527" t="s">
        <v>332</v>
      </c>
      <c r="M2527" t="s">
        <v>31</v>
      </c>
      <c r="N2527" t="b">
        <f t="shared" si="194"/>
        <v>0</v>
      </c>
    </row>
    <row r="2528" spans="1:14" x14ac:dyDescent="0.15">
      <c r="A2528" t="s">
        <v>15017</v>
      </c>
      <c r="B2528" t="s">
        <v>15069</v>
      </c>
      <c r="C2528" t="s">
        <v>15093</v>
      </c>
      <c r="D2528" t="s">
        <v>23</v>
      </c>
      <c r="E2528" t="s">
        <v>12943</v>
      </c>
      <c r="F2528" s="5">
        <v>3748000</v>
      </c>
      <c r="G2528" s="5">
        <v>3748000</v>
      </c>
      <c r="H2528" s="4">
        <v>2998000</v>
      </c>
      <c r="I2528" s="2">
        <f t="shared" si="192"/>
        <v>0.79989327641408747</v>
      </c>
      <c r="J2528" s="4">
        <v>3650000</v>
      </c>
      <c r="K2528" s="2">
        <f t="shared" si="193"/>
        <v>0.97385272145144075</v>
      </c>
      <c r="L2528" t="s">
        <v>1262</v>
      </c>
      <c r="M2528" t="s">
        <v>80</v>
      </c>
      <c r="N2528" t="b">
        <f t="shared" si="194"/>
        <v>0</v>
      </c>
    </row>
    <row r="2529" spans="1:14" x14ac:dyDescent="0.15">
      <c r="A2529" t="s">
        <v>15017</v>
      </c>
      <c r="B2529" t="s">
        <v>15069</v>
      </c>
      <c r="C2529" t="s">
        <v>15094</v>
      </c>
      <c r="D2529" t="s">
        <v>23</v>
      </c>
      <c r="E2529" t="s">
        <v>12946</v>
      </c>
      <c r="F2529" s="5">
        <v>16890000</v>
      </c>
      <c r="G2529" s="5">
        <v>16890000</v>
      </c>
      <c r="H2529" s="4">
        <v>13445000</v>
      </c>
      <c r="I2529" s="2">
        <f t="shared" si="192"/>
        <v>0.79603315571343991</v>
      </c>
      <c r="J2529" s="4">
        <v>13500000</v>
      </c>
      <c r="K2529" s="2">
        <f t="shared" si="193"/>
        <v>0.79928952042628776</v>
      </c>
      <c r="L2529" t="s">
        <v>1458</v>
      </c>
      <c r="M2529" t="s">
        <v>31</v>
      </c>
      <c r="N2529" t="b">
        <f t="shared" si="194"/>
        <v>0</v>
      </c>
    </row>
    <row r="2530" spans="1:14" x14ac:dyDescent="0.15">
      <c r="A2530" t="s">
        <v>15017</v>
      </c>
      <c r="B2530" t="s">
        <v>15069</v>
      </c>
      <c r="C2530" t="s">
        <v>15095</v>
      </c>
      <c r="D2530" t="s">
        <v>23</v>
      </c>
      <c r="E2530" t="s">
        <v>15096</v>
      </c>
      <c r="F2530" s="5">
        <v>3992000</v>
      </c>
      <c r="G2530" s="5">
        <v>3992000</v>
      </c>
      <c r="H2530" s="4">
        <v>3181000</v>
      </c>
      <c r="I2530" s="2">
        <f t="shared" si="192"/>
        <v>0.79684368737474953</v>
      </c>
      <c r="J2530" s="4">
        <v>3640000</v>
      </c>
      <c r="K2530" s="2">
        <f t="shared" si="193"/>
        <v>0.9118236472945892</v>
      </c>
      <c r="L2530" t="s">
        <v>5068</v>
      </c>
      <c r="M2530" t="s">
        <v>80</v>
      </c>
      <c r="N2530" t="b">
        <f t="shared" si="194"/>
        <v>0</v>
      </c>
    </row>
    <row r="2531" spans="1:14" x14ac:dyDescent="0.15">
      <c r="A2531" t="s">
        <v>15017</v>
      </c>
      <c r="B2531" t="s">
        <v>15069</v>
      </c>
      <c r="C2531" t="s">
        <v>15097</v>
      </c>
      <c r="D2531" t="s">
        <v>23</v>
      </c>
      <c r="E2531" t="s">
        <v>15098</v>
      </c>
      <c r="F2531" s="5">
        <v>6921000</v>
      </c>
      <c r="G2531" s="5">
        <v>6921000</v>
      </c>
      <c r="H2531" s="4">
        <v>5524000</v>
      </c>
      <c r="I2531" s="2">
        <f t="shared" si="192"/>
        <v>0.79815055627799447</v>
      </c>
      <c r="J2531" s="4">
        <v>5558000</v>
      </c>
      <c r="K2531" s="2">
        <f t="shared" si="193"/>
        <v>0.80306314116457156</v>
      </c>
      <c r="L2531" t="s">
        <v>39</v>
      </c>
      <c r="M2531" t="s">
        <v>104</v>
      </c>
      <c r="N2531" t="b">
        <f t="shared" si="194"/>
        <v>0</v>
      </c>
    </row>
    <row r="2532" spans="1:14" x14ac:dyDescent="0.15">
      <c r="A2532" t="s">
        <v>15017</v>
      </c>
      <c r="B2532" t="s">
        <v>15069</v>
      </c>
      <c r="C2532" t="s">
        <v>15099</v>
      </c>
      <c r="D2532" t="s">
        <v>118</v>
      </c>
      <c r="E2532" t="s">
        <v>15100</v>
      </c>
      <c r="F2532" s="5">
        <v>11668000</v>
      </c>
      <c r="G2532" s="5">
        <v>11668000</v>
      </c>
      <c r="H2532" s="4">
        <v>9334000</v>
      </c>
      <c r="I2532" s="2">
        <f t="shared" si="192"/>
        <v>0.79996571820363382</v>
      </c>
      <c r="J2532" s="4">
        <v>10760000</v>
      </c>
      <c r="K2532" s="2">
        <f t="shared" si="193"/>
        <v>0.9221803222488858</v>
      </c>
      <c r="L2532" t="s">
        <v>64</v>
      </c>
      <c r="M2532" t="s">
        <v>1015</v>
      </c>
      <c r="N2532" t="b">
        <f t="shared" si="194"/>
        <v>0</v>
      </c>
    </row>
    <row r="2533" spans="1:14" x14ac:dyDescent="0.15">
      <c r="A2533" t="s">
        <v>15017</v>
      </c>
      <c r="B2533" t="s">
        <v>15069</v>
      </c>
      <c r="C2533" t="s">
        <v>15101</v>
      </c>
      <c r="D2533" t="s">
        <v>23</v>
      </c>
      <c r="E2533" t="s">
        <v>15102</v>
      </c>
      <c r="F2533" s="5">
        <v>8633000</v>
      </c>
      <c r="G2533" s="5">
        <v>8633000</v>
      </c>
      <c r="H2533" s="4">
        <v>6897000</v>
      </c>
      <c r="I2533" s="2">
        <f t="shared" si="192"/>
        <v>0.79891115487084441</v>
      </c>
      <c r="J2533" s="4">
        <v>6944000</v>
      </c>
      <c r="K2533" s="2">
        <f t="shared" si="193"/>
        <v>0.80435538051662225</v>
      </c>
      <c r="L2533" t="s">
        <v>332</v>
      </c>
      <c r="M2533" t="s">
        <v>104</v>
      </c>
      <c r="N2533" t="b">
        <f t="shared" si="194"/>
        <v>0</v>
      </c>
    </row>
    <row r="2534" spans="1:14" x14ac:dyDescent="0.15">
      <c r="A2534" t="s">
        <v>15017</v>
      </c>
      <c r="B2534" t="s">
        <v>15069</v>
      </c>
      <c r="C2534" t="s">
        <v>15103</v>
      </c>
      <c r="D2534" t="s">
        <v>23</v>
      </c>
      <c r="E2534" t="s">
        <v>15104</v>
      </c>
      <c r="F2534" s="5">
        <v>10205000</v>
      </c>
      <c r="G2534" s="5">
        <v>10205000</v>
      </c>
      <c r="H2534" s="4">
        <v>8120000</v>
      </c>
      <c r="I2534" s="2">
        <f t="shared" si="192"/>
        <v>0.79568838804507591</v>
      </c>
      <c r="J2534" s="4">
        <v>9870000</v>
      </c>
      <c r="K2534" s="2">
        <f t="shared" si="193"/>
        <v>0.9671729544341009</v>
      </c>
      <c r="L2534" t="s">
        <v>298</v>
      </c>
      <c r="M2534" t="s">
        <v>31</v>
      </c>
      <c r="N2534" t="b">
        <f t="shared" si="194"/>
        <v>0</v>
      </c>
    </row>
    <row r="2535" spans="1:14" x14ac:dyDescent="0.15">
      <c r="A2535" t="s">
        <v>15017</v>
      </c>
      <c r="B2535" t="s">
        <v>15069</v>
      </c>
      <c r="C2535" t="s">
        <v>15105</v>
      </c>
      <c r="D2535" t="s">
        <v>118</v>
      </c>
      <c r="E2535" t="s">
        <v>15106</v>
      </c>
      <c r="F2535" s="5">
        <v>14932000</v>
      </c>
      <c r="G2535" s="5">
        <v>14932000</v>
      </c>
      <c r="H2535" s="4">
        <v>11888000</v>
      </c>
      <c r="I2535" s="2">
        <f t="shared" si="192"/>
        <v>0.79614251272435044</v>
      </c>
      <c r="J2535" s="4">
        <v>11900000</v>
      </c>
      <c r="K2535" s="2">
        <f t="shared" si="193"/>
        <v>0.79694615590677742</v>
      </c>
      <c r="L2535" t="s">
        <v>1139</v>
      </c>
      <c r="M2535" t="s">
        <v>248</v>
      </c>
      <c r="N2535" t="b">
        <f t="shared" si="194"/>
        <v>0</v>
      </c>
    </row>
    <row r="2536" spans="1:14" x14ac:dyDescent="0.15">
      <c r="A2536" t="s">
        <v>15017</v>
      </c>
      <c r="B2536" t="s">
        <v>15069</v>
      </c>
      <c r="C2536" t="s">
        <v>15107</v>
      </c>
      <c r="D2536" t="s">
        <v>118</v>
      </c>
      <c r="E2536" t="s">
        <v>15108</v>
      </c>
      <c r="F2536" s="5">
        <v>12289000</v>
      </c>
      <c r="G2536" s="5">
        <v>12289000</v>
      </c>
      <c r="H2536" s="4">
        <v>9783000</v>
      </c>
      <c r="I2536" s="2">
        <f t="shared" si="192"/>
        <v>0.79607779314834404</v>
      </c>
      <c r="J2536" s="4">
        <v>9785000</v>
      </c>
      <c r="K2536" s="2">
        <f t="shared" si="193"/>
        <v>0.79624054032061198</v>
      </c>
      <c r="L2536" t="s">
        <v>5415</v>
      </c>
      <c r="M2536" t="s">
        <v>361</v>
      </c>
      <c r="N2536" t="b">
        <f t="shared" si="194"/>
        <v>0</v>
      </c>
    </row>
    <row r="2537" spans="1:14" x14ac:dyDescent="0.15">
      <c r="A2537" t="s">
        <v>15017</v>
      </c>
      <c r="B2537" t="s">
        <v>15069</v>
      </c>
      <c r="C2537" t="s">
        <v>15109</v>
      </c>
      <c r="D2537" t="s">
        <v>118</v>
      </c>
      <c r="E2537" t="s">
        <v>15110</v>
      </c>
      <c r="F2537" s="5">
        <v>9291000</v>
      </c>
      <c r="G2537" s="5">
        <v>9291000</v>
      </c>
      <c r="H2537" s="4">
        <v>7398000</v>
      </c>
      <c r="I2537" s="2">
        <f t="shared" si="192"/>
        <v>0.79625443978043264</v>
      </c>
      <c r="J2537" s="4">
        <v>7399000</v>
      </c>
      <c r="K2537" s="2">
        <f t="shared" si="193"/>
        <v>0.79636207082122479</v>
      </c>
      <c r="L2537" t="s">
        <v>1384</v>
      </c>
      <c r="M2537" t="s">
        <v>361</v>
      </c>
      <c r="N2537" t="b">
        <f t="shared" si="194"/>
        <v>0</v>
      </c>
    </row>
    <row r="2538" spans="1:14" x14ac:dyDescent="0.15">
      <c r="A2538" t="s">
        <v>15017</v>
      </c>
      <c r="B2538" t="s">
        <v>15020</v>
      </c>
      <c r="C2538" t="s">
        <v>15111</v>
      </c>
      <c r="D2538" t="s">
        <v>23</v>
      </c>
      <c r="E2538" t="s">
        <v>15112</v>
      </c>
      <c r="F2538" s="5">
        <v>3820000</v>
      </c>
      <c r="G2538" s="5">
        <v>3820000</v>
      </c>
      <c r="H2538" s="4">
        <v>3045000</v>
      </c>
      <c r="I2538" s="2">
        <f t="shared" si="192"/>
        <v>0.79712041884816753</v>
      </c>
      <c r="K2538" s="2">
        <f t="shared" si="193"/>
        <v>0</v>
      </c>
      <c r="M2538" t="s">
        <v>80</v>
      </c>
      <c r="N2538" t="b">
        <f t="shared" si="194"/>
        <v>0</v>
      </c>
    </row>
    <row r="2539" spans="1:14" x14ac:dyDescent="0.15">
      <c r="A2539" t="s">
        <v>15017</v>
      </c>
      <c r="B2539" t="s">
        <v>15069</v>
      </c>
      <c r="C2539" t="s">
        <v>15113</v>
      </c>
      <c r="D2539" t="s">
        <v>23</v>
      </c>
      <c r="E2539" t="s">
        <v>15114</v>
      </c>
      <c r="F2539" s="5">
        <v>9710000</v>
      </c>
      <c r="G2539" s="5">
        <v>9710000</v>
      </c>
      <c r="H2539" s="4">
        <v>7731000</v>
      </c>
      <c r="I2539" s="2">
        <f t="shared" si="192"/>
        <v>0.79618949536560246</v>
      </c>
      <c r="J2539" s="4">
        <v>8880000</v>
      </c>
      <c r="K2539" s="2">
        <f t="shared" si="193"/>
        <v>0.91452111225540678</v>
      </c>
      <c r="L2539" t="s">
        <v>1384</v>
      </c>
      <c r="M2539" t="s">
        <v>31</v>
      </c>
      <c r="N2539" t="b">
        <f t="shared" si="194"/>
        <v>0</v>
      </c>
    </row>
    <row r="2540" spans="1:14" x14ac:dyDescent="0.15">
      <c r="A2540" t="s">
        <v>15017</v>
      </c>
      <c r="B2540" t="s">
        <v>15069</v>
      </c>
      <c r="C2540" t="s">
        <v>15115</v>
      </c>
      <c r="D2540" t="s">
        <v>118</v>
      </c>
      <c r="E2540" t="s">
        <v>15116</v>
      </c>
      <c r="F2540" s="5">
        <v>5252000</v>
      </c>
      <c r="G2540" s="5">
        <v>5252000</v>
      </c>
      <c r="H2540" s="4">
        <v>4184000</v>
      </c>
      <c r="I2540" s="2">
        <f t="shared" si="192"/>
        <v>0.7966488956587966</v>
      </c>
      <c r="J2540" s="4">
        <v>4470000</v>
      </c>
      <c r="K2540" s="2">
        <f t="shared" si="193"/>
        <v>0.8511043412033511</v>
      </c>
      <c r="L2540" t="s">
        <v>6901</v>
      </c>
      <c r="M2540" t="s">
        <v>313</v>
      </c>
      <c r="N2540" t="b">
        <f t="shared" si="194"/>
        <v>0</v>
      </c>
    </row>
    <row r="2541" spans="1:14" x14ac:dyDescent="0.15">
      <c r="A2541" t="s">
        <v>15017</v>
      </c>
      <c r="B2541" t="s">
        <v>15069</v>
      </c>
      <c r="C2541" t="s">
        <v>15117</v>
      </c>
      <c r="D2541" t="s">
        <v>118</v>
      </c>
      <c r="E2541" t="s">
        <v>15118</v>
      </c>
      <c r="F2541" s="5">
        <v>55542000</v>
      </c>
      <c r="G2541" s="5">
        <v>55542000</v>
      </c>
      <c r="H2541" s="4">
        <v>44196000</v>
      </c>
      <c r="I2541" s="2">
        <f t="shared" si="192"/>
        <v>0.79572215620611431</v>
      </c>
      <c r="J2541" s="4">
        <v>44205000</v>
      </c>
      <c r="K2541" s="2">
        <f t="shared" si="193"/>
        <v>0.79588419574376146</v>
      </c>
      <c r="L2541" t="s">
        <v>5068</v>
      </c>
      <c r="M2541" t="s">
        <v>812</v>
      </c>
      <c r="N2541" t="b">
        <f t="shared" si="194"/>
        <v>0</v>
      </c>
    </row>
    <row r="2542" spans="1:14" x14ac:dyDescent="0.15">
      <c r="A2542" t="s">
        <v>15119</v>
      </c>
      <c r="B2542" t="s">
        <v>15122</v>
      </c>
      <c r="C2542" t="s">
        <v>15120</v>
      </c>
      <c r="D2542" t="s">
        <v>23</v>
      </c>
      <c r="E2542" t="s">
        <v>15121</v>
      </c>
      <c r="F2542" s="5">
        <v>23356000</v>
      </c>
      <c r="G2542" s="5">
        <v>23356000</v>
      </c>
      <c r="H2542" s="4">
        <v>18743000</v>
      </c>
      <c r="I2542" s="2">
        <f t="shared" si="192"/>
        <v>0.8024918650453845</v>
      </c>
      <c r="J2542" s="4">
        <v>18743000</v>
      </c>
      <c r="K2542" s="2">
        <f t="shared" si="193"/>
        <v>0.8024918650453845</v>
      </c>
      <c r="L2542" t="s">
        <v>2729</v>
      </c>
      <c r="M2542" t="s">
        <v>248</v>
      </c>
      <c r="N2542" t="b">
        <f t="shared" si="194"/>
        <v>0</v>
      </c>
    </row>
    <row r="2543" spans="1:14" x14ac:dyDescent="0.15">
      <c r="A2543" t="s">
        <v>15119</v>
      </c>
      <c r="B2543" t="s">
        <v>15122</v>
      </c>
      <c r="C2543" t="s">
        <v>15123</v>
      </c>
      <c r="D2543" t="s">
        <v>23</v>
      </c>
      <c r="E2543" t="s">
        <v>15124</v>
      </c>
      <c r="F2543" s="5">
        <v>4900000</v>
      </c>
      <c r="G2543" s="5">
        <v>4900000</v>
      </c>
      <c r="H2543" s="4">
        <v>3935000</v>
      </c>
      <c r="I2543" s="2">
        <f t="shared" si="192"/>
        <v>0.80306122448979589</v>
      </c>
      <c r="J2543" s="4">
        <v>3945000</v>
      </c>
      <c r="K2543" s="2">
        <f t="shared" si="193"/>
        <v>0.80510204081632653</v>
      </c>
      <c r="L2543" t="s">
        <v>903</v>
      </c>
      <c r="M2543" t="s">
        <v>126</v>
      </c>
      <c r="N2543" t="b">
        <f t="shared" si="194"/>
        <v>0</v>
      </c>
    </row>
    <row r="2544" spans="1:14" x14ac:dyDescent="0.15">
      <c r="A2544" t="s">
        <v>15119</v>
      </c>
      <c r="B2544" t="s">
        <v>15122</v>
      </c>
      <c r="C2544" t="s">
        <v>15125</v>
      </c>
      <c r="D2544" t="s">
        <v>23</v>
      </c>
      <c r="E2544" t="s">
        <v>15126</v>
      </c>
      <c r="F2544" s="5">
        <v>5692000</v>
      </c>
      <c r="G2544" s="5">
        <v>5692000</v>
      </c>
      <c r="H2544" s="4">
        <v>4588000</v>
      </c>
      <c r="I2544" s="2">
        <f t="shared" si="192"/>
        <v>0.80604356992269854</v>
      </c>
      <c r="J2544" s="4">
        <v>4600000</v>
      </c>
      <c r="K2544" s="2">
        <f t="shared" si="193"/>
        <v>0.8081517919887562</v>
      </c>
      <c r="L2544" t="s">
        <v>64</v>
      </c>
      <c r="M2544" t="s">
        <v>126</v>
      </c>
      <c r="N2544" t="b">
        <f t="shared" si="194"/>
        <v>0</v>
      </c>
    </row>
    <row r="2545" spans="1:14" x14ac:dyDescent="0.15">
      <c r="A2545" t="s">
        <v>15119</v>
      </c>
      <c r="B2545" t="s">
        <v>15122</v>
      </c>
      <c r="C2545" t="s">
        <v>15127</v>
      </c>
      <c r="D2545" t="s">
        <v>23</v>
      </c>
      <c r="E2545" t="s">
        <v>15128</v>
      </c>
      <c r="F2545" s="5">
        <v>5566000</v>
      </c>
      <c r="G2545" s="5">
        <v>5566000</v>
      </c>
      <c r="H2545" s="4">
        <v>4426000</v>
      </c>
      <c r="I2545" s="2">
        <f t="shared" si="192"/>
        <v>0.79518505210204815</v>
      </c>
      <c r="J2545" s="4">
        <v>4427000</v>
      </c>
      <c r="K2545" s="2">
        <f t="shared" si="193"/>
        <v>0.79536471433704636</v>
      </c>
      <c r="L2545" t="s">
        <v>332</v>
      </c>
      <c r="M2545" t="s">
        <v>80</v>
      </c>
      <c r="N2545" t="b">
        <f t="shared" si="194"/>
        <v>0</v>
      </c>
    </row>
    <row r="2546" spans="1:14" x14ac:dyDescent="0.15">
      <c r="A2546" t="s">
        <v>15119</v>
      </c>
      <c r="B2546" t="s">
        <v>15122</v>
      </c>
      <c r="C2546" t="s">
        <v>15129</v>
      </c>
      <c r="D2546" t="s">
        <v>118</v>
      </c>
      <c r="E2546" t="s">
        <v>15130</v>
      </c>
      <c r="F2546" s="5">
        <v>42778000</v>
      </c>
      <c r="G2546" s="5">
        <v>42778000</v>
      </c>
      <c r="H2546" s="4">
        <v>33972000</v>
      </c>
      <c r="I2546" s="2">
        <f t="shared" si="192"/>
        <v>0.79414652391416152</v>
      </c>
      <c r="J2546" s="4">
        <v>33972000</v>
      </c>
      <c r="K2546" s="2">
        <f t="shared" si="193"/>
        <v>0.79414652391416152</v>
      </c>
      <c r="L2546" t="s">
        <v>1045</v>
      </c>
      <c r="M2546" t="s">
        <v>290</v>
      </c>
      <c r="N2546" t="b">
        <f t="shared" si="194"/>
        <v>0</v>
      </c>
    </row>
    <row r="2547" spans="1:14" x14ac:dyDescent="0.15">
      <c r="A2547" t="s">
        <v>15119</v>
      </c>
      <c r="B2547" t="s">
        <v>15122</v>
      </c>
      <c r="C2547" t="s">
        <v>15131</v>
      </c>
      <c r="D2547" t="s">
        <v>23</v>
      </c>
      <c r="E2547" t="s">
        <v>15132</v>
      </c>
      <c r="F2547" s="5">
        <v>8985000</v>
      </c>
      <c r="G2547" s="5">
        <v>8985000</v>
      </c>
      <c r="H2547" s="4">
        <v>7067000</v>
      </c>
      <c r="I2547" s="2">
        <f t="shared" si="192"/>
        <v>0.78653311074012244</v>
      </c>
      <c r="J2547" s="4">
        <v>7068000</v>
      </c>
      <c r="K2547" s="2">
        <f t="shared" si="193"/>
        <v>0.78664440734557595</v>
      </c>
      <c r="L2547" t="s">
        <v>1236</v>
      </c>
      <c r="M2547" t="s">
        <v>104</v>
      </c>
      <c r="N2547" t="b">
        <f t="shared" si="194"/>
        <v>0</v>
      </c>
    </row>
    <row r="2548" spans="1:14" x14ac:dyDescent="0.15">
      <c r="A2548" t="s">
        <v>15119</v>
      </c>
      <c r="B2548" t="s">
        <v>15122</v>
      </c>
      <c r="C2548" t="s">
        <v>15133</v>
      </c>
      <c r="D2548" t="s">
        <v>118</v>
      </c>
      <c r="E2548" t="s">
        <v>15134</v>
      </c>
      <c r="F2548" s="5">
        <v>10313000</v>
      </c>
      <c r="G2548" s="5">
        <v>10313000</v>
      </c>
      <c r="H2548" s="4">
        <v>8285000</v>
      </c>
      <c r="I2548" s="2">
        <f t="shared" si="192"/>
        <v>0.80335498884902545</v>
      </c>
      <c r="J2548" s="4">
        <v>8285000</v>
      </c>
      <c r="K2548" s="2">
        <f t="shared" si="193"/>
        <v>0.80335498884902545</v>
      </c>
      <c r="L2548" t="s">
        <v>819</v>
      </c>
      <c r="M2548" t="s">
        <v>192</v>
      </c>
      <c r="N2548" t="b">
        <f t="shared" si="194"/>
        <v>0</v>
      </c>
    </row>
    <row r="2549" spans="1:14" x14ac:dyDescent="0.15">
      <c r="A2549" t="s">
        <v>15119</v>
      </c>
      <c r="B2549" t="s">
        <v>15122</v>
      </c>
      <c r="C2549" t="s">
        <v>15135</v>
      </c>
      <c r="D2549" t="s">
        <v>118</v>
      </c>
      <c r="E2549" t="s">
        <v>15136</v>
      </c>
      <c r="F2549" s="5">
        <v>22260000</v>
      </c>
      <c r="G2549" s="5">
        <v>22260000</v>
      </c>
      <c r="H2549" s="4">
        <v>17690000</v>
      </c>
      <c r="I2549" s="2">
        <f t="shared" si="192"/>
        <v>0.79469901168014379</v>
      </c>
      <c r="J2549" s="4">
        <v>17781000</v>
      </c>
      <c r="K2549" s="2">
        <f t="shared" si="193"/>
        <v>0.79878706199460914</v>
      </c>
      <c r="L2549" t="s">
        <v>239</v>
      </c>
      <c r="M2549" t="s">
        <v>21</v>
      </c>
      <c r="N2549" t="b">
        <f t="shared" si="194"/>
        <v>0</v>
      </c>
    </row>
    <row r="2550" spans="1:14" x14ac:dyDescent="0.15">
      <c r="A2550" t="s">
        <v>15119</v>
      </c>
      <c r="B2550" t="s">
        <v>15122</v>
      </c>
      <c r="C2550" t="s">
        <v>15137</v>
      </c>
      <c r="D2550" t="s">
        <v>23</v>
      </c>
      <c r="E2550" t="s">
        <v>15138</v>
      </c>
      <c r="F2550" s="5">
        <v>5062000</v>
      </c>
      <c r="G2550" s="5">
        <v>5062000</v>
      </c>
      <c r="H2550" s="4">
        <v>4065000</v>
      </c>
      <c r="I2550" s="2">
        <f t="shared" si="192"/>
        <v>0.80304227578032394</v>
      </c>
      <c r="J2550" s="4">
        <v>4067000</v>
      </c>
      <c r="K2550" s="2">
        <f t="shared" si="193"/>
        <v>0.80343737653101543</v>
      </c>
      <c r="L2550" t="s">
        <v>4042</v>
      </c>
      <c r="M2550" t="s">
        <v>104</v>
      </c>
      <c r="N2550" t="b">
        <f t="shared" si="194"/>
        <v>0</v>
      </c>
    </row>
    <row r="2551" spans="1:14" x14ac:dyDescent="0.15">
      <c r="A2551" t="s">
        <v>15119</v>
      </c>
      <c r="B2551" t="s">
        <v>15122</v>
      </c>
      <c r="C2551" t="s">
        <v>15139</v>
      </c>
      <c r="D2551" t="s">
        <v>23</v>
      </c>
      <c r="E2551" t="s">
        <v>15140</v>
      </c>
      <c r="F2551" s="5">
        <v>6667000</v>
      </c>
      <c r="G2551" s="5">
        <v>6667000</v>
      </c>
      <c r="H2551" s="4">
        <v>5357000</v>
      </c>
      <c r="I2551" s="2">
        <f t="shared" si="192"/>
        <v>0.80350982450877451</v>
      </c>
      <c r="J2551" s="4">
        <v>5357000</v>
      </c>
      <c r="K2551" s="2">
        <f t="shared" si="193"/>
        <v>0.80350982450877451</v>
      </c>
      <c r="L2551" t="s">
        <v>819</v>
      </c>
      <c r="M2551" t="s">
        <v>104</v>
      </c>
      <c r="N2551" t="b">
        <f t="shared" si="194"/>
        <v>0</v>
      </c>
    </row>
    <row r="2552" spans="1:14" x14ac:dyDescent="0.15">
      <c r="A2552" t="s">
        <v>15119</v>
      </c>
      <c r="B2552" t="s">
        <v>15122</v>
      </c>
      <c r="C2552" t="s">
        <v>15141</v>
      </c>
      <c r="D2552" t="s">
        <v>23</v>
      </c>
      <c r="E2552" t="s">
        <v>15142</v>
      </c>
      <c r="F2552" s="5">
        <v>19398000</v>
      </c>
      <c r="G2552" s="5">
        <v>19398000</v>
      </c>
      <c r="H2552" s="4">
        <v>15568000</v>
      </c>
      <c r="I2552" s="2">
        <f t="shared" si="192"/>
        <v>0.80255696463552939</v>
      </c>
      <c r="J2552" s="4">
        <v>15640000</v>
      </c>
      <c r="K2552" s="2">
        <f t="shared" si="193"/>
        <v>0.80626868749355607</v>
      </c>
      <c r="L2552" t="s">
        <v>15143</v>
      </c>
      <c r="M2552" t="s">
        <v>104</v>
      </c>
      <c r="N2552" t="b">
        <f t="shared" si="194"/>
        <v>0</v>
      </c>
    </row>
    <row r="2553" spans="1:14" x14ac:dyDescent="0.15">
      <c r="A2553" t="s">
        <v>15119</v>
      </c>
      <c r="B2553" t="s">
        <v>15122</v>
      </c>
      <c r="C2553" t="s">
        <v>13258</v>
      </c>
      <c r="D2553" t="s">
        <v>23</v>
      </c>
      <c r="E2553" t="s">
        <v>15144</v>
      </c>
      <c r="F2553" s="5">
        <v>26039000</v>
      </c>
      <c r="G2553" s="5">
        <v>26039000</v>
      </c>
      <c r="H2553" s="4">
        <v>20895000</v>
      </c>
      <c r="I2553" s="2">
        <f t="shared" si="192"/>
        <v>0.80245017089749993</v>
      </c>
      <c r="J2553" s="4">
        <v>20895000</v>
      </c>
      <c r="K2553" s="2">
        <f t="shared" si="193"/>
        <v>0.80245017089749993</v>
      </c>
      <c r="L2553" t="s">
        <v>832</v>
      </c>
      <c r="M2553" t="s">
        <v>248</v>
      </c>
      <c r="N2553" t="b">
        <f t="shared" si="194"/>
        <v>0</v>
      </c>
    </row>
    <row r="2554" spans="1:14" x14ac:dyDescent="0.15">
      <c r="A2554" t="s">
        <v>15119</v>
      </c>
      <c r="B2554" t="s">
        <v>15122</v>
      </c>
      <c r="C2554" t="s">
        <v>15145</v>
      </c>
      <c r="D2554" t="s">
        <v>23</v>
      </c>
      <c r="E2554" t="s">
        <v>15146</v>
      </c>
      <c r="F2554" s="5">
        <v>6335000</v>
      </c>
      <c r="G2554" s="5">
        <v>6335000</v>
      </c>
      <c r="H2554" s="4">
        <v>5082000</v>
      </c>
      <c r="I2554" s="2">
        <f t="shared" si="192"/>
        <v>0.80220994475138119</v>
      </c>
      <c r="J2554" s="4">
        <v>5700000</v>
      </c>
      <c r="K2554" s="2">
        <f t="shared" si="193"/>
        <v>0.89976322020520916</v>
      </c>
      <c r="L2554" t="s">
        <v>5186</v>
      </c>
      <c r="M2554" t="s">
        <v>80</v>
      </c>
      <c r="N2554" t="b">
        <f t="shared" si="194"/>
        <v>0</v>
      </c>
    </row>
    <row r="2555" spans="1:14" x14ac:dyDescent="0.15">
      <c r="A2555" t="s">
        <v>15119</v>
      </c>
      <c r="B2555" t="s">
        <v>15122</v>
      </c>
      <c r="C2555" t="s">
        <v>15125</v>
      </c>
      <c r="D2555" t="s">
        <v>23</v>
      </c>
      <c r="E2555" t="s">
        <v>15147</v>
      </c>
      <c r="F2555" s="5">
        <v>5188000</v>
      </c>
      <c r="G2555" s="5">
        <v>5188000</v>
      </c>
      <c r="H2555" s="4">
        <v>4177000</v>
      </c>
      <c r="I2555" s="2">
        <f t="shared" si="192"/>
        <v>0.80512721665381648</v>
      </c>
      <c r="J2555" s="4">
        <v>4177000</v>
      </c>
      <c r="K2555" s="2">
        <f t="shared" si="193"/>
        <v>0.80512721665381648</v>
      </c>
      <c r="L2555" t="s">
        <v>4761</v>
      </c>
      <c r="M2555" t="s">
        <v>126</v>
      </c>
      <c r="N2555" t="b">
        <f t="shared" si="194"/>
        <v>0</v>
      </c>
    </row>
    <row r="2556" spans="1:14" x14ac:dyDescent="0.15">
      <c r="A2556" t="s">
        <v>15119</v>
      </c>
      <c r="B2556" t="s">
        <v>15122</v>
      </c>
      <c r="C2556" t="s">
        <v>15148</v>
      </c>
      <c r="D2556" t="s">
        <v>23</v>
      </c>
      <c r="E2556" t="s">
        <v>15149</v>
      </c>
      <c r="F2556" s="5">
        <v>4166000</v>
      </c>
      <c r="G2556" s="5">
        <v>4166000</v>
      </c>
      <c r="H2556" s="4">
        <v>3374000</v>
      </c>
      <c r="I2556" s="2">
        <f t="shared" si="192"/>
        <v>0.80988958233317332</v>
      </c>
      <c r="J2556" s="4">
        <v>3630000</v>
      </c>
      <c r="K2556" s="2">
        <f t="shared" si="193"/>
        <v>0.87133941430628903</v>
      </c>
      <c r="L2556" t="s">
        <v>744</v>
      </c>
      <c r="M2556" t="s">
        <v>80</v>
      </c>
      <c r="N2556" t="b">
        <f t="shared" si="194"/>
        <v>0</v>
      </c>
    </row>
    <row r="2557" spans="1:14" x14ac:dyDescent="0.15">
      <c r="A2557" t="s">
        <v>15119</v>
      </c>
      <c r="B2557" t="s">
        <v>15122</v>
      </c>
      <c r="C2557" t="s">
        <v>15131</v>
      </c>
      <c r="D2557" t="s">
        <v>23</v>
      </c>
      <c r="E2557" t="s">
        <v>15150</v>
      </c>
      <c r="F2557" s="5">
        <v>2608000</v>
      </c>
      <c r="G2557" s="5">
        <v>2608000</v>
      </c>
      <c r="H2557" s="4">
        <v>2053000</v>
      </c>
      <c r="I2557" s="2">
        <f t="shared" si="192"/>
        <v>0.78719325153374231</v>
      </c>
      <c r="J2557" s="4">
        <v>2200000</v>
      </c>
      <c r="K2557" s="2">
        <f t="shared" si="193"/>
        <v>0.84355828220858897</v>
      </c>
      <c r="L2557" t="s">
        <v>574</v>
      </c>
      <c r="M2557" t="s">
        <v>192</v>
      </c>
      <c r="N2557" t="b">
        <f t="shared" si="194"/>
        <v>0</v>
      </c>
    </row>
    <row r="2558" spans="1:14" x14ac:dyDescent="0.15">
      <c r="A2558" t="s">
        <v>15119</v>
      </c>
      <c r="B2558" t="s">
        <v>15122</v>
      </c>
      <c r="C2558" t="s">
        <v>15120</v>
      </c>
      <c r="D2558" t="s">
        <v>23</v>
      </c>
      <c r="E2558" t="s">
        <v>15151</v>
      </c>
      <c r="F2558" s="5">
        <v>8041000</v>
      </c>
      <c r="G2558" s="5">
        <v>8041000</v>
      </c>
      <c r="H2558" s="4">
        <v>6483000</v>
      </c>
      <c r="I2558" s="2">
        <f t="shared" si="192"/>
        <v>0.80624300460141773</v>
      </c>
      <c r="J2558" s="4">
        <v>6513000</v>
      </c>
      <c r="K2558" s="2">
        <f t="shared" si="193"/>
        <v>0.8099738838452929</v>
      </c>
      <c r="L2558" t="s">
        <v>239</v>
      </c>
      <c r="M2558" t="s">
        <v>31</v>
      </c>
      <c r="N2558" t="b">
        <f t="shared" si="194"/>
        <v>0</v>
      </c>
    </row>
    <row r="2559" spans="1:14" x14ac:dyDescent="0.15">
      <c r="A2559" t="s">
        <v>15119</v>
      </c>
      <c r="B2559" t="s">
        <v>15122</v>
      </c>
      <c r="C2559" t="s">
        <v>15152</v>
      </c>
      <c r="D2559" t="s">
        <v>23</v>
      </c>
      <c r="E2559" t="s">
        <v>15153</v>
      </c>
      <c r="F2559" s="5">
        <v>6167000</v>
      </c>
      <c r="G2559" s="5">
        <v>6167000</v>
      </c>
      <c r="H2559" s="4">
        <v>4877000</v>
      </c>
      <c r="I2559" s="2">
        <f t="shared" si="192"/>
        <v>0.7908221177233663</v>
      </c>
      <c r="J2559" s="4">
        <v>4877000</v>
      </c>
      <c r="K2559" s="2">
        <f t="shared" si="193"/>
        <v>0.7908221177233663</v>
      </c>
      <c r="L2559" t="s">
        <v>5693</v>
      </c>
      <c r="M2559" t="s">
        <v>80</v>
      </c>
      <c r="N2559" t="b">
        <f t="shared" si="194"/>
        <v>0</v>
      </c>
    </row>
    <row r="2560" spans="1:14" x14ac:dyDescent="0.15">
      <c r="A2560" t="s">
        <v>15119</v>
      </c>
      <c r="B2560" t="s">
        <v>15122</v>
      </c>
      <c r="C2560" t="s">
        <v>15154</v>
      </c>
      <c r="D2560" t="s">
        <v>23</v>
      </c>
      <c r="E2560" t="s">
        <v>15155</v>
      </c>
      <c r="F2560" s="5">
        <v>14160000</v>
      </c>
      <c r="G2560" s="5">
        <v>14160000</v>
      </c>
      <c r="H2560" s="4">
        <v>11191000</v>
      </c>
      <c r="I2560" s="2">
        <f t="shared" si="192"/>
        <v>0.79032485875706215</v>
      </c>
      <c r="J2560" s="4">
        <v>12740000</v>
      </c>
      <c r="K2560" s="2">
        <f t="shared" si="193"/>
        <v>0.89971751412429379</v>
      </c>
      <c r="L2560" t="s">
        <v>5186</v>
      </c>
      <c r="M2560" t="s">
        <v>104</v>
      </c>
      <c r="N2560" t="b">
        <f t="shared" si="194"/>
        <v>0</v>
      </c>
    </row>
    <row r="2561" spans="1:14" x14ac:dyDescent="0.15">
      <c r="A2561" t="s">
        <v>15119</v>
      </c>
      <c r="B2561" t="s">
        <v>15122</v>
      </c>
      <c r="C2561" t="s">
        <v>15156</v>
      </c>
      <c r="D2561" t="s">
        <v>23</v>
      </c>
      <c r="E2561" t="s">
        <v>11737</v>
      </c>
      <c r="F2561" s="5">
        <v>1560000</v>
      </c>
      <c r="G2561" s="5">
        <v>1560000</v>
      </c>
      <c r="H2561" s="4">
        <v>1248000</v>
      </c>
      <c r="I2561" s="2">
        <f t="shared" si="192"/>
        <v>0.8</v>
      </c>
      <c r="J2561" s="4">
        <v>1278900</v>
      </c>
      <c r="K2561" s="2">
        <f t="shared" si="193"/>
        <v>0.81980769230769235</v>
      </c>
      <c r="L2561" t="s">
        <v>15157</v>
      </c>
      <c r="M2561" t="s">
        <v>80</v>
      </c>
      <c r="N2561" t="b">
        <f t="shared" si="194"/>
        <v>0</v>
      </c>
    </row>
    <row r="2562" spans="1:14" x14ac:dyDescent="0.15">
      <c r="A2562" t="s">
        <v>15119</v>
      </c>
      <c r="B2562" t="s">
        <v>15122</v>
      </c>
      <c r="C2562" t="s">
        <v>15158</v>
      </c>
      <c r="D2562" t="s">
        <v>118</v>
      </c>
      <c r="E2562" t="s">
        <v>13605</v>
      </c>
      <c r="F2562" s="5">
        <v>48567000</v>
      </c>
      <c r="G2562" s="5">
        <v>48567000</v>
      </c>
      <c r="H2562" s="4">
        <v>38533000</v>
      </c>
      <c r="I2562" s="2">
        <f t="shared" si="192"/>
        <v>0.79339880989149014</v>
      </c>
      <c r="J2562" s="4">
        <v>38535000</v>
      </c>
      <c r="K2562" s="2">
        <f t="shared" si="193"/>
        <v>0.79343999011674593</v>
      </c>
      <c r="L2562" t="s">
        <v>332</v>
      </c>
      <c r="M2562" t="s">
        <v>248</v>
      </c>
      <c r="N2562" t="b">
        <f t="shared" si="194"/>
        <v>0</v>
      </c>
    </row>
    <row r="2563" spans="1:14" x14ac:dyDescent="0.15">
      <c r="A2563" t="s">
        <v>15119</v>
      </c>
      <c r="B2563" t="s">
        <v>15122</v>
      </c>
      <c r="C2563" t="s">
        <v>15139</v>
      </c>
      <c r="D2563" t="s">
        <v>23</v>
      </c>
      <c r="E2563" t="s">
        <v>15159</v>
      </c>
      <c r="F2563" s="5">
        <v>6165000</v>
      </c>
      <c r="G2563" s="5">
        <v>6165000</v>
      </c>
      <c r="H2563" s="4">
        <v>4911000</v>
      </c>
      <c r="I2563" s="2">
        <f t="shared" si="192"/>
        <v>0.79659367396593672</v>
      </c>
      <c r="J2563" s="4">
        <v>4911000</v>
      </c>
      <c r="K2563" s="2">
        <f t="shared" si="193"/>
        <v>0.79659367396593672</v>
      </c>
      <c r="L2563" t="s">
        <v>506</v>
      </c>
      <c r="M2563" t="s">
        <v>104</v>
      </c>
      <c r="N2563" t="b">
        <f t="shared" si="194"/>
        <v>0</v>
      </c>
    </row>
    <row r="2564" spans="1:14" x14ac:dyDescent="0.15">
      <c r="A2564" t="s">
        <v>15119</v>
      </c>
      <c r="B2564" t="s">
        <v>15122</v>
      </c>
      <c r="C2564" t="s">
        <v>15133</v>
      </c>
      <c r="D2564" t="s">
        <v>23</v>
      </c>
      <c r="E2564" t="s">
        <v>15160</v>
      </c>
      <c r="F2564" s="5">
        <v>8137000</v>
      </c>
      <c r="G2564" s="5">
        <v>8137000</v>
      </c>
      <c r="H2564" s="4">
        <v>6481000</v>
      </c>
      <c r="I2564" s="2">
        <f t="shared" ref="I2564:I2627" si="195">H2564/G2564</f>
        <v>0.79648519110237193</v>
      </c>
      <c r="J2564" s="4">
        <v>7300000</v>
      </c>
      <c r="K2564" s="2">
        <f t="shared" ref="K2564:K2627" si="196">J2564/G2564</f>
        <v>0.89713653680717709</v>
      </c>
      <c r="L2564" t="s">
        <v>819</v>
      </c>
      <c r="M2564" t="s">
        <v>104</v>
      </c>
      <c r="N2564" t="b">
        <f t="shared" ref="N2564:N2627" si="197">F2564&lt;&gt;G2564</f>
        <v>0</v>
      </c>
    </row>
    <row r="2565" spans="1:14" x14ac:dyDescent="0.15">
      <c r="A2565" t="s">
        <v>15161</v>
      </c>
      <c r="B2565" t="s">
        <v>15164</v>
      </c>
      <c r="C2565" t="s">
        <v>15162</v>
      </c>
      <c r="D2565" t="s">
        <v>23</v>
      </c>
      <c r="E2565" t="s">
        <v>15163</v>
      </c>
      <c r="F2565" s="5">
        <f t="shared" ref="F2565:F2566" si="198">G2565</f>
        <v>16210000</v>
      </c>
      <c r="G2565" s="5">
        <v>16210000</v>
      </c>
      <c r="H2565" s="4">
        <v>13036000</v>
      </c>
      <c r="I2565" s="2">
        <f t="shared" si="195"/>
        <v>0.80419494139420111</v>
      </c>
      <c r="J2565" s="4">
        <v>15000000</v>
      </c>
      <c r="K2565" s="2">
        <f t="shared" si="196"/>
        <v>0.92535471930906843</v>
      </c>
      <c r="L2565" t="s">
        <v>10326</v>
      </c>
      <c r="M2565" t="s">
        <v>165</v>
      </c>
      <c r="N2565" t="b">
        <f t="shared" si="197"/>
        <v>0</v>
      </c>
    </row>
    <row r="2566" spans="1:14" x14ac:dyDescent="0.15">
      <c r="A2566" t="s">
        <v>15161</v>
      </c>
      <c r="B2566" t="s">
        <v>15164</v>
      </c>
      <c r="C2566" t="s">
        <v>15165</v>
      </c>
      <c r="D2566" t="s">
        <v>23</v>
      </c>
      <c r="E2566" t="s">
        <v>15166</v>
      </c>
      <c r="F2566" s="5">
        <f t="shared" si="198"/>
        <v>10350000</v>
      </c>
      <c r="G2566" s="5">
        <v>10350000</v>
      </c>
      <c r="H2566" s="4">
        <v>8305000</v>
      </c>
      <c r="I2566" s="2">
        <f t="shared" si="195"/>
        <v>0.80241545893719812</v>
      </c>
      <c r="J2566" s="4">
        <v>9300000</v>
      </c>
      <c r="K2566" s="2">
        <f t="shared" si="196"/>
        <v>0.89855072463768115</v>
      </c>
      <c r="L2566" t="s">
        <v>5068</v>
      </c>
      <c r="M2566" t="s">
        <v>165</v>
      </c>
      <c r="N2566" t="b">
        <f t="shared" si="197"/>
        <v>0</v>
      </c>
    </row>
    <row r="2567" spans="1:14" x14ac:dyDescent="0.15">
      <c r="A2567" t="s">
        <v>15161</v>
      </c>
      <c r="B2567" t="s">
        <v>15169</v>
      </c>
      <c r="C2567" t="s">
        <v>15167</v>
      </c>
      <c r="D2567" t="s">
        <v>23</v>
      </c>
      <c r="E2567" t="s">
        <v>15168</v>
      </c>
      <c r="F2567" s="5">
        <v>35709000</v>
      </c>
      <c r="G2567" s="5">
        <v>35709000</v>
      </c>
      <c r="H2567" s="4">
        <v>28418000</v>
      </c>
      <c r="I2567" s="2">
        <f t="shared" si="195"/>
        <v>0.79582178162368034</v>
      </c>
      <c r="J2567" s="4">
        <v>33900000</v>
      </c>
      <c r="K2567" s="2">
        <f t="shared" si="196"/>
        <v>0.94934050239435441</v>
      </c>
      <c r="L2567" t="s">
        <v>1541</v>
      </c>
      <c r="M2567" t="s">
        <v>192</v>
      </c>
      <c r="N2567" t="b">
        <f t="shared" si="197"/>
        <v>0</v>
      </c>
    </row>
    <row r="2568" spans="1:14" x14ac:dyDescent="0.15">
      <c r="A2568" t="s">
        <v>15161</v>
      </c>
      <c r="B2568" t="s">
        <v>15164</v>
      </c>
      <c r="C2568" t="s">
        <v>15170</v>
      </c>
      <c r="D2568" t="s">
        <v>23</v>
      </c>
      <c r="E2568" t="s">
        <v>15171</v>
      </c>
      <c r="F2568" s="5">
        <f t="shared" ref="F2568:F2570" si="199">G2568</f>
        <v>5660000</v>
      </c>
      <c r="G2568" s="5">
        <v>5660000</v>
      </c>
      <c r="I2568" s="2">
        <f t="shared" si="195"/>
        <v>0</v>
      </c>
      <c r="J2568" s="4">
        <v>5090000</v>
      </c>
      <c r="K2568" s="2">
        <f t="shared" si="196"/>
        <v>0.89929328621908122</v>
      </c>
      <c r="L2568" t="s">
        <v>1078</v>
      </c>
      <c r="M2568" t="s">
        <v>432</v>
      </c>
      <c r="N2568" t="b">
        <f t="shared" si="197"/>
        <v>0</v>
      </c>
    </row>
    <row r="2569" spans="1:14" x14ac:dyDescent="0.15">
      <c r="A2569" t="s">
        <v>15161</v>
      </c>
      <c r="B2569" t="s">
        <v>15164</v>
      </c>
      <c r="C2569" t="s">
        <v>15172</v>
      </c>
      <c r="D2569" t="s">
        <v>23</v>
      </c>
      <c r="E2569" t="s">
        <v>15173</v>
      </c>
      <c r="F2569" s="5">
        <f t="shared" si="199"/>
        <v>2650000</v>
      </c>
      <c r="G2569" s="5">
        <v>2650000</v>
      </c>
      <c r="I2569" s="2">
        <f t="shared" si="195"/>
        <v>0</v>
      </c>
      <c r="J2569" s="4">
        <v>1950000</v>
      </c>
      <c r="K2569" s="2">
        <f t="shared" si="196"/>
        <v>0.73584905660377353</v>
      </c>
      <c r="L2569" t="s">
        <v>1262</v>
      </c>
      <c r="M2569" t="s">
        <v>1015</v>
      </c>
      <c r="N2569" t="b">
        <f t="shared" si="197"/>
        <v>0</v>
      </c>
    </row>
    <row r="2570" spans="1:14" x14ac:dyDescent="0.15">
      <c r="A2570" t="s">
        <v>15161</v>
      </c>
      <c r="B2570" t="s">
        <v>15164</v>
      </c>
      <c r="C2570" t="s">
        <v>15174</v>
      </c>
      <c r="D2570" t="s">
        <v>23</v>
      </c>
      <c r="E2570" t="s">
        <v>15175</v>
      </c>
      <c r="F2570" s="5">
        <f t="shared" si="199"/>
        <v>3326000</v>
      </c>
      <c r="G2570" s="5">
        <v>3326000</v>
      </c>
      <c r="I2570" s="2">
        <f t="shared" si="195"/>
        <v>0</v>
      </c>
      <c r="J2570" s="4">
        <v>3100000</v>
      </c>
      <c r="K2570" s="2">
        <f t="shared" si="196"/>
        <v>0.93205051112447379</v>
      </c>
      <c r="L2570" t="s">
        <v>10639</v>
      </c>
      <c r="M2570" t="s">
        <v>432</v>
      </c>
      <c r="N2570" t="b">
        <f t="shared" si="197"/>
        <v>0</v>
      </c>
    </row>
    <row r="2571" spans="1:14" x14ac:dyDescent="0.15">
      <c r="A2571" t="s">
        <v>15161</v>
      </c>
      <c r="B2571" t="s">
        <v>15169</v>
      </c>
      <c r="C2571" t="s">
        <v>15176</v>
      </c>
      <c r="D2571" t="s">
        <v>23</v>
      </c>
      <c r="E2571" t="s">
        <v>15177</v>
      </c>
      <c r="F2571" s="5">
        <v>26800000</v>
      </c>
      <c r="G2571" s="5">
        <v>26800000</v>
      </c>
      <c r="H2571" s="4">
        <v>21330000</v>
      </c>
      <c r="I2571" s="2">
        <f t="shared" si="195"/>
        <v>0.79589552238805972</v>
      </c>
      <c r="J2571" s="4">
        <v>25400000</v>
      </c>
      <c r="K2571" s="2">
        <f t="shared" si="196"/>
        <v>0.94776119402985071</v>
      </c>
      <c r="L2571" t="s">
        <v>1541</v>
      </c>
      <c r="M2571" t="s">
        <v>192</v>
      </c>
      <c r="N2571" t="b">
        <f t="shared" si="197"/>
        <v>0</v>
      </c>
    </row>
    <row r="2572" spans="1:14" x14ac:dyDescent="0.15">
      <c r="A2572" t="s">
        <v>15161</v>
      </c>
      <c r="B2572" t="s">
        <v>15169</v>
      </c>
      <c r="C2572" t="s">
        <v>14695</v>
      </c>
      <c r="D2572" t="s">
        <v>23</v>
      </c>
      <c r="E2572" t="s">
        <v>15178</v>
      </c>
      <c r="F2572" s="5">
        <v>8476000</v>
      </c>
      <c r="G2572" s="5">
        <v>8476000</v>
      </c>
      <c r="I2572" s="2">
        <f t="shared" si="195"/>
        <v>0</v>
      </c>
      <c r="J2572" s="4">
        <v>7800000</v>
      </c>
      <c r="K2572" s="2">
        <f t="shared" si="196"/>
        <v>0.92024539877300615</v>
      </c>
      <c r="L2572" t="s">
        <v>1078</v>
      </c>
      <c r="M2572" t="s">
        <v>432</v>
      </c>
      <c r="N2572" t="b">
        <f t="shared" si="197"/>
        <v>0</v>
      </c>
    </row>
    <row r="2573" spans="1:14" x14ac:dyDescent="0.15">
      <c r="A2573" t="s">
        <v>15161</v>
      </c>
      <c r="B2573" t="s">
        <v>15169</v>
      </c>
      <c r="C2573" t="s">
        <v>15179</v>
      </c>
      <c r="D2573" t="s">
        <v>23</v>
      </c>
      <c r="E2573" t="s">
        <v>15180</v>
      </c>
      <c r="F2573" s="5">
        <v>7493000</v>
      </c>
      <c r="G2573" s="5">
        <v>7493000</v>
      </c>
      <c r="I2573" s="2">
        <f t="shared" si="195"/>
        <v>0</v>
      </c>
      <c r="J2573" s="4">
        <v>7100000</v>
      </c>
      <c r="K2573" s="2">
        <f t="shared" si="196"/>
        <v>0.94755104764446818</v>
      </c>
      <c r="L2573" t="s">
        <v>14463</v>
      </c>
      <c r="M2573" t="s">
        <v>432</v>
      </c>
      <c r="N2573" t="b">
        <f t="shared" si="197"/>
        <v>0</v>
      </c>
    </row>
    <row r="2574" spans="1:14" x14ac:dyDescent="0.15">
      <c r="A2574" t="s">
        <v>15161</v>
      </c>
      <c r="B2574" t="s">
        <v>15169</v>
      </c>
      <c r="C2574" t="s">
        <v>15181</v>
      </c>
      <c r="D2574" t="s">
        <v>23</v>
      </c>
      <c r="E2574" t="s">
        <v>15182</v>
      </c>
      <c r="F2574" s="5">
        <v>4300000</v>
      </c>
      <c r="G2574" s="5">
        <v>4300000</v>
      </c>
      <c r="I2574" s="2">
        <f t="shared" si="195"/>
        <v>0</v>
      </c>
      <c r="J2574" s="4">
        <v>3100000</v>
      </c>
      <c r="K2574" s="2">
        <f t="shared" si="196"/>
        <v>0.72093023255813948</v>
      </c>
      <c r="L2574" t="s">
        <v>7070</v>
      </c>
      <c r="M2574" t="s">
        <v>432</v>
      </c>
      <c r="N2574" t="b">
        <f t="shared" si="197"/>
        <v>0</v>
      </c>
    </row>
    <row r="2575" spans="1:14" x14ac:dyDescent="0.15">
      <c r="A2575" t="s">
        <v>15161</v>
      </c>
      <c r="B2575" t="s">
        <v>15169</v>
      </c>
      <c r="C2575" t="s">
        <v>15183</v>
      </c>
      <c r="D2575" t="s">
        <v>23</v>
      </c>
      <c r="E2575" t="s">
        <v>15184</v>
      </c>
      <c r="F2575" s="5">
        <v>11793000</v>
      </c>
      <c r="G2575" s="5">
        <v>11793000</v>
      </c>
      <c r="H2575" s="4">
        <v>9470000</v>
      </c>
      <c r="I2575" s="2">
        <f t="shared" si="195"/>
        <v>0.80301873993046724</v>
      </c>
      <c r="J2575" s="4">
        <v>11200000</v>
      </c>
      <c r="K2575" s="2">
        <f t="shared" si="196"/>
        <v>0.94971593318070047</v>
      </c>
      <c r="L2575" t="s">
        <v>1541</v>
      </c>
      <c r="M2575" t="s">
        <v>165</v>
      </c>
      <c r="N2575" t="b">
        <f t="shared" si="197"/>
        <v>0</v>
      </c>
    </row>
    <row r="2576" spans="1:14" x14ac:dyDescent="0.15">
      <c r="A2576" t="s">
        <v>15161</v>
      </c>
      <c r="B2576" t="s">
        <v>15164</v>
      </c>
      <c r="C2576" t="s">
        <v>15185</v>
      </c>
      <c r="D2576" t="s">
        <v>23</v>
      </c>
      <c r="E2576" t="s">
        <v>15186</v>
      </c>
      <c r="F2576" s="5">
        <f>G2576</f>
        <v>6190000</v>
      </c>
      <c r="G2576" s="5">
        <v>6190000</v>
      </c>
      <c r="I2576" s="2">
        <f t="shared" si="195"/>
        <v>0</v>
      </c>
      <c r="J2576" s="4">
        <v>5700000</v>
      </c>
      <c r="K2576" s="2">
        <f t="shared" si="196"/>
        <v>0.92084006462035539</v>
      </c>
      <c r="L2576" t="s">
        <v>10326</v>
      </c>
      <c r="M2576" t="s">
        <v>432</v>
      </c>
      <c r="N2576" t="b">
        <f t="shared" si="197"/>
        <v>0</v>
      </c>
    </row>
    <row r="2577" spans="1:14" x14ac:dyDescent="0.15">
      <c r="A2577" t="s">
        <v>15161</v>
      </c>
      <c r="B2577" t="s">
        <v>15169</v>
      </c>
      <c r="C2577" t="s">
        <v>15187</v>
      </c>
      <c r="D2577" t="s">
        <v>23</v>
      </c>
      <c r="E2577" t="s">
        <v>15188</v>
      </c>
      <c r="F2577" s="5">
        <v>12908000</v>
      </c>
      <c r="G2577" s="5">
        <v>12908000</v>
      </c>
      <c r="H2577" s="4">
        <v>10371000</v>
      </c>
      <c r="I2577" s="2">
        <f t="shared" si="195"/>
        <v>0.80345522156801985</v>
      </c>
      <c r="J2577" s="4">
        <v>10371000</v>
      </c>
      <c r="K2577" s="2">
        <f t="shared" si="196"/>
        <v>0.80345522156801985</v>
      </c>
      <c r="L2577" t="s">
        <v>14452</v>
      </c>
      <c r="M2577" t="s">
        <v>165</v>
      </c>
      <c r="N2577" t="b">
        <f t="shared" si="197"/>
        <v>0</v>
      </c>
    </row>
    <row r="2578" spans="1:14" x14ac:dyDescent="0.15">
      <c r="A2578" t="s">
        <v>15161</v>
      </c>
      <c r="B2578" t="s">
        <v>15169</v>
      </c>
      <c r="C2578" t="s">
        <v>15189</v>
      </c>
      <c r="D2578" t="s">
        <v>23</v>
      </c>
      <c r="E2578" t="s">
        <v>14929</v>
      </c>
      <c r="F2578" s="5">
        <v>17559000</v>
      </c>
      <c r="G2578" s="5">
        <v>17559000</v>
      </c>
      <c r="H2578" s="4">
        <v>14095000</v>
      </c>
      <c r="I2578" s="2">
        <f t="shared" si="195"/>
        <v>0.80272225069764791</v>
      </c>
      <c r="J2578" s="4">
        <v>16680000</v>
      </c>
      <c r="K2578" s="2">
        <f t="shared" si="196"/>
        <v>0.949940201606014</v>
      </c>
      <c r="L2578" t="s">
        <v>1541</v>
      </c>
      <c r="M2578" t="s">
        <v>165</v>
      </c>
      <c r="N2578" t="b">
        <f t="shared" si="197"/>
        <v>0</v>
      </c>
    </row>
    <row r="2579" spans="1:14" x14ac:dyDescent="0.15">
      <c r="A2579" t="s">
        <v>15161</v>
      </c>
      <c r="B2579" t="s">
        <v>15169</v>
      </c>
      <c r="C2579" t="s">
        <v>15190</v>
      </c>
      <c r="D2579" t="s">
        <v>23</v>
      </c>
      <c r="E2579" t="s">
        <v>15191</v>
      </c>
      <c r="F2579" s="5">
        <v>10088000</v>
      </c>
      <c r="G2579" s="5">
        <v>10088000</v>
      </c>
      <c r="H2579" s="4">
        <v>8093000</v>
      </c>
      <c r="I2579" s="2">
        <f t="shared" si="195"/>
        <v>0.8022402854877082</v>
      </c>
      <c r="J2579" s="4">
        <v>9600000</v>
      </c>
      <c r="K2579" s="2">
        <f t="shared" si="196"/>
        <v>0.95162569389373508</v>
      </c>
      <c r="L2579" t="s">
        <v>5636</v>
      </c>
      <c r="M2579" t="s">
        <v>165</v>
      </c>
      <c r="N2579" t="b">
        <f t="shared" si="197"/>
        <v>0</v>
      </c>
    </row>
    <row r="2580" spans="1:14" x14ac:dyDescent="0.15">
      <c r="A2580" t="s">
        <v>15161</v>
      </c>
      <c r="B2580" t="s">
        <v>15169</v>
      </c>
      <c r="C2580" t="s">
        <v>15192</v>
      </c>
      <c r="D2580" t="s">
        <v>23</v>
      </c>
      <c r="E2580" t="s">
        <v>15193</v>
      </c>
      <c r="F2580" s="5">
        <v>284400</v>
      </c>
      <c r="G2580" s="5">
        <v>284400</v>
      </c>
      <c r="I2580" s="2">
        <f t="shared" si="195"/>
        <v>0</v>
      </c>
      <c r="J2580" s="4">
        <v>267000</v>
      </c>
      <c r="K2580" s="2">
        <f t="shared" si="196"/>
        <v>0.93881856540084385</v>
      </c>
      <c r="L2580" t="s">
        <v>5636</v>
      </c>
      <c r="M2580" t="s">
        <v>432</v>
      </c>
      <c r="N2580" t="b">
        <f t="shared" si="197"/>
        <v>0</v>
      </c>
    </row>
    <row r="2581" spans="1:14" x14ac:dyDescent="0.15">
      <c r="A2581" t="s">
        <v>15161</v>
      </c>
      <c r="B2581" t="s">
        <v>15169</v>
      </c>
      <c r="C2581" t="s">
        <v>15194</v>
      </c>
      <c r="D2581" t="s">
        <v>23</v>
      </c>
      <c r="E2581" t="s">
        <v>15195</v>
      </c>
      <c r="F2581" s="5">
        <v>3064000</v>
      </c>
      <c r="G2581" s="5">
        <v>3064000</v>
      </c>
      <c r="I2581" s="2">
        <f t="shared" si="195"/>
        <v>0</v>
      </c>
      <c r="J2581" s="4">
        <v>2850000</v>
      </c>
      <c r="K2581" s="2">
        <f t="shared" si="196"/>
        <v>0.93015665796344649</v>
      </c>
      <c r="L2581" t="s">
        <v>5636</v>
      </c>
      <c r="M2581" t="s">
        <v>432</v>
      </c>
      <c r="N2581" t="b">
        <f t="shared" si="197"/>
        <v>0</v>
      </c>
    </row>
    <row r="2582" spans="1:14" x14ac:dyDescent="0.15">
      <c r="A2582" t="s">
        <v>15161</v>
      </c>
      <c r="B2582" t="s">
        <v>15164</v>
      </c>
      <c r="C2582" t="s">
        <v>15196</v>
      </c>
      <c r="D2582" t="s">
        <v>23</v>
      </c>
      <c r="E2582" t="s">
        <v>15197</v>
      </c>
      <c r="F2582" s="5">
        <f>G2582</f>
        <v>15390000</v>
      </c>
      <c r="G2582" s="5">
        <v>15390000</v>
      </c>
      <c r="H2582" s="4">
        <v>12378000</v>
      </c>
      <c r="I2582" s="2">
        <f t="shared" si="195"/>
        <v>0.80428849902534116</v>
      </c>
      <c r="J2582" s="4">
        <v>14300000</v>
      </c>
      <c r="K2582" s="2">
        <f t="shared" si="196"/>
        <v>0.92917478882391158</v>
      </c>
      <c r="L2582" t="s">
        <v>10326</v>
      </c>
      <c r="M2582" t="s">
        <v>165</v>
      </c>
      <c r="N2582" t="b">
        <f t="shared" si="197"/>
        <v>0</v>
      </c>
    </row>
    <row r="2583" spans="1:14" x14ac:dyDescent="0.15">
      <c r="A2583" t="s">
        <v>15161</v>
      </c>
      <c r="B2583" t="s">
        <v>15169</v>
      </c>
      <c r="C2583" t="s">
        <v>15198</v>
      </c>
      <c r="D2583" t="s">
        <v>23</v>
      </c>
      <c r="E2583" t="s">
        <v>15199</v>
      </c>
      <c r="F2583" s="5">
        <v>11350000</v>
      </c>
      <c r="G2583" s="5">
        <v>11350000</v>
      </c>
      <c r="I2583" s="2">
        <f t="shared" si="195"/>
        <v>0</v>
      </c>
      <c r="J2583" s="4">
        <v>7680000</v>
      </c>
      <c r="K2583" s="2">
        <f t="shared" si="196"/>
        <v>0.6766519823788546</v>
      </c>
      <c r="L2583" t="s">
        <v>1321</v>
      </c>
      <c r="M2583" t="s">
        <v>165</v>
      </c>
      <c r="N2583" t="b">
        <f t="shared" si="197"/>
        <v>0</v>
      </c>
    </row>
    <row r="2584" spans="1:14" x14ac:dyDescent="0.15">
      <c r="A2584" t="s">
        <v>15161</v>
      </c>
      <c r="B2584" t="s">
        <v>15164</v>
      </c>
      <c r="C2584" t="s">
        <v>15170</v>
      </c>
      <c r="D2584" t="s">
        <v>23</v>
      </c>
      <c r="E2584" t="s">
        <v>15200</v>
      </c>
      <c r="F2584" s="5">
        <f>G2584</f>
        <v>5020000</v>
      </c>
      <c r="G2584" s="5">
        <v>5020000</v>
      </c>
      <c r="I2584" s="2">
        <f t="shared" si="195"/>
        <v>0</v>
      </c>
      <c r="J2584" s="4">
        <v>4500000</v>
      </c>
      <c r="K2584" s="2">
        <f t="shared" si="196"/>
        <v>0.89641434262948205</v>
      </c>
      <c r="L2584" t="s">
        <v>1078</v>
      </c>
      <c r="M2584" t="s">
        <v>432</v>
      </c>
      <c r="N2584" t="b">
        <f t="shared" si="197"/>
        <v>0</v>
      </c>
    </row>
    <row r="2585" spans="1:14" x14ac:dyDescent="0.15">
      <c r="A2585" t="s">
        <v>15161</v>
      </c>
      <c r="B2585" t="s">
        <v>15169</v>
      </c>
      <c r="C2585" t="s">
        <v>15201</v>
      </c>
      <c r="D2585" t="s">
        <v>23</v>
      </c>
      <c r="E2585" t="s">
        <v>15202</v>
      </c>
      <c r="F2585" s="5">
        <v>5460000</v>
      </c>
      <c r="G2585" s="5">
        <v>5460000</v>
      </c>
      <c r="I2585" s="2">
        <f t="shared" si="195"/>
        <v>0</v>
      </c>
      <c r="J2585" s="4">
        <v>4950000</v>
      </c>
      <c r="K2585" s="2">
        <f t="shared" si="196"/>
        <v>0.90659340659340659</v>
      </c>
      <c r="L2585" t="s">
        <v>2332</v>
      </c>
      <c r="M2585" t="s">
        <v>432</v>
      </c>
      <c r="N2585" t="b">
        <f t="shared" si="197"/>
        <v>0</v>
      </c>
    </row>
    <row r="2586" spans="1:14" x14ac:dyDescent="0.15">
      <c r="A2586" t="s">
        <v>15161</v>
      </c>
      <c r="B2586" t="s">
        <v>15169</v>
      </c>
      <c r="C2586" t="s">
        <v>15203</v>
      </c>
      <c r="D2586" t="s">
        <v>23</v>
      </c>
      <c r="E2586" t="s">
        <v>15204</v>
      </c>
      <c r="F2586" s="5">
        <v>8723000</v>
      </c>
      <c r="G2586" s="5">
        <v>8723000</v>
      </c>
      <c r="I2586" s="2">
        <f t="shared" si="195"/>
        <v>0</v>
      </c>
      <c r="J2586" s="4">
        <v>8200000</v>
      </c>
      <c r="K2586" s="2">
        <f t="shared" si="196"/>
        <v>0.94004356299438263</v>
      </c>
      <c r="L2586" t="s">
        <v>1104</v>
      </c>
      <c r="M2586" t="s">
        <v>432</v>
      </c>
      <c r="N2586" t="b">
        <f t="shared" si="197"/>
        <v>0</v>
      </c>
    </row>
    <row r="2587" spans="1:14" x14ac:dyDescent="0.15">
      <c r="A2587" t="s">
        <v>15161</v>
      </c>
      <c r="B2587" t="s">
        <v>15169</v>
      </c>
      <c r="C2587" t="s">
        <v>14695</v>
      </c>
      <c r="D2587" t="s">
        <v>23</v>
      </c>
      <c r="E2587" t="s">
        <v>15205</v>
      </c>
      <c r="F2587" s="5">
        <v>8936000</v>
      </c>
      <c r="G2587" s="5">
        <v>8936000</v>
      </c>
      <c r="I2587" s="2">
        <f t="shared" si="195"/>
        <v>0</v>
      </c>
      <c r="J2587" s="4">
        <v>8000000</v>
      </c>
      <c r="K2587" s="2">
        <f t="shared" si="196"/>
        <v>0.89525514771709935</v>
      </c>
      <c r="L2587" t="s">
        <v>1078</v>
      </c>
      <c r="M2587" t="s">
        <v>432</v>
      </c>
      <c r="N2587" t="b">
        <f t="shared" si="197"/>
        <v>0</v>
      </c>
    </row>
    <row r="2588" spans="1:14" x14ac:dyDescent="0.15">
      <c r="A2588" t="s">
        <v>15161</v>
      </c>
      <c r="B2588" t="s">
        <v>15164</v>
      </c>
      <c r="C2588" t="s">
        <v>15206</v>
      </c>
      <c r="D2588" t="s">
        <v>23</v>
      </c>
      <c r="E2588" t="s">
        <v>15207</v>
      </c>
      <c r="F2588" s="5">
        <f t="shared" ref="F2588:F2589" si="200">G2588</f>
        <v>3350000</v>
      </c>
      <c r="G2588" s="5">
        <v>3350000</v>
      </c>
      <c r="I2588" s="2">
        <f t="shared" si="195"/>
        <v>0</v>
      </c>
      <c r="J2588" s="4">
        <v>3100000</v>
      </c>
      <c r="K2588" s="2">
        <f t="shared" si="196"/>
        <v>0.92537313432835822</v>
      </c>
      <c r="L2588" t="s">
        <v>10639</v>
      </c>
      <c r="M2588" t="s">
        <v>432</v>
      </c>
      <c r="N2588" t="b">
        <f t="shared" si="197"/>
        <v>0</v>
      </c>
    </row>
    <row r="2589" spans="1:14" x14ac:dyDescent="0.15">
      <c r="A2589" t="s">
        <v>15161</v>
      </c>
      <c r="B2589" t="s">
        <v>15164</v>
      </c>
      <c r="C2589" t="s">
        <v>15208</v>
      </c>
      <c r="D2589" t="s">
        <v>23</v>
      </c>
      <c r="E2589" t="s">
        <v>15209</v>
      </c>
      <c r="F2589" s="5">
        <f t="shared" si="200"/>
        <v>22810000</v>
      </c>
      <c r="G2589" s="5">
        <v>22810000</v>
      </c>
      <c r="H2589" s="4">
        <v>18160000</v>
      </c>
      <c r="I2589" s="2">
        <f t="shared" si="195"/>
        <v>0.79614204296361246</v>
      </c>
      <c r="J2589" s="4">
        <v>22690000</v>
      </c>
      <c r="K2589" s="2">
        <f t="shared" si="196"/>
        <v>0.9947391494958352</v>
      </c>
      <c r="L2589" t="s">
        <v>182</v>
      </c>
      <c r="M2589" t="s">
        <v>192</v>
      </c>
      <c r="N2589" t="b">
        <f t="shared" si="197"/>
        <v>0</v>
      </c>
    </row>
    <row r="2590" spans="1:14" x14ac:dyDescent="0.15">
      <c r="A2590" t="s">
        <v>15161</v>
      </c>
      <c r="B2590" t="s">
        <v>15169</v>
      </c>
      <c r="C2590" t="s">
        <v>15210</v>
      </c>
      <c r="D2590" t="s">
        <v>23</v>
      </c>
      <c r="E2590" t="s">
        <v>14174</v>
      </c>
      <c r="F2590" s="5">
        <v>3700000</v>
      </c>
      <c r="G2590" s="5">
        <v>3700000</v>
      </c>
      <c r="I2590" s="2">
        <f t="shared" si="195"/>
        <v>0</v>
      </c>
      <c r="J2590" s="4">
        <v>3450000</v>
      </c>
      <c r="K2590" s="2">
        <f t="shared" si="196"/>
        <v>0.93243243243243246</v>
      </c>
      <c r="L2590" t="s">
        <v>14452</v>
      </c>
      <c r="M2590" t="s">
        <v>432</v>
      </c>
      <c r="N2590" t="b">
        <f t="shared" si="197"/>
        <v>0</v>
      </c>
    </row>
    <row r="2591" spans="1:14" x14ac:dyDescent="0.15">
      <c r="A2591" t="s">
        <v>15161</v>
      </c>
      <c r="B2591" t="s">
        <v>15169</v>
      </c>
      <c r="C2591" t="s">
        <v>15211</v>
      </c>
      <c r="D2591" t="s">
        <v>23</v>
      </c>
      <c r="E2591" t="s">
        <v>15212</v>
      </c>
      <c r="F2591" s="5">
        <v>5498000</v>
      </c>
      <c r="G2591" s="5">
        <v>5498000</v>
      </c>
      <c r="I2591" s="2">
        <f t="shared" si="195"/>
        <v>0</v>
      </c>
      <c r="J2591" s="4">
        <v>5180000</v>
      </c>
      <c r="K2591" s="2">
        <f t="shared" si="196"/>
        <v>0.94216078574026918</v>
      </c>
      <c r="L2591" t="s">
        <v>6112</v>
      </c>
      <c r="M2591" t="s">
        <v>432</v>
      </c>
      <c r="N2591" t="b">
        <f t="shared" si="197"/>
        <v>0</v>
      </c>
    </row>
    <row r="2592" spans="1:14" x14ac:dyDescent="0.15">
      <c r="A2592" t="s">
        <v>15161</v>
      </c>
      <c r="B2592" t="s">
        <v>15169</v>
      </c>
      <c r="C2592" t="s">
        <v>15213</v>
      </c>
      <c r="D2592" t="s">
        <v>23</v>
      </c>
      <c r="E2592" t="s">
        <v>15214</v>
      </c>
      <c r="F2592" s="5">
        <v>21817000</v>
      </c>
      <c r="G2592" s="5">
        <v>21817000</v>
      </c>
      <c r="H2592" s="4">
        <v>17366000</v>
      </c>
      <c r="I2592" s="2">
        <f t="shared" si="195"/>
        <v>0.79598478250905258</v>
      </c>
      <c r="J2592" s="4">
        <v>20700000</v>
      </c>
      <c r="K2592" s="2">
        <f t="shared" si="196"/>
        <v>0.94880139340880965</v>
      </c>
      <c r="L2592" t="s">
        <v>1541</v>
      </c>
      <c r="M2592" t="s">
        <v>192</v>
      </c>
      <c r="N2592" t="b">
        <f t="shared" si="197"/>
        <v>0</v>
      </c>
    </row>
    <row r="2593" spans="1:14" x14ac:dyDescent="0.15">
      <c r="A2593" t="s">
        <v>15161</v>
      </c>
      <c r="B2593" t="s">
        <v>15169</v>
      </c>
      <c r="C2593" t="s">
        <v>15215</v>
      </c>
      <c r="D2593" t="s">
        <v>23</v>
      </c>
      <c r="E2593" t="s">
        <v>15216</v>
      </c>
      <c r="F2593" s="5">
        <v>3530000</v>
      </c>
      <c r="G2593" s="5">
        <v>3530000</v>
      </c>
      <c r="I2593" s="2">
        <f t="shared" si="195"/>
        <v>0</v>
      </c>
      <c r="J2593" s="4">
        <v>3360000</v>
      </c>
      <c r="K2593" s="2">
        <f t="shared" si="196"/>
        <v>0.95184135977337114</v>
      </c>
      <c r="L2593" t="s">
        <v>5636</v>
      </c>
      <c r="M2593" t="s">
        <v>432</v>
      </c>
      <c r="N2593" t="b">
        <f t="shared" si="197"/>
        <v>0</v>
      </c>
    </row>
    <row r="2594" spans="1:14" x14ac:dyDescent="0.15">
      <c r="A2594" t="s">
        <v>15161</v>
      </c>
      <c r="B2594" t="s">
        <v>15169</v>
      </c>
      <c r="C2594" t="s">
        <v>15217</v>
      </c>
      <c r="D2594" t="s">
        <v>23</v>
      </c>
      <c r="E2594" t="s">
        <v>11271</v>
      </c>
      <c r="F2594" s="5">
        <v>5870000</v>
      </c>
      <c r="G2594" s="5">
        <v>5870000</v>
      </c>
      <c r="I2594" s="2">
        <f t="shared" si="195"/>
        <v>0</v>
      </c>
      <c r="J2594" s="4">
        <v>3900000</v>
      </c>
      <c r="K2594" s="2">
        <f t="shared" si="196"/>
        <v>0.66439522998296419</v>
      </c>
      <c r="L2594" t="s">
        <v>1078</v>
      </c>
      <c r="M2594" t="s">
        <v>192</v>
      </c>
      <c r="N2594" t="b">
        <f t="shared" si="197"/>
        <v>0</v>
      </c>
    </row>
    <row r="2595" spans="1:14" x14ac:dyDescent="0.15">
      <c r="A2595" t="s">
        <v>15161</v>
      </c>
      <c r="B2595" t="s">
        <v>15164</v>
      </c>
      <c r="C2595" t="s">
        <v>15218</v>
      </c>
      <c r="D2595" t="s">
        <v>23</v>
      </c>
      <c r="E2595" t="s">
        <v>12115</v>
      </c>
      <c r="F2595" s="5">
        <f t="shared" ref="F2595:F2596" si="201">G2595</f>
        <v>3120000</v>
      </c>
      <c r="G2595" s="5">
        <v>3120000</v>
      </c>
      <c r="I2595" s="2">
        <f t="shared" si="195"/>
        <v>0</v>
      </c>
      <c r="J2595" s="4">
        <v>2900000</v>
      </c>
      <c r="K2595" s="2">
        <f t="shared" si="196"/>
        <v>0.92948717948717952</v>
      </c>
      <c r="L2595" t="s">
        <v>5068</v>
      </c>
      <c r="M2595" t="s">
        <v>432</v>
      </c>
      <c r="N2595" t="b">
        <f t="shared" si="197"/>
        <v>0</v>
      </c>
    </row>
    <row r="2596" spans="1:14" x14ac:dyDescent="0.15">
      <c r="A2596" t="s">
        <v>15161</v>
      </c>
      <c r="B2596" t="s">
        <v>15164</v>
      </c>
      <c r="C2596" t="s">
        <v>15219</v>
      </c>
      <c r="D2596" t="s">
        <v>23</v>
      </c>
      <c r="E2596" t="s">
        <v>15220</v>
      </c>
      <c r="F2596" s="5">
        <f t="shared" si="201"/>
        <v>3200000</v>
      </c>
      <c r="G2596" s="5">
        <v>3200000</v>
      </c>
      <c r="I2596" s="2">
        <f t="shared" si="195"/>
        <v>0</v>
      </c>
      <c r="J2596" s="4">
        <v>2950000</v>
      </c>
      <c r="K2596" s="2">
        <f t="shared" si="196"/>
        <v>0.921875</v>
      </c>
      <c r="L2596" t="s">
        <v>5068</v>
      </c>
      <c r="M2596" t="s">
        <v>432</v>
      </c>
      <c r="N2596" t="b">
        <f t="shared" si="197"/>
        <v>0</v>
      </c>
    </row>
    <row r="2597" spans="1:14" x14ac:dyDescent="0.15">
      <c r="A2597" t="s">
        <v>15161</v>
      </c>
      <c r="B2597" t="s">
        <v>15169</v>
      </c>
      <c r="C2597" t="s">
        <v>15221</v>
      </c>
      <c r="D2597" t="s">
        <v>23</v>
      </c>
      <c r="E2597" t="s">
        <v>15222</v>
      </c>
      <c r="F2597" s="5">
        <v>6400000</v>
      </c>
      <c r="G2597" s="5">
        <v>6400000</v>
      </c>
      <c r="I2597" s="2">
        <f t="shared" si="195"/>
        <v>0</v>
      </c>
      <c r="J2597" s="4">
        <v>6100000</v>
      </c>
      <c r="K2597" s="2">
        <f t="shared" si="196"/>
        <v>0.953125</v>
      </c>
      <c r="L2597" t="s">
        <v>1541</v>
      </c>
      <c r="M2597" t="s">
        <v>432</v>
      </c>
      <c r="N2597" t="b">
        <f t="shared" si="197"/>
        <v>0</v>
      </c>
    </row>
    <row r="2598" spans="1:14" x14ac:dyDescent="0.15">
      <c r="A2598" t="s">
        <v>15161</v>
      </c>
      <c r="B2598" t="s">
        <v>15169</v>
      </c>
      <c r="C2598" t="s">
        <v>15189</v>
      </c>
      <c r="D2598" t="s">
        <v>23</v>
      </c>
      <c r="E2598" t="s">
        <v>15223</v>
      </c>
      <c r="F2598" s="5">
        <v>22339000</v>
      </c>
      <c r="G2598" s="5">
        <v>22339000</v>
      </c>
      <c r="H2598" s="4">
        <v>17772000</v>
      </c>
      <c r="I2598" s="2">
        <f t="shared" si="195"/>
        <v>0.79555933569094406</v>
      </c>
      <c r="J2598" s="4">
        <v>21200000</v>
      </c>
      <c r="K2598" s="2">
        <f t="shared" si="196"/>
        <v>0.949012937015981</v>
      </c>
      <c r="L2598" t="s">
        <v>1541</v>
      </c>
      <c r="M2598" t="s">
        <v>192</v>
      </c>
      <c r="N2598" t="b">
        <f t="shared" si="197"/>
        <v>0</v>
      </c>
    </row>
    <row r="2599" spans="1:14" x14ac:dyDescent="0.15">
      <c r="A2599" t="s">
        <v>15161</v>
      </c>
      <c r="B2599" t="s">
        <v>15169</v>
      </c>
      <c r="C2599" t="s">
        <v>15224</v>
      </c>
      <c r="D2599" t="s">
        <v>23</v>
      </c>
      <c r="E2599" t="s">
        <v>15225</v>
      </c>
      <c r="F2599" s="5">
        <v>11485000</v>
      </c>
      <c r="G2599" s="5">
        <v>11485000</v>
      </c>
      <c r="I2599" s="2">
        <f t="shared" si="195"/>
        <v>0</v>
      </c>
      <c r="J2599" s="4">
        <v>9500000</v>
      </c>
      <c r="K2599" s="2">
        <f t="shared" si="196"/>
        <v>0.82716586852416196</v>
      </c>
      <c r="L2599" t="s">
        <v>5636</v>
      </c>
      <c r="M2599" t="s">
        <v>165</v>
      </c>
      <c r="N2599" t="b">
        <f t="shared" si="197"/>
        <v>0</v>
      </c>
    </row>
    <row r="2600" spans="1:14" x14ac:dyDescent="0.15">
      <c r="A2600" t="s">
        <v>15161</v>
      </c>
      <c r="B2600" t="s">
        <v>15164</v>
      </c>
      <c r="C2600" t="s">
        <v>15170</v>
      </c>
      <c r="D2600" t="s">
        <v>23</v>
      </c>
      <c r="E2600" t="s">
        <v>15226</v>
      </c>
      <c r="F2600" s="5">
        <f>G2600</f>
        <v>4860000</v>
      </c>
      <c r="G2600" s="5">
        <v>4860000</v>
      </c>
      <c r="I2600" s="2">
        <f t="shared" si="195"/>
        <v>0</v>
      </c>
      <c r="J2600" s="4">
        <v>4300000</v>
      </c>
      <c r="K2600" s="2">
        <f t="shared" si="196"/>
        <v>0.8847736625514403</v>
      </c>
      <c r="L2600" t="s">
        <v>1078</v>
      </c>
      <c r="M2600" t="s">
        <v>432</v>
      </c>
      <c r="N2600" t="b">
        <f t="shared" si="197"/>
        <v>0</v>
      </c>
    </row>
    <row r="2601" spans="1:14" x14ac:dyDescent="0.15">
      <c r="A2601" t="s">
        <v>15227</v>
      </c>
      <c r="B2601" t="s">
        <v>15230</v>
      </c>
      <c r="C2601" t="s">
        <v>15228</v>
      </c>
      <c r="D2601" t="s">
        <v>23</v>
      </c>
      <c r="E2601" t="s">
        <v>15229</v>
      </c>
      <c r="F2601" s="5">
        <v>5850000</v>
      </c>
      <c r="G2601" s="5">
        <v>5850000</v>
      </c>
      <c r="H2601" s="4">
        <v>4533000</v>
      </c>
      <c r="I2601" s="2">
        <f t="shared" si="195"/>
        <v>0.77487179487179492</v>
      </c>
      <c r="J2601" s="4">
        <v>4600000</v>
      </c>
      <c r="K2601" s="2">
        <f t="shared" si="196"/>
        <v>0.78632478632478631</v>
      </c>
      <c r="L2601" t="s">
        <v>574</v>
      </c>
      <c r="M2601" t="s">
        <v>174</v>
      </c>
      <c r="N2601" t="b">
        <f t="shared" si="197"/>
        <v>0</v>
      </c>
    </row>
    <row r="2602" spans="1:14" x14ac:dyDescent="0.15">
      <c r="A2602" t="s">
        <v>15227</v>
      </c>
      <c r="B2602" t="s">
        <v>15230</v>
      </c>
      <c r="C2602" t="s">
        <v>15231</v>
      </c>
      <c r="D2602" t="s">
        <v>23</v>
      </c>
      <c r="E2602" t="s">
        <v>15232</v>
      </c>
      <c r="F2602" s="5">
        <v>25820000</v>
      </c>
      <c r="G2602" s="5">
        <v>25820000</v>
      </c>
      <c r="I2602" s="2">
        <f t="shared" si="195"/>
        <v>0</v>
      </c>
      <c r="J2602" s="4">
        <v>17500000</v>
      </c>
      <c r="K2602" s="2">
        <f t="shared" si="196"/>
        <v>0.67776917118512781</v>
      </c>
      <c r="L2602" t="s">
        <v>903</v>
      </c>
      <c r="M2602" t="s">
        <v>192</v>
      </c>
      <c r="N2602" t="b">
        <f t="shared" si="197"/>
        <v>0</v>
      </c>
    </row>
    <row r="2603" spans="1:14" x14ac:dyDescent="0.15">
      <c r="A2603" t="s">
        <v>15227</v>
      </c>
      <c r="B2603" t="s">
        <v>15230</v>
      </c>
      <c r="C2603" t="s">
        <v>15233</v>
      </c>
      <c r="D2603" t="s">
        <v>23</v>
      </c>
      <c r="E2603" t="s">
        <v>15234</v>
      </c>
      <c r="F2603" s="5">
        <v>4714000</v>
      </c>
      <c r="G2603" s="5">
        <v>4714000</v>
      </c>
      <c r="I2603" s="2">
        <f t="shared" si="195"/>
        <v>0</v>
      </c>
      <c r="J2603" s="4">
        <v>4550000</v>
      </c>
      <c r="K2603" s="2">
        <f t="shared" si="196"/>
        <v>0.96521001272804408</v>
      </c>
      <c r="L2603" t="s">
        <v>5636</v>
      </c>
      <c r="M2603" t="s">
        <v>174</v>
      </c>
      <c r="N2603" t="b">
        <f t="shared" si="197"/>
        <v>0</v>
      </c>
    </row>
    <row r="2604" spans="1:14" x14ac:dyDescent="0.15">
      <c r="A2604" t="s">
        <v>15227</v>
      </c>
      <c r="B2604" t="s">
        <v>15230</v>
      </c>
      <c r="C2604" t="s">
        <v>15235</v>
      </c>
      <c r="D2604" t="s">
        <v>23</v>
      </c>
      <c r="E2604" t="s">
        <v>15236</v>
      </c>
      <c r="F2604" s="5">
        <v>11915000</v>
      </c>
      <c r="G2604" s="5">
        <v>11915000</v>
      </c>
      <c r="H2604" s="4">
        <v>9490000</v>
      </c>
      <c r="I2604" s="2">
        <f t="shared" si="195"/>
        <v>0.7964750314729333</v>
      </c>
      <c r="J2604" s="4">
        <v>11000000</v>
      </c>
      <c r="K2604" s="2">
        <f t="shared" si="196"/>
        <v>0.9232060428031893</v>
      </c>
      <c r="L2604" t="s">
        <v>263</v>
      </c>
      <c r="M2604" t="s">
        <v>192</v>
      </c>
      <c r="N2604" t="b">
        <f t="shared" si="197"/>
        <v>0</v>
      </c>
    </row>
    <row r="2605" spans="1:14" x14ac:dyDescent="0.15">
      <c r="A2605" t="s">
        <v>15227</v>
      </c>
      <c r="B2605" t="s">
        <v>15230</v>
      </c>
      <c r="C2605" t="s">
        <v>15237</v>
      </c>
      <c r="D2605" t="s">
        <v>23</v>
      </c>
      <c r="E2605" t="s">
        <v>15238</v>
      </c>
      <c r="F2605" s="5">
        <v>19012000</v>
      </c>
      <c r="G2605" s="5">
        <v>19012000</v>
      </c>
      <c r="H2605" s="4">
        <v>15139000</v>
      </c>
      <c r="I2605" s="2">
        <f t="shared" si="195"/>
        <v>0.79628655585945718</v>
      </c>
      <c r="J2605" s="4">
        <v>18000000</v>
      </c>
      <c r="K2605" s="2">
        <f t="shared" si="196"/>
        <v>0.94677046076162419</v>
      </c>
      <c r="L2605" t="s">
        <v>263</v>
      </c>
      <c r="M2605" t="s">
        <v>192</v>
      </c>
      <c r="N2605" t="b">
        <f t="shared" si="197"/>
        <v>0</v>
      </c>
    </row>
    <row r="2606" spans="1:14" x14ac:dyDescent="0.15">
      <c r="A2606" t="s">
        <v>15239</v>
      </c>
      <c r="B2606" t="s">
        <v>15242</v>
      </c>
      <c r="C2606" t="s">
        <v>15240</v>
      </c>
      <c r="D2606" t="s">
        <v>23</v>
      </c>
      <c r="E2606" t="s">
        <v>15241</v>
      </c>
      <c r="F2606" s="5" t="s">
        <v>145</v>
      </c>
      <c r="G2606" s="5">
        <v>5269000</v>
      </c>
      <c r="I2606" s="2">
        <f t="shared" si="195"/>
        <v>0</v>
      </c>
      <c r="J2606" s="4">
        <v>5000000</v>
      </c>
      <c r="K2606" s="2">
        <f t="shared" si="196"/>
        <v>0.94894666919719117</v>
      </c>
      <c r="L2606" t="s">
        <v>190</v>
      </c>
      <c r="M2606" t="s">
        <v>432</v>
      </c>
      <c r="N2606" t="b">
        <f t="shared" si="197"/>
        <v>1</v>
      </c>
    </row>
    <row r="2607" spans="1:14" x14ac:dyDescent="0.15">
      <c r="A2607" t="s">
        <v>15239</v>
      </c>
      <c r="B2607" t="s">
        <v>15242</v>
      </c>
      <c r="C2607" t="s">
        <v>15243</v>
      </c>
      <c r="D2607" t="s">
        <v>23</v>
      </c>
      <c r="E2607" t="s">
        <v>15244</v>
      </c>
      <c r="F2607" s="5" t="s">
        <v>145</v>
      </c>
      <c r="G2607" s="5">
        <v>11940000</v>
      </c>
      <c r="H2607" s="4">
        <v>9592000</v>
      </c>
      <c r="I2607" s="2">
        <f t="shared" si="195"/>
        <v>0.80335008375209382</v>
      </c>
      <c r="J2607" s="4">
        <v>10900000</v>
      </c>
      <c r="K2607" s="2">
        <f t="shared" si="196"/>
        <v>0.91289782244556117</v>
      </c>
      <c r="L2607" t="s">
        <v>10326</v>
      </c>
      <c r="M2607" t="s">
        <v>432</v>
      </c>
      <c r="N2607" t="b">
        <f t="shared" si="197"/>
        <v>1</v>
      </c>
    </row>
    <row r="2608" spans="1:14" x14ac:dyDescent="0.15">
      <c r="A2608" t="s">
        <v>15239</v>
      </c>
      <c r="B2608" t="s">
        <v>15242</v>
      </c>
      <c r="C2608" t="s">
        <v>15245</v>
      </c>
      <c r="D2608" t="s">
        <v>23</v>
      </c>
      <c r="E2608" t="s">
        <v>15246</v>
      </c>
      <c r="F2608" s="5" t="s">
        <v>145</v>
      </c>
      <c r="G2608" s="5">
        <v>1142000</v>
      </c>
      <c r="I2608" s="2">
        <f t="shared" si="195"/>
        <v>0</v>
      </c>
      <c r="J2608" s="4">
        <v>1110000</v>
      </c>
      <c r="K2608" s="2">
        <f t="shared" si="196"/>
        <v>0.97197898423817863</v>
      </c>
      <c r="L2608" t="s">
        <v>125</v>
      </c>
      <c r="M2608" t="s">
        <v>432</v>
      </c>
      <c r="N2608" t="b">
        <f t="shared" si="197"/>
        <v>1</v>
      </c>
    </row>
    <row r="2609" spans="1:14" x14ac:dyDescent="0.15">
      <c r="A2609" t="s">
        <v>15239</v>
      </c>
      <c r="B2609" t="s">
        <v>15242</v>
      </c>
      <c r="C2609" t="s">
        <v>15247</v>
      </c>
      <c r="D2609" t="s">
        <v>23</v>
      </c>
      <c r="E2609" t="s">
        <v>15248</v>
      </c>
      <c r="F2609" s="5" t="s">
        <v>145</v>
      </c>
      <c r="G2609" s="5">
        <v>1384000</v>
      </c>
      <c r="H2609" s="4">
        <v>1072000</v>
      </c>
      <c r="I2609" s="2">
        <f t="shared" si="195"/>
        <v>0.77456647398843925</v>
      </c>
      <c r="J2609" s="4">
        <v>1300000</v>
      </c>
      <c r="K2609" s="2">
        <f t="shared" si="196"/>
        <v>0.93930635838150289</v>
      </c>
      <c r="L2609" t="s">
        <v>416</v>
      </c>
      <c r="M2609" t="s">
        <v>432</v>
      </c>
      <c r="N2609" t="b">
        <f t="shared" si="197"/>
        <v>1</v>
      </c>
    </row>
    <row r="2610" spans="1:14" x14ac:dyDescent="0.15">
      <c r="A2610" t="s">
        <v>15239</v>
      </c>
      <c r="B2610" t="s">
        <v>15242</v>
      </c>
      <c r="C2610" t="s">
        <v>15249</v>
      </c>
      <c r="D2610" t="s">
        <v>23</v>
      </c>
      <c r="E2610" t="s">
        <v>15250</v>
      </c>
      <c r="F2610" s="5" t="s">
        <v>145</v>
      </c>
      <c r="G2610" s="5">
        <v>8590000</v>
      </c>
      <c r="I2610" s="2">
        <f t="shared" si="195"/>
        <v>0</v>
      </c>
      <c r="J2610" s="4">
        <v>8550000</v>
      </c>
      <c r="K2610" s="2">
        <f t="shared" si="196"/>
        <v>0.99534342258440045</v>
      </c>
      <c r="L2610" t="s">
        <v>125</v>
      </c>
      <c r="M2610" t="s">
        <v>432</v>
      </c>
      <c r="N2610" t="b">
        <f t="shared" si="197"/>
        <v>1</v>
      </c>
    </row>
    <row r="2611" spans="1:14" x14ac:dyDescent="0.15">
      <c r="A2611" t="s">
        <v>15239</v>
      </c>
      <c r="B2611" t="s">
        <v>15242</v>
      </c>
      <c r="C2611" t="s">
        <v>15251</v>
      </c>
      <c r="D2611" t="s">
        <v>23</v>
      </c>
      <c r="E2611" t="s">
        <v>15252</v>
      </c>
      <c r="F2611" s="5" t="s">
        <v>145</v>
      </c>
      <c r="G2611" s="5">
        <v>17420000</v>
      </c>
      <c r="H2611" s="4">
        <v>13616000</v>
      </c>
      <c r="I2611" s="2">
        <f t="shared" si="195"/>
        <v>0.7816303099885189</v>
      </c>
      <c r="J2611" s="4">
        <v>16000000</v>
      </c>
      <c r="K2611" s="2">
        <f t="shared" si="196"/>
        <v>0.91848450057405284</v>
      </c>
      <c r="L2611" t="s">
        <v>5068</v>
      </c>
      <c r="M2611" t="s">
        <v>432</v>
      </c>
      <c r="N2611" t="b">
        <f t="shared" si="197"/>
        <v>1</v>
      </c>
    </row>
    <row r="2612" spans="1:14" x14ac:dyDescent="0.15">
      <c r="A2612" t="s">
        <v>15239</v>
      </c>
      <c r="B2612" t="s">
        <v>15242</v>
      </c>
      <c r="C2612" t="s">
        <v>15253</v>
      </c>
      <c r="D2612" t="s">
        <v>23</v>
      </c>
      <c r="E2612" t="s">
        <v>2191</v>
      </c>
      <c r="F2612" s="5" t="s">
        <v>145</v>
      </c>
      <c r="G2612" s="5">
        <v>4020000</v>
      </c>
      <c r="H2612" s="4">
        <v>3244000</v>
      </c>
      <c r="I2612" s="2">
        <f t="shared" si="195"/>
        <v>0.8069651741293532</v>
      </c>
      <c r="J2612" s="4">
        <v>3700000</v>
      </c>
      <c r="K2612" s="2">
        <f t="shared" si="196"/>
        <v>0.92039800995024879</v>
      </c>
      <c r="L2612" t="s">
        <v>15254</v>
      </c>
      <c r="M2612" t="s">
        <v>432</v>
      </c>
      <c r="N2612" t="b">
        <f t="shared" si="197"/>
        <v>1</v>
      </c>
    </row>
    <row r="2613" spans="1:14" x14ac:dyDescent="0.15">
      <c r="A2613" t="s">
        <v>15239</v>
      </c>
      <c r="B2613" t="s">
        <v>15242</v>
      </c>
      <c r="C2613" t="s">
        <v>15255</v>
      </c>
      <c r="D2613" t="s">
        <v>23</v>
      </c>
      <c r="E2613" t="s">
        <v>2348</v>
      </c>
      <c r="F2613" s="5" t="s">
        <v>145</v>
      </c>
      <c r="G2613" s="5">
        <v>4097000</v>
      </c>
      <c r="H2613" s="4">
        <v>3266000</v>
      </c>
      <c r="I2613" s="2">
        <f t="shared" si="195"/>
        <v>0.79716865999511843</v>
      </c>
      <c r="J2613" s="4">
        <v>3880000</v>
      </c>
      <c r="K2613" s="2">
        <f t="shared" si="196"/>
        <v>0.94703441542592137</v>
      </c>
      <c r="L2613" t="s">
        <v>12467</v>
      </c>
      <c r="M2613" t="s">
        <v>432</v>
      </c>
      <c r="N2613" t="b">
        <f t="shared" si="197"/>
        <v>1</v>
      </c>
    </row>
    <row r="2614" spans="1:14" x14ac:dyDescent="0.15">
      <c r="A2614" t="s">
        <v>15239</v>
      </c>
      <c r="B2614" t="s">
        <v>15242</v>
      </c>
      <c r="C2614" t="s">
        <v>15256</v>
      </c>
      <c r="D2614" t="s">
        <v>23</v>
      </c>
      <c r="E2614" t="s">
        <v>15257</v>
      </c>
      <c r="F2614" s="5" t="s">
        <v>145</v>
      </c>
      <c r="G2614" s="5">
        <v>4963000</v>
      </c>
      <c r="H2614" s="4">
        <v>3906000</v>
      </c>
      <c r="I2614" s="2">
        <f t="shared" si="195"/>
        <v>0.78702397743300423</v>
      </c>
      <c r="J2614" s="4">
        <v>4600000</v>
      </c>
      <c r="K2614" s="2">
        <f t="shared" si="196"/>
        <v>0.92685875478541202</v>
      </c>
      <c r="L2614" t="s">
        <v>263</v>
      </c>
      <c r="M2614" t="s">
        <v>432</v>
      </c>
      <c r="N2614" t="b">
        <f t="shared" si="197"/>
        <v>1</v>
      </c>
    </row>
    <row r="2615" spans="1:14" x14ac:dyDescent="0.15">
      <c r="A2615" t="s">
        <v>15239</v>
      </c>
      <c r="B2615" t="s">
        <v>15242</v>
      </c>
      <c r="C2615" t="s">
        <v>15258</v>
      </c>
      <c r="D2615" t="s">
        <v>23</v>
      </c>
      <c r="E2615" t="s">
        <v>15259</v>
      </c>
      <c r="F2615" s="5" t="s">
        <v>145</v>
      </c>
      <c r="G2615" s="5">
        <v>5681000</v>
      </c>
      <c r="H2615" s="4">
        <v>4565000</v>
      </c>
      <c r="I2615" s="2">
        <f t="shared" si="195"/>
        <v>0.80355571202253129</v>
      </c>
      <c r="J2615" s="4">
        <v>5300000</v>
      </c>
      <c r="K2615" s="2">
        <f t="shared" si="196"/>
        <v>0.93293434254532648</v>
      </c>
      <c r="L2615" t="s">
        <v>263</v>
      </c>
      <c r="M2615" t="s">
        <v>432</v>
      </c>
      <c r="N2615" t="b">
        <f t="shared" si="197"/>
        <v>1</v>
      </c>
    </row>
    <row r="2616" spans="1:14" x14ac:dyDescent="0.15">
      <c r="A2616" t="s">
        <v>15239</v>
      </c>
      <c r="B2616" t="s">
        <v>15242</v>
      </c>
      <c r="C2616" t="s">
        <v>15260</v>
      </c>
      <c r="D2616" t="s">
        <v>23</v>
      </c>
      <c r="E2616" t="s">
        <v>15261</v>
      </c>
      <c r="F2616" s="5" t="s">
        <v>145</v>
      </c>
      <c r="G2616" s="5">
        <v>2081000</v>
      </c>
      <c r="H2616" s="4">
        <v>1677000</v>
      </c>
      <c r="I2616" s="2">
        <f t="shared" si="195"/>
        <v>0.80586256607400286</v>
      </c>
      <c r="J2616" s="4">
        <v>1800000</v>
      </c>
      <c r="K2616" s="2">
        <f t="shared" si="196"/>
        <v>0.86496876501681885</v>
      </c>
      <c r="L2616" t="s">
        <v>439</v>
      </c>
      <c r="M2616" t="s">
        <v>432</v>
      </c>
      <c r="N2616" t="b">
        <f t="shared" si="197"/>
        <v>1</v>
      </c>
    </row>
    <row r="2617" spans="1:14" x14ac:dyDescent="0.15">
      <c r="A2617" t="s">
        <v>15239</v>
      </c>
      <c r="B2617" t="s">
        <v>15242</v>
      </c>
      <c r="C2617" t="s">
        <v>15262</v>
      </c>
      <c r="D2617" t="s">
        <v>23</v>
      </c>
      <c r="E2617" t="s">
        <v>15263</v>
      </c>
      <c r="F2617" s="5" t="s">
        <v>145</v>
      </c>
      <c r="G2617" s="5">
        <v>6905000</v>
      </c>
      <c r="H2617" s="4">
        <v>5548000</v>
      </c>
      <c r="I2617" s="2">
        <f t="shared" si="195"/>
        <v>0.80347574221578566</v>
      </c>
      <c r="J2617" s="4">
        <v>6500000</v>
      </c>
      <c r="K2617" s="2">
        <f t="shared" si="196"/>
        <v>0.94134685010861696</v>
      </c>
      <c r="L2617" t="s">
        <v>263</v>
      </c>
      <c r="M2617" t="s">
        <v>432</v>
      </c>
      <c r="N2617" t="b">
        <f t="shared" si="197"/>
        <v>1</v>
      </c>
    </row>
    <row r="2618" spans="1:14" x14ac:dyDescent="0.15">
      <c r="A2618" t="s">
        <v>15239</v>
      </c>
      <c r="B2618" t="s">
        <v>15242</v>
      </c>
      <c r="C2618" t="s">
        <v>15264</v>
      </c>
      <c r="D2618" t="s">
        <v>23</v>
      </c>
      <c r="E2618" t="s">
        <v>15265</v>
      </c>
      <c r="F2618" s="5" t="s">
        <v>145</v>
      </c>
      <c r="G2618" s="5">
        <v>4428000</v>
      </c>
      <c r="H2618" s="4">
        <v>3556000</v>
      </c>
      <c r="I2618" s="2">
        <f t="shared" si="195"/>
        <v>0.80307136404697377</v>
      </c>
      <c r="J2618" s="4">
        <v>4200000</v>
      </c>
      <c r="K2618" s="2">
        <f t="shared" si="196"/>
        <v>0.948509485094851</v>
      </c>
      <c r="L2618" t="s">
        <v>709</v>
      </c>
      <c r="M2618" t="s">
        <v>432</v>
      </c>
      <c r="N2618" t="b">
        <f t="shared" si="197"/>
        <v>1</v>
      </c>
    </row>
    <row r="2619" spans="1:14" x14ac:dyDescent="0.15">
      <c r="A2619" t="s">
        <v>15239</v>
      </c>
      <c r="B2619" t="s">
        <v>15242</v>
      </c>
      <c r="C2619" t="s">
        <v>15266</v>
      </c>
      <c r="D2619" t="s">
        <v>23</v>
      </c>
      <c r="E2619" t="s">
        <v>15267</v>
      </c>
      <c r="F2619" s="5" t="s">
        <v>145</v>
      </c>
      <c r="G2619" s="5">
        <v>4760000</v>
      </c>
      <c r="I2619" s="2">
        <f t="shared" si="195"/>
        <v>0</v>
      </c>
      <c r="J2619" s="4">
        <v>4530000</v>
      </c>
      <c r="K2619" s="2">
        <f t="shared" si="196"/>
        <v>0.95168067226890751</v>
      </c>
      <c r="L2619" t="s">
        <v>5186</v>
      </c>
      <c r="M2619" t="s">
        <v>432</v>
      </c>
      <c r="N2619" t="b">
        <f t="shared" si="197"/>
        <v>1</v>
      </c>
    </row>
    <row r="2620" spans="1:14" x14ac:dyDescent="0.15">
      <c r="A2620" t="s">
        <v>15239</v>
      </c>
      <c r="B2620" t="s">
        <v>15242</v>
      </c>
      <c r="C2620" t="s">
        <v>15268</v>
      </c>
      <c r="D2620" t="s">
        <v>23</v>
      </c>
      <c r="E2620" t="s">
        <v>15269</v>
      </c>
      <c r="F2620" s="5" t="s">
        <v>145</v>
      </c>
      <c r="G2620" s="5">
        <v>7264000</v>
      </c>
      <c r="H2620" s="4">
        <v>5848000</v>
      </c>
      <c r="I2620" s="2">
        <f t="shared" si="195"/>
        <v>0.80506607929515417</v>
      </c>
      <c r="J2620" s="4">
        <v>6900000</v>
      </c>
      <c r="K2620" s="2">
        <f t="shared" si="196"/>
        <v>0.94988986784140972</v>
      </c>
      <c r="L2620" t="s">
        <v>263</v>
      </c>
      <c r="M2620" t="s">
        <v>432</v>
      </c>
      <c r="N2620" t="b">
        <f t="shared" si="197"/>
        <v>1</v>
      </c>
    </row>
    <row r="2621" spans="1:14" x14ac:dyDescent="0.15">
      <c r="A2621" t="s">
        <v>15239</v>
      </c>
      <c r="B2621" t="s">
        <v>15242</v>
      </c>
      <c r="C2621" t="s">
        <v>15270</v>
      </c>
      <c r="D2621" t="s">
        <v>23</v>
      </c>
      <c r="E2621" t="s">
        <v>15271</v>
      </c>
      <c r="F2621" s="5" t="s">
        <v>145</v>
      </c>
      <c r="G2621" s="5">
        <v>5619000</v>
      </c>
      <c r="H2621" s="4">
        <v>4517000</v>
      </c>
      <c r="I2621" s="2">
        <f t="shared" si="195"/>
        <v>0.80387969389571101</v>
      </c>
      <c r="J2621" s="4">
        <v>5240000</v>
      </c>
      <c r="K2621" s="2">
        <f t="shared" si="196"/>
        <v>0.93255027584979533</v>
      </c>
      <c r="L2621" t="s">
        <v>1366</v>
      </c>
      <c r="M2621" t="s">
        <v>432</v>
      </c>
      <c r="N2621" t="b">
        <f t="shared" si="197"/>
        <v>1</v>
      </c>
    </row>
    <row r="2622" spans="1:14" x14ac:dyDescent="0.15">
      <c r="A2622" t="s">
        <v>15239</v>
      </c>
      <c r="B2622" t="s">
        <v>15242</v>
      </c>
      <c r="C2622" t="s">
        <v>15272</v>
      </c>
      <c r="D2622" t="s">
        <v>23</v>
      </c>
      <c r="E2622" t="s">
        <v>15273</v>
      </c>
      <c r="F2622" s="5" t="s">
        <v>145</v>
      </c>
      <c r="G2622" s="5">
        <v>6546000</v>
      </c>
      <c r="H2622" s="4">
        <v>5287000</v>
      </c>
      <c r="I2622" s="2">
        <f t="shared" si="195"/>
        <v>0.80766880537732966</v>
      </c>
      <c r="J2622" s="4">
        <v>5990000</v>
      </c>
      <c r="K2622" s="2">
        <f t="shared" si="196"/>
        <v>0.91506263366941643</v>
      </c>
      <c r="L2622" t="s">
        <v>1366</v>
      </c>
      <c r="M2622" t="s">
        <v>432</v>
      </c>
      <c r="N2622" t="b">
        <f t="shared" si="197"/>
        <v>1</v>
      </c>
    </row>
    <row r="2623" spans="1:14" x14ac:dyDescent="0.15">
      <c r="A2623" t="s">
        <v>15239</v>
      </c>
      <c r="B2623" t="s">
        <v>15242</v>
      </c>
      <c r="C2623" t="s">
        <v>15274</v>
      </c>
      <c r="D2623" t="s">
        <v>23</v>
      </c>
      <c r="E2623" t="s">
        <v>15275</v>
      </c>
      <c r="F2623" s="5" t="s">
        <v>145</v>
      </c>
      <c r="G2623" s="5">
        <v>16202000</v>
      </c>
      <c r="H2623" s="4">
        <v>13005000</v>
      </c>
      <c r="I2623" s="2">
        <f t="shared" si="195"/>
        <v>0.8026786816442415</v>
      </c>
      <c r="J2623" s="4">
        <v>14400000</v>
      </c>
      <c r="K2623" s="2">
        <f t="shared" si="196"/>
        <v>0.88877916306628812</v>
      </c>
      <c r="L2623" t="s">
        <v>2037</v>
      </c>
      <c r="M2623" t="s">
        <v>432</v>
      </c>
      <c r="N2623" t="b">
        <f t="shared" si="197"/>
        <v>1</v>
      </c>
    </row>
    <row r="2624" spans="1:14" x14ac:dyDescent="0.15">
      <c r="A2624" t="s">
        <v>15239</v>
      </c>
      <c r="B2624" t="s">
        <v>15242</v>
      </c>
      <c r="C2624" t="s">
        <v>15276</v>
      </c>
      <c r="D2624" t="s">
        <v>23</v>
      </c>
      <c r="E2624" t="s">
        <v>15277</v>
      </c>
      <c r="F2624" s="5" t="s">
        <v>145</v>
      </c>
      <c r="G2624" s="5">
        <v>30290000</v>
      </c>
      <c r="H2624" s="4">
        <v>24187000</v>
      </c>
      <c r="I2624" s="2">
        <f t="shared" si="195"/>
        <v>0.79851436117530539</v>
      </c>
      <c r="J2624" s="4">
        <v>28500000</v>
      </c>
      <c r="K2624" s="2">
        <f t="shared" si="196"/>
        <v>0.94090458897325846</v>
      </c>
      <c r="L2624" t="s">
        <v>12393</v>
      </c>
      <c r="M2624" t="s">
        <v>174</v>
      </c>
      <c r="N2624" t="b">
        <f t="shared" si="197"/>
        <v>1</v>
      </c>
    </row>
    <row r="2625" spans="1:14" x14ac:dyDescent="0.15">
      <c r="A2625" t="s">
        <v>15239</v>
      </c>
      <c r="B2625" t="s">
        <v>15242</v>
      </c>
      <c r="C2625" t="s">
        <v>15278</v>
      </c>
      <c r="D2625" t="s">
        <v>23</v>
      </c>
      <c r="E2625" t="s">
        <v>15279</v>
      </c>
      <c r="F2625" s="5" t="s">
        <v>145</v>
      </c>
      <c r="G2625" s="5">
        <v>7360000</v>
      </c>
      <c r="H2625" s="4">
        <v>5914000</v>
      </c>
      <c r="I2625" s="2">
        <f t="shared" si="195"/>
        <v>0.80353260869565213</v>
      </c>
      <c r="J2625" s="4">
        <v>6800000</v>
      </c>
      <c r="K2625" s="2">
        <f t="shared" si="196"/>
        <v>0.92391304347826086</v>
      </c>
      <c r="L2625" t="s">
        <v>10326</v>
      </c>
      <c r="M2625" t="s">
        <v>432</v>
      </c>
      <c r="N2625" t="b">
        <f t="shared" si="197"/>
        <v>1</v>
      </c>
    </row>
    <row r="2626" spans="1:14" x14ac:dyDescent="0.15">
      <c r="A2626" t="s">
        <v>15239</v>
      </c>
      <c r="B2626" t="s">
        <v>15242</v>
      </c>
      <c r="C2626" t="s">
        <v>15240</v>
      </c>
      <c r="D2626" t="s">
        <v>23</v>
      </c>
      <c r="E2626" t="s">
        <v>15280</v>
      </c>
      <c r="F2626" s="5" t="s">
        <v>145</v>
      </c>
      <c r="G2626" s="5">
        <v>5099000</v>
      </c>
      <c r="I2626" s="2">
        <f t="shared" si="195"/>
        <v>0</v>
      </c>
      <c r="J2626" s="4">
        <v>5010000</v>
      </c>
      <c r="K2626" s="2">
        <f t="shared" si="196"/>
        <v>0.98254559717591683</v>
      </c>
      <c r="L2626" t="s">
        <v>190</v>
      </c>
      <c r="M2626" t="s">
        <v>432</v>
      </c>
      <c r="N2626" t="b">
        <f t="shared" si="197"/>
        <v>1</v>
      </c>
    </row>
    <row r="2627" spans="1:14" x14ac:dyDescent="0.15">
      <c r="A2627" t="s">
        <v>15239</v>
      </c>
      <c r="B2627" t="s">
        <v>15242</v>
      </c>
      <c r="C2627" t="s">
        <v>15281</v>
      </c>
      <c r="D2627" t="s">
        <v>23</v>
      </c>
      <c r="E2627" t="s">
        <v>15282</v>
      </c>
      <c r="F2627" s="5" t="s">
        <v>145</v>
      </c>
      <c r="G2627" s="5">
        <v>9747000</v>
      </c>
      <c r="H2627" s="4">
        <v>7832000</v>
      </c>
      <c r="I2627" s="2">
        <f t="shared" si="195"/>
        <v>0.80352929106391713</v>
      </c>
      <c r="J2627" s="4">
        <v>9000000</v>
      </c>
      <c r="K2627" s="2">
        <f t="shared" si="196"/>
        <v>0.92336103416435822</v>
      </c>
      <c r="L2627" t="s">
        <v>4158</v>
      </c>
      <c r="M2627" t="s">
        <v>432</v>
      </c>
      <c r="N2627" t="b">
        <f t="shared" si="197"/>
        <v>1</v>
      </c>
    </row>
    <row r="2628" spans="1:14" x14ac:dyDescent="0.15">
      <c r="A2628" t="s">
        <v>15239</v>
      </c>
      <c r="B2628" t="s">
        <v>15242</v>
      </c>
      <c r="C2628" t="s">
        <v>15283</v>
      </c>
      <c r="D2628" t="s">
        <v>23</v>
      </c>
      <c r="E2628" t="s">
        <v>15284</v>
      </c>
      <c r="F2628" s="5" t="s">
        <v>145</v>
      </c>
      <c r="G2628" s="5">
        <v>631000</v>
      </c>
      <c r="I2628" s="2">
        <f t="shared" ref="I2628:I2691" si="202">H2628/G2628</f>
        <v>0</v>
      </c>
      <c r="J2628" s="4">
        <v>590000</v>
      </c>
      <c r="K2628" s="2">
        <f t="shared" ref="K2628:K2691" si="203">J2628/G2628</f>
        <v>0.9350237717908082</v>
      </c>
      <c r="L2628" t="s">
        <v>1624</v>
      </c>
      <c r="M2628" t="s">
        <v>432</v>
      </c>
      <c r="N2628" t="b">
        <f t="shared" ref="N2628:N2691" si="204">F2628&lt;&gt;G2628</f>
        <v>1</v>
      </c>
    </row>
    <row r="2629" spans="1:14" x14ac:dyDescent="0.15">
      <c r="A2629" t="s">
        <v>15239</v>
      </c>
      <c r="B2629" t="s">
        <v>15242</v>
      </c>
      <c r="C2629" t="s">
        <v>15285</v>
      </c>
      <c r="D2629" t="s">
        <v>23</v>
      </c>
      <c r="E2629" t="s">
        <v>15286</v>
      </c>
      <c r="F2629" s="5" t="s">
        <v>145</v>
      </c>
      <c r="G2629" s="5">
        <v>1579000</v>
      </c>
      <c r="I2629" s="2">
        <f t="shared" si="202"/>
        <v>0</v>
      </c>
      <c r="J2629" s="4">
        <v>650000</v>
      </c>
      <c r="K2629" s="2">
        <f t="shared" si="203"/>
        <v>0.41165294490183663</v>
      </c>
      <c r="L2629" t="s">
        <v>1558</v>
      </c>
      <c r="M2629" t="s">
        <v>432</v>
      </c>
      <c r="N2629" t="b">
        <f t="shared" si="204"/>
        <v>1</v>
      </c>
    </row>
    <row r="2630" spans="1:14" x14ac:dyDescent="0.15">
      <c r="A2630" t="s">
        <v>15239</v>
      </c>
      <c r="B2630" t="s">
        <v>15242</v>
      </c>
      <c r="C2630" t="s">
        <v>15287</v>
      </c>
      <c r="D2630" t="s">
        <v>23</v>
      </c>
      <c r="E2630" t="s">
        <v>15288</v>
      </c>
      <c r="F2630" s="5" t="s">
        <v>145</v>
      </c>
      <c r="G2630" s="5">
        <v>3264000</v>
      </c>
      <c r="H2630" s="4">
        <v>2553000</v>
      </c>
      <c r="I2630" s="2">
        <f t="shared" si="202"/>
        <v>0.78216911764705888</v>
      </c>
      <c r="J2630" s="4">
        <v>3080000</v>
      </c>
      <c r="K2630" s="2">
        <f t="shared" si="203"/>
        <v>0.94362745098039214</v>
      </c>
      <c r="L2630" t="s">
        <v>416</v>
      </c>
      <c r="M2630" t="s">
        <v>432</v>
      </c>
      <c r="N2630" t="b">
        <f t="shared" si="204"/>
        <v>1</v>
      </c>
    </row>
    <row r="2631" spans="1:14" x14ac:dyDescent="0.15">
      <c r="A2631" t="s">
        <v>15239</v>
      </c>
      <c r="B2631" t="s">
        <v>15242</v>
      </c>
      <c r="C2631" t="s">
        <v>15249</v>
      </c>
      <c r="D2631" t="s">
        <v>23</v>
      </c>
      <c r="E2631" t="s">
        <v>15289</v>
      </c>
      <c r="F2631" s="5" t="s">
        <v>145</v>
      </c>
      <c r="G2631" s="5">
        <v>8537000</v>
      </c>
      <c r="I2631" s="2">
        <f t="shared" si="202"/>
        <v>0</v>
      </c>
      <c r="J2631" s="4">
        <v>8220000</v>
      </c>
      <c r="K2631" s="2">
        <f t="shared" si="203"/>
        <v>0.96286751786341807</v>
      </c>
      <c r="L2631" t="s">
        <v>125</v>
      </c>
      <c r="M2631" t="s">
        <v>432</v>
      </c>
      <c r="N2631" t="b">
        <f t="shared" si="204"/>
        <v>1</v>
      </c>
    </row>
    <row r="2632" spans="1:14" x14ac:dyDescent="0.15">
      <c r="A2632" t="s">
        <v>15239</v>
      </c>
      <c r="B2632" t="s">
        <v>15242</v>
      </c>
      <c r="C2632" t="s">
        <v>15245</v>
      </c>
      <c r="D2632" t="s">
        <v>23</v>
      </c>
      <c r="E2632" t="s">
        <v>15290</v>
      </c>
      <c r="F2632" s="5" t="s">
        <v>145</v>
      </c>
      <c r="G2632" s="5">
        <v>1105400</v>
      </c>
      <c r="I2632" s="2">
        <f t="shared" si="202"/>
        <v>0</v>
      </c>
      <c r="J2632" s="4">
        <v>1000000</v>
      </c>
      <c r="K2632" s="2">
        <f t="shared" si="203"/>
        <v>0.90464990048851091</v>
      </c>
      <c r="L2632" t="s">
        <v>125</v>
      </c>
      <c r="M2632" t="s">
        <v>432</v>
      </c>
      <c r="N2632" t="b">
        <f t="shared" si="204"/>
        <v>1</v>
      </c>
    </row>
    <row r="2633" spans="1:14" x14ac:dyDescent="0.15">
      <c r="A2633" t="s">
        <v>15239</v>
      </c>
      <c r="B2633" t="s">
        <v>15242</v>
      </c>
      <c r="C2633" t="s">
        <v>15291</v>
      </c>
      <c r="D2633" t="s">
        <v>23</v>
      </c>
      <c r="E2633" t="s">
        <v>15292</v>
      </c>
      <c r="F2633" s="5" t="s">
        <v>145</v>
      </c>
      <c r="G2633" s="5">
        <v>2580000</v>
      </c>
      <c r="I2633" s="2">
        <f t="shared" si="202"/>
        <v>0</v>
      </c>
      <c r="J2633" s="4">
        <v>2280000</v>
      </c>
      <c r="K2633" s="2">
        <f t="shared" si="203"/>
        <v>0.88372093023255816</v>
      </c>
      <c r="L2633" t="s">
        <v>1624</v>
      </c>
      <c r="M2633" t="s">
        <v>80</v>
      </c>
      <c r="N2633" t="b">
        <f t="shared" si="204"/>
        <v>1</v>
      </c>
    </row>
    <row r="2634" spans="1:14" x14ac:dyDescent="0.15">
      <c r="A2634" t="s">
        <v>15239</v>
      </c>
      <c r="B2634" t="s">
        <v>15242</v>
      </c>
      <c r="C2634" t="s">
        <v>15293</v>
      </c>
      <c r="D2634" t="s">
        <v>23</v>
      </c>
      <c r="E2634" t="s">
        <v>15294</v>
      </c>
      <c r="F2634" s="5" t="s">
        <v>145</v>
      </c>
      <c r="G2634" s="5">
        <v>3952000</v>
      </c>
      <c r="I2634" s="2">
        <f t="shared" si="202"/>
        <v>0</v>
      </c>
      <c r="J2634" s="4">
        <v>3650000</v>
      </c>
      <c r="K2634" s="2">
        <f t="shared" si="203"/>
        <v>0.92358299595141702</v>
      </c>
      <c r="L2634" t="s">
        <v>1624</v>
      </c>
      <c r="M2634" t="s">
        <v>432</v>
      </c>
      <c r="N2634" t="b">
        <f t="shared" si="204"/>
        <v>1</v>
      </c>
    </row>
    <row r="2635" spans="1:14" x14ac:dyDescent="0.15">
      <c r="A2635" t="s">
        <v>15239</v>
      </c>
      <c r="B2635" t="s">
        <v>15242</v>
      </c>
      <c r="C2635" t="s">
        <v>15295</v>
      </c>
      <c r="D2635" t="s">
        <v>23</v>
      </c>
      <c r="E2635" t="s">
        <v>15296</v>
      </c>
      <c r="F2635" s="5" t="s">
        <v>145</v>
      </c>
      <c r="G2635" s="5">
        <v>5267000</v>
      </c>
      <c r="I2635" s="2">
        <f t="shared" si="202"/>
        <v>0</v>
      </c>
      <c r="J2635" s="4">
        <v>3450000</v>
      </c>
      <c r="K2635" s="2">
        <f t="shared" si="203"/>
        <v>0.65502183406113534</v>
      </c>
      <c r="L2635" t="s">
        <v>608</v>
      </c>
      <c r="M2635" t="s">
        <v>432</v>
      </c>
      <c r="N2635" t="b">
        <f t="shared" si="204"/>
        <v>1</v>
      </c>
    </row>
    <row r="2636" spans="1:14" x14ac:dyDescent="0.15">
      <c r="A2636" t="s">
        <v>15239</v>
      </c>
      <c r="B2636" t="s">
        <v>15242</v>
      </c>
      <c r="C2636" t="s">
        <v>15297</v>
      </c>
      <c r="D2636" t="s">
        <v>23</v>
      </c>
      <c r="E2636" t="s">
        <v>15298</v>
      </c>
      <c r="F2636" s="5" t="s">
        <v>145</v>
      </c>
      <c r="G2636" s="5">
        <v>9719000</v>
      </c>
      <c r="I2636" s="2">
        <f t="shared" si="202"/>
        <v>0</v>
      </c>
      <c r="J2636" s="4">
        <v>9040000</v>
      </c>
      <c r="K2636" s="2">
        <f t="shared" si="203"/>
        <v>0.93013684535446028</v>
      </c>
      <c r="L2636" t="s">
        <v>608</v>
      </c>
      <c r="M2636" t="s">
        <v>432</v>
      </c>
      <c r="N2636" t="b">
        <f t="shared" si="204"/>
        <v>1</v>
      </c>
    </row>
    <row r="2637" spans="1:14" x14ac:dyDescent="0.15">
      <c r="A2637" t="s">
        <v>15239</v>
      </c>
      <c r="B2637" t="s">
        <v>15242</v>
      </c>
      <c r="C2637" t="s">
        <v>15299</v>
      </c>
      <c r="D2637" t="s">
        <v>23</v>
      </c>
      <c r="E2637" t="s">
        <v>15300</v>
      </c>
      <c r="F2637" s="5" t="s">
        <v>145</v>
      </c>
      <c r="G2637" s="5">
        <v>3932000</v>
      </c>
      <c r="H2637" s="4">
        <v>3247000</v>
      </c>
      <c r="I2637" s="2">
        <f t="shared" si="202"/>
        <v>0.82578840284842314</v>
      </c>
      <c r="J2637" s="4">
        <v>3800000</v>
      </c>
      <c r="K2637" s="2">
        <f t="shared" si="203"/>
        <v>0.9664292980671414</v>
      </c>
      <c r="L2637" t="s">
        <v>263</v>
      </c>
      <c r="M2637" t="s">
        <v>432</v>
      </c>
      <c r="N2637" t="b">
        <f t="shared" si="204"/>
        <v>1</v>
      </c>
    </row>
    <row r="2638" spans="1:14" x14ac:dyDescent="0.15">
      <c r="A2638" t="s">
        <v>15239</v>
      </c>
      <c r="B2638" t="s">
        <v>15242</v>
      </c>
      <c r="C2638" t="s">
        <v>15301</v>
      </c>
      <c r="D2638" t="s">
        <v>23</v>
      </c>
      <c r="E2638" t="s">
        <v>15302</v>
      </c>
      <c r="F2638" s="5" t="s">
        <v>145</v>
      </c>
      <c r="G2638" s="5">
        <v>7886000</v>
      </c>
      <c r="H2638" s="4">
        <v>6212000</v>
      </c>
      <c r="I2638" s="2">
        <f t="shared" si="202"/>
        <v>0.78772508242454986</v>
      </c>
      <c r="J2638" s="4">
        <v>7800000</v>
      </c>
      <c r="K2638" s="2">
        <f t="shared" si="203"/>
        <v>0.98909459802181077</v>
      </c>
      <c r="L2638" t="s">
        <v>819</v>
      </c>
      <c r="M2638" t="s">
        <v>432</v>
      </c>
      <c r="N2638" t="b">
        <f t="shared" si="204"/>
        <v>1</v>
      </c>
    </row>
    <row r="2639" spans="1:14" x14ac:dyDescent="0.15">
      <c r="A2639" t="s">
        <v>15239</v>
      </c>
      <c r="B2639" t="s">
        <v>15242</v>
      </c>
      <c r="C2639" t="s">
        <v>15303</v>
      </c>
      <c r="D2639" t="s">
        <v>23</v>
      </c>
      <c r="E2639" t="s">
        <v>15304</v>
      </c>
      <c r="F2639" s="5" t="s">
        <v>145</v>
      </c>
      <c r="G2639" s="5">
        <v>3697000</v>
      </c>
      <c r="I2639" s="2">
        <f t="shared" si="202"/>
        <v>0</v>
      </c>
      <c r="J2639" s="4">
        <v>3500000</v>
      </c>
      <c r="K2639" s="2">
        <f t="shared" si="203"/>
        <v>0.9467135515282662</v>
      </c>
      <c r="L2639" t="s">
        <v>608</v>
      </c>
      <c r="M2639" t="s">
        <v>432</v>
      </c>
      <c r="N2639" t="b">
        <f t="shared" si="204"/>
        <v>1</v>
      </c>
    </row>
    <row r="2640" spans="1:14" x14ac:dyDescent="0.15">
      <c r="A2640" t="s">
        <v>15239</v>
      </c>
      <c r="B2640" t="s">
        <v>15242</v>
      </c>
      <c r="C2640" t="s">
        <v>15305</v>
      </c>
      <c r="D2640" t="s">
        <v>23</v>
      </c>
      <c r="E2640" t="s">
        <v>15306</v>
      </c>
      <c r="F2640" s="5" t="s">
        <v>145</v>
      </c>
      <c r="G2640" s="5">
        <v>7130000</v>
      </c>
      <c r="I2640" s="2">
        <f t="shared" si="202"/>
        <v>0</v>
      </c>
      <c r="J2640" s="4">
        <v>5000000</v>
      </c>
      <c r="K2640" s="2">
        <f t="shared" si="203"/>
        <v>0.70126227208976155</v>
      </c>
      <c r="L2640" t="s">
        <v>12393</v>
      </c>
      <c r="M2640" t="s">
        <v>432</v>
      </c>
      <c r="N2640" t="b">
        <f t="shared" si="204"/>
        <v>1</v>
      </c>
    </row>
    <row r="2641" spans="1:14" x14ac:dyDescent="0.15">
      <c r="A2641" t="s">
        <v>15239</v>
      </c>
      <c r="B2641" t="s">
        <v>15242</v>
      </c>
      <c r="C2641" t="s">
        <v>15307</v>
      </c>
      <c r="D2641" t="s">
        <v>23</v>
      </c>
      <c r="E2641" t="s">
        <v>15308</v>
      </c>
      <c r="F2641" s="5" t="s">
        <v>145</v>
      </c>
      <c r="G2641" s="5">
        <v>4100000</v>
      </c>
      <c r="I2641" s="2">
        <f t="shared" si="202"/>
        <v>0</v>
      </c>
      <c r="J2641" s="4">
        <v>3800000</v>
      </c>
      <c r="K2641" s="2">
        <f t="shared" si="203"/>
        <v>0.92682926829268297</v>
      </c>
      <c r="L2641" t="s">
        <v>15309</v>
      </c>
      <c r="M2641" t="s">
        <v>432</v>
      </c>
      <c r="N2641" t="b">
        <f t="shared" si="204"/>
        <v>1</v>
      </c>
    </row>
    <row r="2642" spans="1:14" x14ac:dyDescent="0.15">
      <c r="A2642" t="s">
        <v>15239</v>
      </c>
      <c r="B2642" t="s">
        <v>15242</v>
      </c>
      <c r="C2642" t="s">
        <v>15310</v>
      </c>
      <c r="D2642" t="s">
        <v>23</v>
      </c>
      <c r="E2642" t="s">
        <v>15311</v>
      </c>
      <c r="F2642" s="5" t="s">
        <v>145</v>
      </c>
      <c r="G2642" s="5">
        <v>2472000</v>
      </c>
      <c r="I2642" s="2">
        <f t="shared" si="202"/>
        <v>0</v>
      </c>
      <c r="J2642" s="4">
        <v>2300000</v>
      </c>
      <c r="K2642" s="2">
        <f t="shared" si="203"/>
        <v>0.93042071197411003</v>
      </c>
      <c r="L2642" t="s">
        <v>12518</v>
      </c>
      <c r="M2642" t="s">
        <v>432</v>
      </c>
      <c r="N2642" t="b">
        <f t="shared" si="204"/>
        <v>1</v>
      </c>
    </row>
    <row r="2643" spans="1:14" x14ac:dyDescent="0.15">
      <c r="A2643" t="s">
        <v>15239</v>
      </c>
      <c r="B2643" t="s">
        <v>15242</v>
      </c>
      <c r="C2643" t="s">
        <v>15312</v>
      </c>
      <c r="D2643" t="s">
        <v>23</v>
      </c>
      <c r="E2643" t="s">
        <v>15313</v>
      </c>
      <c r="F2643" s="5" t="s">
        <v>145</v>
      </c>
      <c r="G2643" s="5">
        <v>3011000</v>
      </c>
      <c r="I2643" s="2">
        <f t="shared" si="202"/>
        <v>0</v>
      </c>
      <c r="J2643" s="4">
        <v>2700000</v>
      </c>
      <c r="K2643" s="2">
        <f t="shared" si="203"/>
        <v>0.8967120557954168</v>
      </c>
      <c r="L2643" t="s">
        <v>263</v>
      </c>
      <c r="M2643" t="s">
        <v>432</v>
      </c>
      <c r="N2643" t="b">
        <f t="shared" si="204"/>
        <v>1</v>
      </c>
    </row>
    <row r="2644" spans="1:14" x14ac:dyDescent="0.15">
      <c r="A2644" t="s">
        <v>15239</v>
      </c>
      <c r="B2644" t="s">
        <v>15242</v>
      </c>
      <c r="C2644" t="s">
        <v>15314</v>
      </c>
      <c r="D2644" t="s">
        <v>23</v>
      </c>
      <c r="E2644" t="s">
        <v>15315</v>
      </c>
      <c r="F2644" s="5" t="s">
        <v>145</v>
      </c>
      <c r="G2644" s="5">
        <v>18842000</v>
      </c>
      <c r="H2644" s="4">
        <v>14984000</v>
      </c>
      <c r="I2644" s="2">
        <f t="shared" si="202"/>
        <v>0.79524466617131939</v>
      </c>
      <c r="J2644" s="4">
        <v>17340000</v>
      </c>
      <c r="K2644" s="2">
        <f t="shared" si="203"/>
        <v>0.92028447086296572</v>
      </c>
      <c r="L2644" t="s">
        <v>5186</v>
      </c>
      <c r="M2644" t="s">
        <v>432</v>
      </c>
      <c r="N2644" t="b">
        <f t="shared" si="204"/>
        <v>1</v>
      </c>
    </row>
    <row r="2645" spans="1:14" x14ac:dyDescent="0.15">
      <c r="A2645" t="s">
        <v>15239</v>
      </c>
      <c r="B2645" t="s">
        <v>15242</v>
      </c>
      <c r="C2645" t="s">
        <v>15316</v>
      </c>
      <c r="D2645" t="s">
        <v>23</v>
      </c>
      <c r="E2645" t="s">
        <v>15317</v>
      </c>
      <c r="F2645" s="5" t="s">
        <v>145</v>
      </c>
      <c r="G2645" s="5">
        <v>4759000</v>
      </c>
      <c r="I2645" s="2">
        <f t="shared" si="202"/>
        <v>0</v>
      </c>
      <c r="J2645" s="4">
        <v>4500000</v>
      </c>
      <c r="K2645" s="2">
        <f t="shared" si="203"/>
        <v>0.94557680184912796</v>
      </c>
      <c r="L2645" t="s">
        <v>263</v>
      </c>
      <c r="M2645" t="s">
        <v>432</v>
      </c>
      <c r="N2645" t="b">
        <f t="shared" si="204"/>
        <v>1</v>
      </c>
    </row>
    <row r="2646" spans="1:14" x14ac:dyDescent="0.15">
      <c r="A2646" t="s">
        <v>15239</v>
      </c>
      <c r="B2646" t="s">
        <v>15242</v>
      </c>
      <c r="C2646" t="s">
        <v>15318</v>
      </c>
      <c r="D2646" t="s">
        <v>23</v>
      </c>
      <c r="E2646" t="s">
        <v>15319</v>
      </c>
      <c r="F2646" s="5" t="s">
        <v>145</v>
      </c>
      <c r="G2646" s="5">
        <v>3241000</v>
      </c>
      <c r="H2646" s="4">
        <v>2494000</v>
      </c>
      <c r="I2646" s="2">
        <f t="shared" si="202"/>
        <v>0.76951558161061406</v>
      </c>
      <c r="J2646" s="4">
        <v>3000000</v>
      </c>
      <c r="K2646" s="2">
        <f t="shared" si="203"/>
        <v>0.92564023449552613</v>
      </c>
      <c r="L2646" t="s">
        <v>416</v>
      </c>
      <c r="M2646" t="s">
        <v>432</v>
      </c>
      <c r="N2646" t="b">
        <f t="shared" si="204"/>
        <v>1</v>
      </c>
    </row>
    <row r="2647" spans="1:14" x14ac:dyDescent="0.15">
      <c r="A2647" t="s">
        <v>15239</v>
      </c>
      <c r="B2647" t="s">
        <v>15242</v>
      </c>
      <c r="C2647" t="s">
        <v>15320</v>
      </c>
      <c r="D2647" t="s">
        <v>23</v>
      </c>
      <c r="E2647" t="s">
        <v>15321</v>
      </c>
      <c r="F2647" s="5" t="s">
        <v>145</v>
      </c>
      <c r="G2647" s="5">
        <v>2748000</v>
      </c>
      <c r="H2647" s="4">
        <v>2108000</v>
      </c>
      <c r="I2647" s="2">
        <f t="shared" si="202"/>
        <v>0.76710334788937407</v>
      </c>
      <c r="J2647" s="4">
        <v>2550000</v>
      </c>
      <c r="K2647" s="2">
        <f t="shared" si="203"/>
        <v>0.92794759825327511</v>
      </c>
      <c r="L2647" t="s">
        <v>1366</v>
      </c>
      <c r="M2647" t="s">
        <v>432</v>
      </c>
      <c r="N2647" t="b">
        <f t="shared" si="204"/>
        <v>1</v>
      </c>
    </row>
    <row r="2648" spans="1:14" x14ac:dyDescent="0.15">
      <c r="A2648" t="s">
        <v>15239</v>
      </c>
      <c r="B2648" t="s">
        <v>15242</v>
      </c>
      <c r="C2648" t="s">
        <v>15322</v>
      </c>
      <c r="D2648" t="s">
        <v>23</v>
      </c>
      <c r="E2648" t="s">
        <v>15323</v>
      </c>
      <c r="F2648" s="5" t="s">
        <v>145</v>
      </c>
      <c r="G2648" s="5">
        <v>6519000</v>
      </c>
      <c r="H2648" s="4">
        <v>5083000</v>
      </c>
      <c r="I2648" s="2">
        <f t="shared" si="202"/>
        <v>0.77972081607608534</v>
      </c>
      <c r="J2648" s="4">
        <v>6100000</v>
      </c>
      <c r="K2648" s="2">
        <f t="shared" si="203"/>
        <v>0.93572633839545938</v>
      </c>
      <c r="L2648" t="s">
        <v>4158</v>
      </c>
      <c r="M2648" t="s">
        <v>432</v>
      </c>
      <c r="N2648" t="b">
        <f t="shared" si="204"/>
        <v>1</v>
      </c>
    </row>
    <row r="2649" spans="1:14" x14ac:dyDescent="0.15">
      <c r="A2649" t="s">
        <v>15239</v>
      </c>
      <c r="B2649" t="s">
        <v>15242</v>
      </c>
      <c r="C2649" t="s">
        <v>15324</v>
      </c>
      <c r="D2649" t="s">
        <v>23</v>
      </c>
      <c r="E2649" t="s">
        <v>15325</v>
      </c>
      <c r="F2649" s="5" t="s">
        <v>145</v>
      </c>
      <c r="G2649" s="5">
        <v>3835000</v>
      </c>
      <c r="I2649" s="2">
        <f t="shared" si="202"/>
        <v>0</v>
      </c>
      <c r="J2649" s="4">
        <v>3450000</v>
      </c>
      <c r="K2649" s="2">
        <f t="shared" si="203"/>
        <v>0.89960886571056065</v>
      </c>
      <c r="L2649" t="s">
        <v>709</v>
      </c>
      <c r="M2649" t="s">
        <v>432</v>
      </c>
      <c r="N2649" t="b">
        <f t="shared" si="204"/>
        <v>1</v>
      </c>
    </row>
    <row r="2650" spans="1:14" x14ac:dyDescent="0.15">
      <c r="A2650" t="s">
        <v>15239</v>
      </c>
      <c r="B2650" t="s">
        <v>15242</v>
      </c>
      <c r="C2650" t="s">
        <v>15326</v>
      </c>
      <c r="D2650" t="s">
        <v>23</v>
      </c>
      <c r="E2650" t="s">
        <v>15327</v>
      </c>
      <c r="F2650" s="5" t="s">
        <v>145</v>
      </c>
      <c r="G2650" s="5">
        <v>5320000</v>
      </c>
      <c r="H2650" s="4">
        <v>4235000</v>
      </c>
      <c r="I2650" s="2">
        <f t="shared" si="202"/>
        <v>0.79605263157894735</v>
      </c>
      <c r="J2650" s="4">
        <v>5000000</v>
      </c>
      <c r="K2650" s="2">
        <f t="shared" si="203"/>
        <v>0.93984962406015038</v>
      </c>
      <c r="L2650" t="s">
        <v>12393</v>
      </c>
      <c r="M2650" t="s">
        <v>432</v>
      </c>
      <c r="N2650" t="b">
        <f t="shared" si="204"/>
        <v>1</v>
      </c>
    </row>
    <row r="2651" spans="1:14" x14ac:dyDescent="0.15">
      <c r="A2651" t="s">
        <v>15239</v>
      </c>
      <c r="B2651" t="s">
        <v>15242</v>
      </c>
      <c r="C2651" t="s">
        <v>15328</v>
      </c>
      <c r="D2651" t="s">
        <v>23</v>
      </c>
      <c r="E2651" t="s">
        <v>15329</v>
      </c>
      <c r="F2651" s="5" t="s">
        <v>145</v>
      </c>
      <c r="G2651" s="5">
        <v>6482000</v>
      </c>
      <c r="I2651" s="2">
        <f t="shared" si="202"/>
        <v>0</v>
      </c>
      <c r="J2651" s="4">
        <v>4450000</v>
      </c>
      <c r="K2651" s="2">
        <f t="shared" si="203"/>
        <v>0.68651650725084845</v>
      </c>
      <c r="L2651" t="s">
        <v>574</v>
      </c>
      <c r="M2651" t="s">
        <v>432</v>
      </c>
      <c r="N2651" t="b">
        <f t="shared" si="204"/>
        <v>1</v>
      </c>
    </row>
    <row r="2652" spans="1:14" x14ac:dyDescent="0.15">
      <c r="A2652" t="s">
        <v>15239</v>
      </c>
      <c r="B2652" t="s">
        <v>15242</v>
      </c>
      <c r="C2652" t="s">
        <v>15330</v>
      </c>
      <c r="D2652" t="s">
        <v>23</v>
      </c>
      <c r="E2652" t="s">
        <v>15331</v>
      </c>
      <c r="F2652" s="5" t="s">
        <v>145</v>
      </c>
      <c r="G2652" s="5">
        <v>736000</v>
      </c>
      <c r="I2652" s="2">
        <f t="shared" si="202"/>
        <v>0</v>
      </c>
      <c r="J2652" s="4">
        <v>430000</v>
      </c>
      <c r="K2652" s="2">
        <f t="shared" si="203"/>
        <v>0.58423913043478259</v>
      </c>
      <c r="L2652" t="s">
        <v>10322</v>
      </c>
      <c r="M2652" t="s">
        <v>432</v>
      </c>
      <c r="N2652" t="b">
        <f t="shared" si="204"/>
        <v>1</v>
      </c>
    </row>
    <row r="2653" spans="1:14" x14ac:dyDescent="0.15">
      <c r="A2653" t="s">
        <v>15239</v>
      </c>
      <c r="B2653" t="s">
        <v>15242</v>
      </c>
      <c r="C2653" t="s">
        <v>15283</v>
      </c>
      <c r="D2653" t="s">
        <v>23</v>
      </c>
      <c r="E2653" t="s">
        <v>15332</v>
      </c>
      <c r="F2653" s="5" t="s">
        <v>145</v>
      </c>
      <c r="G2653" s="5">
        <v>784000</v>
      </c>
      <c r="I2653" s="2">
        <f t="shared" si="202"/>
        <v>0</v>
      </c>
      <c r="J2653" s="4">
        <v>500000</v>
      </c>
      <c r="K2653" s="2">
        <f t="shared" si="203"/>
        <v>0.63775510204081631</v>
      </c>
      <c r="L2653" t="s">
        <v>125</v>
      </c>
      <c r="M2653" t="s">
        <v>432</v>
      </c>
      <c r="N2653" t="b">
        <f t="shared" si="204"/>
        <v>1</v>
      </c>
    </row>
    <row r="2654" spans="1:14" x14ac:dyDescent="0.15">
      <c r="A2654" t="s">
        <v>15239</v>
      </c>
      <c r="B2654" t="s">
        <v>15242</v>
      </c>
      <c r="C2654" t="s">
        <v>15333</v>
      </c>
      <c r="D2654" t="s">
        <v>23</v>
      </c>
      <c r="E2654" t="s">
        <v>15334</v>
      </c>
      <c r="F2654" s="5" t="s">
        <v>145</v>
      </c>
      <c r="G2654" s="5">
        <v>1200000</v>
      </c>
      <c r="I2654" s="2">
        <f t="shared" si="202"/>
        <v>0</v>
      </c>
      <c r="J2654" s="4">
        <v>1170000</v>
      </c>
      <c r="K2654" s="2">
        <f t="shared" si="203"/>
        <v>0.97499999999999998</v>
      </c>
      <c r="L2654" t="s">
        <v>125</v>
      </c>
      <c r="M2654" t="s">
        <v>432</v>
      </c>
      <c r="N2654" t="b">
        <f t="shared" si="204"/>
        <v>1</v>
      </c>
    </row>
    <row r="2655" spans="1:14" x14ac:dyDescent="0.15">
      <c r="A2655" t="s">
        <v>15239</v>
      </c>
      <c r="B2655" t="s">
        <v>15242</v>
      </c>
      <c r="C2655" t="s">
        <v>15335</v>
      </c>
      <c r="D2655" t="s">
        <v>23</v>
      </c>
      <c r="E2655" t="s">
        <v>15336</v>
      </c>
      <c r="F2655" s="5" t="s">
        <v>145</v>
      </c>
      <c r="G2655" s="5">
        <v>2582000</v>
      </c>
      <c r="H2655" s="4">
        <v>1979000</v>
      </c>
      <c r="I2655" s="2">
        <f t="shared" si="202"/>
        <v>0.76646010844306744</v>
      </c>
      <c r="J2655" s="4">
        <v>2400000</v>
      </c>
      <c r="K2655" s="2">
        <f t="shared" si="203"/>
        <v>0.92951200619674668</v>
      </c>
      <c r="L2655" t="s">
        <v>1366</v>
      </c>
      <c r="M2655" t="s">
        <v>432</v>
      </c>
      <c r="N2655" t="b">
        <f t="shared" si="204"/>
        <v>1</v>
      </c>
    </row>
    <row r="2656" spans="1:14" x14ac:dyDescent="0.15">
      <c r="A2656" t="s">
        <v>15239</v>
      </c>
      <c r="B2656" t="s">
        <v>15242</v>
      </c>
      <c r="C2656" t="s">
        <v>15337</v>
      </c>
      <c r="D2656" t="s">
        <v>23</v>
      </c>
      <c r="E2656" t="s">
        <v>15338</v>
      </c>
      <c r="F2656" s="5" t="s">
        <v>145</v>
      </c>
      <c r="G2656" s="5">
        <v>6564000</v>
      </c>
      <c r="H2656" s="4">
        <v>5230000</v>
      </c>
      <c r="I2656" s="2">
        <f t="shared" si="202"/>
        <v>0.79677026203534429</v>
      </c>
      <c r="J2656" s="4">
        <v>6300000</v>
      </c>
      <c r="K2656" s="2">
        <f t="shared" si="203"/>
        <v>0.95978062157221211</v>
      </c>
      <c r="L2656" t="s">
        <v>263</v>
      </c>
      <c r="M2656" t="s">
        <v>432</v>
      </c>
      <c r="N2656" t="b">
        <f t="shared" si="204"/>
        <v>1</v>
      </c>
    </row>
    <row r="2657" spans="1:14" x14ac:dyDescent="0.15">
      <c r="A2657" t="s">
        <v>15239</v>
      </c>
      <c r="B2657" t="s">
        <v>15242</v>
      </c>
      <c r="C2657" t="s">
        <v>15339</v>
      </c>
      <c r="D2657" t="s">
        <v>23</v>
      </c>
      <c r="E2657" t="s">
        <v>15340</v>
      </c>
      <c r="F2657" s="5" t="s">
        <v>145</v>
      </c>
      <c r="G2657" s="5">
        <v>10342000</v>
      </c>
      <c r="H2657" s="4">
        <v>8235000</v>
      </c>
      <c r="I2657" s="2">
        <f t="shared" si="202"/>
        <v>0.79626764649004056</v>
      </c>
      <c r="J2657" s="4">
        <v>10200000</v>
      </c>
      <c r="K2657" s="2">
        <f t="shared" si="203"/>
        <v>0.98626958035196288</v>
      </c>
      <c r="L2657" t="s">
        <v>439</v>
      </c>
      <c r="M2657" t="s">
        <v>432</v>
      </c>
      <c r="N2657" t="b">
        <f t="shared" si="204"/>
        <v>1</v>
      </c>
    </row>
    <row r="2658" spans="1:14" x14ac:dyDescent="0.15">
      <c r="A2658" t="s">
        <v>15239</v>
      </c>
      <c r="B2658" t="s">
        <v>15242</v>
      </c>
      <c r="C2658" t="s">
        <v>15341</v>
      </c>
      <c r="D2658" t="s">
        <v>23</v>
      </c>
      <c r="E2658" t="s">
        <v>9795</v>
      </c>
      <c r="F2658" s="5" t="s">
        <v>145</v>
      </c>
      <c r="G2658" s="5">
        <v>4040000</v>
      </c>
      <c r="H2658" s="4">
        <v>3222000</v>
      </c>
      <c r="I2658" s="2">
        <f t="shared" si="202"/>
        <v>0.79752475247524757</v>
      </c>
      <c r="J2658" s="4">
        <v>3900000</v>
      </c>
      <c r="K2658" s="2">
        <f t="shared" si="203"/>
        <v>0.96534653465346532</v>
      </c>
      <c r="L2658" t="s">
        <v>9367</v>
      </c>
      <c r="M2658" t="s">
        <v>432</v>
      </c>
      <c r="N2658" t="b">
        <f t="shared" si="204"/>
        <v>1</v>
      </c>
    </row>
    <row r="2659" spans="1:14" x14ac:dyDescent="0.15">
      <c r="A2659" t="s">
        <v>15239</v>
      </c>
      <c r="B2659" t="s">
        <v>15242</v>
      </c>
      <c r="C2659" t="s">
        <v>15342</v>
      </c>
      <c r="D2659" t="s">
        <v>23</v>
      </c>
      <c r="E2659" t="s">
        <v>15343</v>
      </c>
      <c r="F2659" s="5" t="s">
        <v>145</v>
      </c>
      <c r="G2659" s="5">
        <v>2650000</v>
      </c>
      <c r="H2659" s="4">
        <v>2115000</v>
      </c>
      <c r="I2659" s="2">
        <f t="shared" si="202"/>
        <v>0.79811320754716986</v>
      </c>
      <c r="J2659" s="4">
        <v>2400000</v>
      </c>
      <c r="K2659" s="2">
        <f t="shared" si="203"/>
        <v>0.90566037735849059</v>
      </c>
      <c r="L2659" t="s">
        <v>10326</v>
      </c>
      <c r="M2659" t="s">
        <v>432</v>
      </c>
      <c r="N2659" t="b">
        <f t="shared" si="204"/>
        <v>1</v>
      </c>
    </row>
    <row r="2660" spans="1:14" x14ac:dyDescent="0.15">
      <c r="A2660" t="s">
        <v>15239</v>
      </c>
      <c r="B2660" t="s">
        <v>15242</v>
      </c>
      <c r="C2660" t="s">
        <v>15344</v>
      </c>
      <c r="D2660" t="s">
        <v>23</v>
      </c>
      <c r="E2660" t="s">
        <v>15345</v>
      </c>
      <c r="F2660" s="5" t="s">
        <v>145</v>
      </c>
      <c r="G2660" s="5">
        <v>1506000</v>
      </c>
      <c r="H2660" s="4">
        <v>1198000</v>
      </c>
      <c r="I2660" s="2">
        <f t="shared" si="202"/>
        <v>0.79548472775564405</v>
      </c>
      <c r="J2660" s="4">
        <v>1380000</v>
      </c>
      <c r="K2660" s="2">
        <f t="shared" si="203"/>
        <v>0.91633466135458164</v>
      </c>
      <c r="L2660" t="s">
        <v>5186</v>
      </c>
      <c r="M2660" t="s">
        <v>432</v>
      </c>
      <c r="N2660" t="b">
        <f t="shared" si="204"/>
        <v>1</v>
      </c>
    </row>
    <row r="2661" spans="1:14" x14ac:dyDescent="0.15">
      <c r="A2661" t="s">
        <v>15239</v>
      </c>
      <c r="B2661" t="s">
        <v>15242</v>
      </c>
      <c r="C2661" t="s">
        <v>15249</v>
      </c>
      <c r="D2661" t="s">
        <v>23</v>
      </c>
      <c r="E2661" t="s">
        <v>15346</v>
      </c>
      <c r="F2661" s="5" t="s">
        <v>145</v>
      </c>
      <c r="G2661" s="5">
        <v>8468000</v>
      </c>
      <c r="I2661" s="2">
        <f t="shared" si="202"/>
        <v>0</v>
      </c>
      <c r="J2661" s="4">
        <v>7800000</v>
      </c>
      <c r="K2661" s="2">
        <f t="shared" si="203"/>
        <v>0.92111478507321687</v>
      </c>
      <c r="L2661" t="s">
        <v>125</v>
      </c>
      <c r="M2661" t="s">
        <v>432</v>
      </c>
      <c r="N2661" t="b">
        <f t="shared" si="204"/>
        <v>1</v>
      </c>
    </row>
    <row r="2662" spans="1:14" x14ac:dyDescent="0.15">
      <c r="A2662" t="s">
        <v>15239</v>
      </c>
      <c r="B2662" t="s">
        <v>15242</v>
      </c>
      <c r="C2662" t="s">
        <v>15245</v>
      </c>
      <c r="D2662" t="s">
        <v>23</v>
      </c>
      <c r="E2662" t="s">
        <v>15347</v>
      </c>
      <c r="F2662" s="5" t="s">
        <v>145</v>
      </c>
      <c r="G2662" s="5">
        <v>909000</v>
      </c>
      <c r="I2662" s="2">
        <f t="shared" si="202"/>
        <v>0</v>
      </c>
      <c r="J2662" s="4">
        <v>900000</v>
      </c>
      <c r="K2662" s="2">
        <f t="shared" si="203"/>
        <v>0.99009900990099009</v>
      </c>
      <c r="L2662" t="s">
        <v>125</v>
      </c>
      <c r="M2662" t="s">
        <v>432</v>
      </c>
      <c r="N2662" t="b">
        <f t="shared" si="204"/>
        <v>1</v>
      </c>
    </row>
    <row r="2663" spans="1:14" x14ac:dyDescent="0.15">
      <c r="A2663" t="s">
        <v>15348</v>
      </c>
      <c r="B2663" t="s">
        <v>15351</v>
      </c>
      <c r="C2663" t="s">
        <v>15349</v>
      </c>
      <c r="D2663" t="s">
        <v>23</v>
      </c>
      <c r="E2663" t="s">
        <v>15350</v>
      </c>
      <c r="F2663" s="5">
        <f t="shared" ref="F2663:F2688" si="205">G2663</f>
        <v>2683000</v>
      </c>
      <c r="G2663" s="5">
        <v>2683000</v>
      </c>
      <c r="H2663" s="4">
        <v>2085332</v>
      </c>
      <c r="I2663" s="2">
        <f t="shared" si="202"/>
        <v>0.77723891166604542</v>
      </c>
      <c r="J2663" s="4">
        <v>2540000</v>
      </c>
      <c r="K2663" s="2">
        <f t="shared" si="203"/>
        <v>0.94670145359672009</v>
      </c>
      <c r="L2663" t="s">
        <v>332</v>
      </c>
      <c r="M2663" t="s">
        <v>432</v>
      </c>
      <c r="N2663" t="b">
        <f t="shared" si="204"/>
        <v>0</v>
      </c>
    </row>
    <row r="2664" spans="1:14" x14ac:dyDescent="0.15">
      <c r="A2664" t="s">
        <v>15348</v>
      </c>
      <c r="B2664" t="s">
        <v>15354</v>
      </c>
      <c r="C2664" t="s">
        <v>15352</v>
      </c>
      <c r="D2664" t="s">
        <v>23</v>
      </c>
      <c r="E2664" t="s">
        <v>15353</v>
      </c>
      <c r="F2664" s="5">
        <f t="shared" si="205"/>
        <v>9700000</v>
      </c>
      <c r="G2664" s="5">
        <v>9700000</v>
      </c>
      <c r="H2664" t="s">
        <v>145</v>
      </c>
      <c r="I2664" s="2" t="e">
        <f t="shared" si="202"/>
        <v>#VALUE!</v>
      </c>
      <c r="J2664" s="4">
        <v>8900000</v>
      </c>
      <c r="K2664" s="2">
        <f t="shared" si="203"/>
        <v>0.91752577319587625</v>
      </c>
      <c r="L2664" t="s">
        <v>1078</v>
      </c>
      <c r="M2664" t="s">
        <v>165</v>
      </c>
      <c r="N2664" t="b">
        <f t="shared" si="204"/>
        <v>0</v>
      </c>
    </row>
    <row r="2665" spans="1:14" x14ac:dyDescent="0.15">
      <c r="A2665" t="s">
        <v>15348</v>
      </c>
      <c r="B2665" t="s">
        <v>15351</v>
      </c>
      <c r="C2665" t="s">
        <v>15355</v>
      </c>
      <c r="D2665" t="s">
        <v>23</v>
      </c>
      <c r="E2665" t="s">
        <v>14389</v>
      </c>
      <c r="F2665" s="5">
        <f t="shared" si="205"/>
        <v>2460000</v>
      </c>
      <c r="G2665" s="5">
        <v>2460000</v>
      </c>
      <c r="H2665" s="4">
        <v>1898000</v>
      </c>
      <c r="I2665" s="2">
        <f t="shared" si="202"/>
        <v>0.77154471544715442</v>
      </c>
      <c r="J2665" s="4">
        <v>2300000</v>
      </c>
      <c r="K2665" s="2">
        <f t="shared" si="203"/>
        <v>0.93495934959349591</v>
      </c>
      <c r="L2665" t="s">
        <v>5186</v>
      </c>
      <c r="M2665" t="s">
        <v>432</v>
      </c>
      <c r="N2665" t="b">
        <f t="shared" si="204"/>
        <v>0</v>
      </c>
    </row>
    <row r="2666" spans="1:14" x14ac:dyDescent="0.15">
      <c r="A2666" t="s">
        <v>15348</v>
      </c>
      <c r="B2666" t="s">
        <v>15351</v>
      </c>
      <c r="C2666" t="s">
        <v>15356</v>
      </c>
      <c r="D2666" t="s">
        <v>23</v>
      </c>
      <c r="E2666" t="s">
        <v>14416</v>
      </c>
      <c r="F2666" s="5">
        <f t="shared" si="205"/>
        <v>1150000</v>
      </c>
      <c r="G2666" s="5">
        <v>1150000</v>
      </c>
      <c r="H2666" s="4">
        <v>766667</v>
      </c>
      <c r="I2666" s="2">
        <f t="shared" si="202"/>
        <v>0.66666695652173913</v>
      </c>
      <c r="J2666" s="4">
        <v>1100000</v>
      </c>
      <c r="K2666" s="2">
        <f t="shared" si="203"/>
        <v>0.95652173913043481</v>
      </c>
      <c r="L2666" t="s">
        <v>39</v>
      </c>
      <c r="M2666" t="s">
        <v>21</v>
      </c>
      <c r="N2666" t="b">
        <f t="shared" si="204"/>
        <v>0</v>
      </c>
    </row>
    <row r="2667" spans="1:14" x14ac:dyDescent="0.15">
      <c r="A2667" t="s">
        <v>15348</v>
      </c>
      <c r="B2667" t="s">
        <v>15354</v>
      </c>
      <c r="C2667" t="s">
        <v>15357</v>
      </c>
      <c r="D2667" t="s">
        <v>23</v>
      </c>
      <c r="E2667" t="s">
        <v>15358</v>
      </c>
      <c r="F2667" s="5">
        <f t="shared" si="205"/>
        <v>13820000</v>
      </c>
      <c r="G2667" s="5">
        <v>13820000</v>
      </c>
      <c r="H2667" s="4">
        <v>10816000</v>
      </c>
      <c r="I2667" s="2">
        <f t="shared" si="202"/>
        <v>0.78263386396526768</v>
      </c>
      <c r="J2667" s="4">
        <v>13100000</v>
      </c>
      <c r="K2667" s="2">
        <f t="shared" si="203"/>
        <v>0.94790159189580314</v>
      </c>
      <c r="L2667" t="s">
        <v>2674</v>
      </c>
      <c r="M2667" t="s">
        <v>165</v>
      </c>
      <c r="N2667" t="b">
        <f t="shared" si="204"/>
        <v>0</v>
      </c>
    </row>
    <row r="2668" spans="1:14" x14ac:dyDescent="0.15">
      <c r="A2668" t="s">
        <v>15348</v>
      </c>
      <c r="B2668" t="s">
        <v>15351</v>
      </c>
      <c r="C2668" t="s">
        <v>15359</v>
      </c>
      <c r="D2668" t="s">
        <v>23</v>
      </c>
      <c r="E2668" t="s">
        <v>15360</v>
      </c>
      <c r="F2668" s="5">
        <f t="shared" si="205"/>
        <v>12580000</v>
      </c>
      <c r="G2668" s="5">
        <v>12580000</v>
      </c>
      <c r="H2668" s="4">
        <v>9965332</v>
      </c>
      <c r="I2668" s="2">
        <f t="shared" si="202"/>
        <v>0.79215675675675679</v>
      </c>
      <c r="J2668" s="4">
        <v>12300000</v>
      </c>
      <c r="K2668" s="2">
        <f t="shared" si="203"/>
        <v>0.97774244833068358</v>
      </c>
      <c r="L2668" t="s">
        <v>39</v>
      </c>
      <c r="M2668" t="s">
        <v>165</v>
      </c>
      <c r="N2668" t="b">
        <f t="shared" si="204"/>
        <v>0</v>
      </c>
    </row>
    <row r="2669" spans="1:14" x14ac:dyDescent="0.15">
      <c r="A2669" t="s">
        <v>15348</v>
      </c>
      <c r="B2669" t="s">
        <v>15351</v>
      </c>
      <c r="C2669" t="s">
        <v>15361</v>
      </c>
      <c r="D2669" t="s">
        <v>23</v>
      </c>
      <c r="E2669" t="s">
        <v>15362</v>
      </c>
      <c r="F2669" s="5">
        <f t="shared" si="205"/>
        <v>15678000</v>
      </c>
      <c r="G2669" s="5">
        <v>15678000</v>
      </c>
      <c r="H2669" s="4">
        <v>12064000</v>
      </c>
      <c r="I2669" s="2">
        <f t="shared" si="202"/>
        <v>0.76948590381426207</v>
      </c>
      <c r="J2669" s="4">
        <v>14800000</v>
      </c>
      <c r="K2669" s="2">
        <f t="shared" si="203"/>
        <v>0.94399795892333205</v>
      </c>
      <c r="L2669" t="s">
        <v>1541</v>
      </c>
      <c r="M2669" t="s">
        <v>165</v>
      </c>
      <c r="N2669" t="b">
        <f t="shared" si="204"/>
        <v>0</v>
      </c>
    </row>
    <row r="2670" spans="1:14" x14ac:dyDescent="0.15">
      <c r="A2670" t="s">
        <v>15348</v>
      </c>
      <c r="B2670" t="s">
        <v>15351</v>
      </c>
      <c r="C2670" t="s">
        <v>15363</v>
      </c>
      <c r="D2670" t="s">
        <v>23</v>
      </c>
      <c r="E2670" t="s">
        <v>15364</v>
      </c>
      <c r="F2670" s="5">
        <f t="shared" si="205"/>
        <v>13765000</v>
      </c>
      <c r="G2670" s="5">
        <v>13765000</v>
      </c>
      <c r="H2670" s="4">
        <v>10769332</v>
      </c>
      <c r="I2670" s="2">
        <f t="shared" si="202"/>
        <v>0.78237065019978203</v>
      </c>
      <c r="J2670" s="4">
        <v>13250000</v>
      </c>
      <c r="K2670" s="2">
        <f t="shared" si="203"/>
        <v>0.96258626952415549</v>
      </c>
      <c r="L2670" t="s">
        <v>15365</v>
      </c>
      <c r="M2670" t="s">
        <v>165</v>
      </c>
      <c r="N2670" t="b">
        <f t="shared" si="204"/>
        <v>0</v>
      </c>
    </row>
    <row r="2671" spans="1:14" x14ac:dyDescent="0.15">
      <c r="A2671" t="s">
        <v>15348</v>
      </c>
      <c r="B2671" t="s">
        <v>15351</v>
      </c>
      <c r="C2671" t="s">
        <v>15366</v>
      </c>
      <c r="D2671" t="s">
        <v>23</v>
      </c>
      <c r="E2671" t="s">
        <v>15367</v>
      </c>
      <c r="F2671" s="5">
        <f t="shared" si="205"/>
        <v>13200000</v>
      </c>
      <c r="G2671" s="5">
        <v>13200000</v>
      </c>
      <c r="H2671" s="4">
        <v>10288000</v>
      </c>
      <c r="I2671" s="2">
        <f t="shared" si="202"/>
        <v>0.77939393939393942</v>
      </c>
      <c r="J2671" s="4">
        <v>12550000</v>
      </c>
      <c r="K2671" s="2">
        <f t="shared" si="203"/>
        <v>0.9507575757575758</v>
      </c>
      <c r="L2671" t="s">
        <v>13542</v>
      </c>
      <c r="M2671" t="s">
        <v>165</v>
      </c>
      <c r="N2671" t="b">
        <f t="shared" si="204"/>
        <v>0</v>
      </c>
    </row>
    <row r="2672" spans="1:14" x14ac:dyDescent="0.15">
      <c r="A2672" t="s">
        <v>15348</v>
      </c>
      <c r="B2672" t="s">
        <v>15351</v>
      </c>
      <c r="C2672" t="s">
        <v>15368</v>
      </c>
      <c r="D2672" t="s">
        <v>23</v>
      </c>
      <c r="E2672" t="s">
        <v>15369</v>
      </c>
      <c r="F2672" s="5">
        <f t="shared" si="205"/>
        <v>3913000</v>
      </c>
      <c r="G2672" s="5">
        <v>3913000</v>
      </c>
      <c r="H2672" s="4">
        <v>3033600</v>
      </c>
      <c r="I2672" s="2">
        <f t="shared" si="202"/>
        <v>0.77526194735497056</v>
      </c>
      <c r="J2672" s="4">
        <v>3700000</v>
      </c>
      <c r="K2672" s="2">
        <f t="shared" si="203"/>
        <v>0.94556606184513159</v>
      </c>
      <c r="L2672" t="s">
        <v>13542</v>
      </c>
      <c r="M2672" t="s">
        <v>432</v>
      </c>
      <c r="N2672" t="b">
        <f t="shared" si="204"/>
        <v>0</v>
      </c>
    </row>
    <row r="2673" spans="1:14" x14ac:dyDescent="0.15">
      <c r="A2673" t="s">
        <v>15348</v>
      </c>
      <c r="B2673" t="s">
        <v>15351</v>
      </c>
      <c r="C2673" t="s">
        <v>15370</v>
      </c>
      <c r="D2673" t="s">
        <v>23</v>
      </c>
      <c r="E2673" t="s">
        <v>15371</v>
      </c>
      <c r="F2673" s="5">
        <f t="shared" si="205"/>
        <v>34701000</v>
      </c>
      <c r="G2673" s="5">
        <v>34701000</v>
      </c>
      <c r="H2673" s="4">
        <v>27252666</v>
      </c>
      <c r="I2673" s="2">
        <f t="shared" si="202"/>
        <v>0.78535679087058008</v>
      </c>
      <c r="J2673" s="4">
        <v>32000000</v>
      </c>
      <c r="K2673" s="2">
        <f t="shared" si="203"/>
        <v>0.92216362640846083</v>
      </c>
      <c r="L2673" t="s">
        <v>1541</v>
      </c>
      <c r="M2673" t="s">
        <v>192</v>
      </c>
      <c r="N2673" t="b">
        <f t="shared" si="204"/>
        <v>0</v>
      </c>
    </row>
    <row r="2674" spans="1:14" x14ac:dyDescent="0.15">
      <c r="A2674" t="s">
        <v>15348</v>
      </c>
      <c r="B2674" t="s">
        <v>15351</v>
      </c>
      <c r="C2674" t="s">
        <v>15372</v>
      </c>
      <c r="D2674" t="s">
        <v>23</v>
      </c>
      <c r="E2674" t="s">
        <v>15373</v>
      </c>
      <c r="F2674" s="5">
        <f t="shared" si="205"/>
        <v>20511000</v>
      </c>
      <c r="G2674" s="5">
        <v>20511000</v>
      </c>
      <c r="H2674" s="4">
        <v>15962000</v>
      </c>
      <c r="I2674" s="2">
        <f t="shared" si="202"/>
        <v>0.77821656672029638</v>
      </c>
      <c r="J2674" s="4">
        <v>19000000</v>
      </c>
      <c r="K2674" s="2">
        <f t="shared" si="203"/>
        <v>0.92633221198381355</v>
      </c>
      <c r="L2674" t="s">
        <v>1541</v>
      </c>
      <c r="M2674" t="s">
        <v>165</v>
      </c>
      <c r="N2674" t="b">
        <f t="shared" si="204"/>
        <v>0</v>
      </c>
    </row>
    <row r="2675" spans="1:14" x14ac:dyDescent="0.15">
      <c r="A2675" t="s">
        <v>15348</v>
      </c>
      <c r="B2675" t="s">
        <v>15351</v>
      </c>
      <c r="C2675" t="s">
        <v>15374</v>
      </c>
      <c r="D2675" t="s">
        <v>23</v>
      </c>
      <c r="E2675" t="s">
        <v>15375</v>
      </c>
      <c r="F2675" s="5">
        <f t="shared" si="205"/>
        <v>2480000</v>
      </c>
      <c r="G2675" s="5">
        <v>2480000</v>
      </c>
      <c r="H2675" s="4">
        <v>1653334</v>
      </c>
      <c r="I2675" s="2">
        <f t="shared" si="202"/>
        <v>0.66666693548387101</v>
      </c>
      <c r="J2675" s="4">
        <v>2300000</v>
      </c>
      <c r="K2675" s="2">
        <f t="shared" si="203"/>
        <v>0.92741935483870963</v>
      </c>
      <c r="L2675" t="s">
        <v>567</v>
      </c>
      <c r="M2675" t="s">
        <v>432</v>
      </c>
      <c r="N2675" t="b">
        <f t="shared" si="204"/>
        <v>0</v>
      </c>
    </row>
    <row r="2676" spans="1:14" x14ac:dyDescent="0.15">
      <c r="A2676" t="s">
        <v>15348</v>
      </c>
      <c r="B2676" t="s">
        <v>15351</v>
      </c>
      <c r="C2676" t="s">
        <v>15376</v>
      </c>
      <c r="D2676" t="s">
        <v>23</v>
      </c>
      <c r="E2676" t="s">
        <v>15377</v>
      </c>
      <c r="F2676" s="5">
        <f t="shared" si="205"/>
        <v>2560000</v>
      </c>
      <c r="G2676" s="5">
        <v>2560000</v>
      </c>
      <c r="I2676" s="2">
        <f t="shared" si="202"/>
        <v>0</v>
      </c>
      <c r="J2676" s="4">
        <v>2430000</v>
      </c>
      <c r="K2676" s="2">
        <f t="shared" si="203"/>
        <v>0.94921875</v>
      </c>
      <c r="L2676" t="s">
        <v>332</v>
      </c>
      <c r="M2676" t="s">
        <v>432</v>
      </c>
      <c r="N2676" t="b">
        <f t="shared" si="204"/>
        <v>0</v>
      </c>
    </row>
    <row r="2677" spans="1:14" x14ac:dyDescent="0.15">
      <c r="A2677" t="s">
        <v>15348</v>
      </c>
      <c r="B2677" t="s">
        <v>15354</v>
      </c>
      <c r="C2677" t="s">
        <v>15378</v>
      </c>
      <c r="D2677" t="s">
        <v>23</v>
      </c>
      <c r="E2677" t="s">
        <v>15379</v>
      </c>
      <c r="F2677" s="5">
        <f t="shared" si="205"/>
        <v>8790000</v>
      </c>
      <c r="G2677" s="5">
        <v>8790000</v>
      </c>
      <c r="I2677" s="2">
        <f t="shared" si="202"/>
        <v>0</v>
      </c>
      <c r="J2677" s="4">
        <v>7900000</v>
      </c>
      <c r="K2677" s="2">
        <f t="shared" si="203"/>
        <v>0.89874857792946528</v>
      </c>
      <c r="L2677" t="s">
        <v>1078</v>
      </c>
      <c r="M2677" t="s">
        <v>432</v>
      </c>
      <c r="N2677" t="b">
        <f t="shared" si="204"/>
        <v>0</v>
      </c>
    </row>
    <row r="2678" spans="1:14" x14ac:dyDescent="0.15">
      <c r="A2678" t="s">
        <v>15348</v>
      </c>
      <c r="B2678" t="s">
        <v>15354</v>
      </c>
      <c r="C2678" t="s">
        <v>15380</v>
      </c>
      <c r="D2678" t="s">
        <v>23</v>
      </c>
      <c r="E2678" t="s">
        <v>15381</v>
      </c>
      <c r="F2678" s="5">
        <f t="shared" si="205"/>
        <v>4660000</v>
      </c>
      <c r="G2678" s="5">
        <v>4660000</v>
      </c>
      <c r="H2678" t="s">
        <v>145</v>
      </c>
      <c r="I2678" s="2" t="e">
        <f t="shared" si="202"/>
        <v>#VALUE!</v>
      </c>
      <c r="J2678" s="4">
        <v>4300000</v>
      </c>
      <c r="K2678" s="2">
        <f t="shared" si="203"/>
        <v>0.92274678111587982</v>
      </c>
      <c r="L2678" t="s">
        <v>1783</v>
      </c>
      <c r="M2678" t="s">
        <v>432</v>
      </c>
      <c r="N2678" t="b">
        <f t="shared" si="204"/>
        <v>0</v>
      </c>
    </row>
    <row r="2679" spans="1:14" x14ac:dyDescent="0.15">
      <c r="A2679" t="s">
        <v>15348</v>
      </c>
      <c r="B2679" t="s">
        <v>15351</v>
      </c>
      <c r="C2679" t="s">
        <v>15382</v>
      </c>
      <c r="D2679" t="s">
        <v>23</v>
      </c>
      <c r="E2679" t="s">
        <v>15383</v>
      </c>
      <c r="F2679" s="5">
        <f t="shared" si="205"/>
        <v>1418000</v>
      </c>
      <c r="G2679" s="5">
        <v>1418000</v>
      </c>
      <c r="H2679" s="4">
        <v>1100800</v>
      </c>
      <c r="I2679" s="2">
        <f t="shared" si="202"/>
        <v>0.77630465444287733</v>
      </c>
      <c r="J2679" s="4">
        <v>1330000</v>
      </c>
      <c r="K2679" s="2">
        <f t="shared" si="203"/>
        <v>0.93794076163610718</v>
      </c>
      <c r="L2679" t="s">
        <v>13542</v>
      </c>
      <c r="M2679" t="s">
        <v>432</v>
      </c>
      <c r="N2679" t="b">
        <f t="shared" si="204"/>
        <v>0</v>
      </c>
    </row>
    <row r="2680" spans="1:14" x14ac:dyDescent="0.15">
      <c r="A2680" t="s">
        <v>15348</v>
      </c>
      <c r="B2680" t="s">
        <v>15351</v>
      </c>
      <c r="C2680" t="s">
        <v>15384</v>
      </c>
      <c r="D2680" t="s">
        <v>23</v>
      </c>
      <c r="E2680" t="s">
        <v>15385</v>
      </c>
      <c r="F2680" s="5">
        <f t="shared" si="205"/>
        <v>11734000</v>
      </c>
      <c r="G2680" s="5">
        <v>11734000</v>
      </c>
      <c r="H2680" s="4">
        <v>9208000</v>
      </c>
      <c r="I2680" s="2">
        <f t="shared" si="202"/>
        <v>0.78472814044656558</v>
      </c>
      <c r="J2680" s="4">
        <v>11300000</v>
      </c>
      <c r="K2680" s="2">
        <f t="shared" si="203"/>
        <v>0.96301346514402586</v>
      </c>
      <c r="L2680" t="s">
        <v>39</v>
      </c>
      <c r="M2680" t="s">
        <v>165</v>
      </c>
      <c r="N2680" t="b">
        <f t="shared" si="204"/>
        <v>0</v>
      </c>
    </row>
    <row r="2681" spans="1:14" x14ac:dyDescent="0.15">
      <c r="A2681" t="s">
        <v>15348</v>
      </c>
      <c r="B2681" t="s">
        <v>15351</v>
      </c>
      <c r="C2681" t="s">
        <v>15386</v>
      </c>
      <c r="D2681" t="s">
        <v>23</v>
      </c>
      <c r="E2681" t="s">
        <v>15387</v>
      </c>
      <c r="F2681" s="5">
        <f t="shared" si="205"/>
        <v>4420000</v>
      </c>
      <c r="G2681" s="5">
        <v>4420000</v>
      </c>
      <c r="H2681" s="4">
        <v>2946667</v>
      </c>
      <c r="I2681" s="2">
        <f t="shared" si="202"/>
        <v>0.66666674208144794</v>
      </c>
      <c r="J2681" s="4">
        <v>3760000</v>
      </c>
      <c r="K2681" s="2">
        <f t="shared" si="203"/>
        <v>0.85067873303167418</v>
      </c>
      <c r="L2681" t="s">
        <v>567</v>
      </c>
      <c r="M2681" t="s">
        <v>432</v>
      </c>
      <c r="N2681" t="b">
        <f t="shared" si="204"/>
        <v>0</v>
      </c>
    </row>
    <row r="2682" spans="1:14" x14ac:dyDescent="0.15">
      <c r="A2682" t="s">
        <v>15348</v>
      </c>
      <c r="B2682" t="s">
        <v>15351</v>
      </c>
      <c r="C2682" t="s">
        <v>15388</v>
      </c>
      <c r="D2682" t="s">
        <v>23</v>
      </c>
      <c r="E2682" t="s">
        <v>14996</v>
      </c>
      <c r="F2682" s="5">
        <f t="shared" si="205"/>
        <v>4903000</v>
      </c>
      <c r="G2682" s="5">
        <v>4903000</v>
      </c>
      <c r="H2682" s="4">
        <v>3848000</v>
      </c>
      <c r="I2682" s="2">
        <f t="shared" si="202"/>
        <v>0.7848256169692025</v>
      </c>
      <c r="J2682" s="4">
        <v>4800000</v>
      </c>
      <c r="K2682" s="2">
        <f t="shared" si="203"/>
        <v>0.97899245359983689</v>
      </c>
      <c r="L2682" t="s">
        <v>39</v>
      </c>
      <c r="M2682" t="s">
        <v>432</v>
      </c>
      <c r="N2682" t="b">
        <f t="shared" si="204"/>
        <v>0</v>
      </c>
    </row>
    <row r="2683" spans="1:14" x14ac:dyDescent="0.15">
      <c r="A2683" t="s">
        <v>15348</v>
      </c>
      <c r="B2683" t="s">
        <v>15354</v>
      </c>
      <c r="C2683" t="s">
        <v>15389</v>
      </c>
      <c r="D2683" t="s">
        <v>23</v>
      </c>
      <c r="E2683" t="s">
        <v>15390</v>
      </c>
      <c r="F2683" s="5">
        <f t="shared" si="205"/>
        <v>18120000</v>
      </c>
      <c r="G2683" s="5">
        <v>18120000</v>
      </c>
      <c r="H2683" t="s">
        <v>145</v>
      </c>
      <c r="I2683" s="2" t="e">
        <f t="shared" si="202"/>
        <v>#VALUE!</v>
      </c>
      <c r="J2683" s="4">
        <v>17200000</v>
      </c>
      <c r="K2683" s="2">
        <f t="shared" si="203"/>
        <v>0.94922737306843263</v>
      </c>
      <c r="L2683" t="s">
        <v>2674</v>
      </c>
      <c r="M2683" t="s">
        <v>165</v>
      </c>
      <c r="N2683" t="b">
        <f t="shared" si="204"/>
        <v>0</v>
      </c>
    </row>
    <row r="2684" spans="1:14" x14ac:dyDescent="0.15">
      <c r="A2684" t="s">
        <v>15348</v>
      </c>
      <c r="B2684" t="s">
        <v>15354</v>
      </c>
      <c r="C2684" t="s">
        <v>15391</v>
      </c>
      <c r="D2684" t="s">
        <v>23</v>
      </c>
      <c r="E2684" t="s">
        <v>15392</v>
      </c>
      <c r="F2684" s="5">
        <f t="shared" si="205"/>
        <v>8010000</v>
      </c>
      <c r="G2684" s="5">
        <v>8010000</v>
      </c>
      <c r="H2684" s="4">
        <v>6120000</v>
      </c>
      <c r="I2684" s="2">
        <f t="shared" si="202"/>
        <v>0.7640449438202247</v>
      </c>
      <c r="J2684" s="4">
        <v>7400000</v>
      </c>
      <c r="K2684" s="2">
        <f t="shared" si="203"/>
        <v>0.92384519350811489</v>
      </c>
      <c r="L2684" t="s">
        <v>10326</v>
      </c>
      <c r="M2684" t="s">
        <v>432</v>
      </c>
      <c r="N2684" t="b">
        <f t="shared" si="204"/>
        <v>0</v>
      </c>
    </row>
    <row r="2685" spans="1:14" x14ac:dyDescent="0.15">
      <c r="A2685" t="s">
        <v>15348</v>
      </c>
      <c r="B2685" t="s">
        <v>15354</v>
      </c>
      <c r="C2685" t="s">
        <v>15393</v>
      </c>
      <c r="D2685" t="s">
        <v>23</v>
      </c>
      <c r="E2685" t="s">
        <v>15394</v>
      </c>
      <c r="F2685" s="5">
        <f t="shared" si="205"/>
        <v>32760000</v>
      </c>
      <c r="G2685" s="5">
        <v>32760000</v>
      </c>
      <c r="H2685" s="4">
        <v>24400000</v>
      </c>
      <c r="I2685" s="2">
        <f t="shared" si="202"/>
        <v>0.74481074481074483</v>
      </c>
      <c r="J2685" s="4">
        <v>30500000</v>
      </c>
      <c r="K2685" s="2">
        <f t="shared" si="203"/>
        <v>0.93101343101343104</v>
      </c>
      <c r="L2685" t="s">
        <v>10326</v>
      </c>
      <c r="M2685" t="s">
        <v>192</v>
      </c>
      <c r="N2685" t="b">
        <f t="shared" si="204"/>
        <v>0</v>
      </c>
    </row>
    <row r="2686" spans="1:14" x14ac:dyDescent="0.15">
      <c r="A2686" t="s">
        <v>15348</v>
      </c>
      <c r="B2686" t="s">
        <v>15354</v>
      </c>
      <c r="C2686" t="s">
        <v>15395</v>
      </c>
      <c r="D2686" t="s">
        <v>23</v>
      </c>
      <c r="E2686" t="s">
        <v>15396</v>
      </c>
      <c r="F2686" s="5">
        <f t="shared" si="205"/>
        <v>4590000</v>
      </c>
      <c r="G2686" s="5">
        <v>4590000</v>
      </c>
      <c r="H2686" s="4">
        <v>3488000</v>
      </c>
      <c r="I2686" s="2">
        <f t="shared" si="202"/>
        <v>0.75991285403050113</v>
      </c>
      <c r="J2686" s="4">
        <v>4250000</v>
      </c>
      <c r="K2686" s="2">
        <f t="shared" si="203"/>
        <v>0.92592592592592593</v>
      </c>
      <c r="L2686" t="s">
        <v>15397</v>
      </c>
      <c r="M2686" t="s">
        <v>432</v>
      </c>
      <c r="N2686" t="b">
        <f t="shared" si="204"/>
        <v>0</v>
      </c>
    </row>
    <row r="2687" spans="1:14" x14ac:dyDescent="0.15">
      <c r="A2687" t="s">
        <v>15348</v>
      </c>
      <c r="B2687" t="s">
        <v>15351</v>
      </c>
      <c r="C2687" t="s">
        <v>15398</v>
      </c>
      <c r="D2687" t="s">
        <v>23</v>
      </c>
      <c r="E2687" t="s">
        <v>15399</v>
      </c>
      <c r="F2687" s="5">
        <f t="shared" si="205"/>
        <v>10280000</v>
      </c>
      <c r="G2687" s="5">
        <v>10280000</v>
      </c>
      <c r="H2687" s="4">
        <v>7894400</v>
      </c>
      <c r="I2687" s="2">
        <f t="shared" si="202"/>
        <v>0.76793774319066144</v>
      </c>
      <c r="J2687" s="4">
        <v>9650000</v>
      </c>
      <c r="K2687" s="2">
        <f t="shared" si="203"/>
        <v>0.93871595330739299</v>
      </c>
      <c r="L2687" t="s">
        <v>332</v>
      </c>
      <c r="M2687" t="s">
        <v>165</v>
      </c>
      <c r="N2687" t="b">
        <f t="shared" si="204"/>
        <v>0</v>
      </c>
    </row>
    <row r="2688" spans="1:14" x14ac:dyDescent="0.15">
      <c r="A2688" t="s">
        <v>15348</v>
      </c>
      <c r="B2688" t="s">
        <v>15351</v>
      </c>
      <c r="C2688" t="s">
        <v>15400</v>
      </c>
      <c r="D2688" t="s">
        <v>23</v>
      </c>
      <c r="E2688" t="s">
        <v>15401</v>
      </c>
      <c r="F2688" s="5">
        <f t="shared" si="205"/>
        <v>11598000</v>
      </c>
      <c r="G2688" s="5">
        <v>11598000</v>
      </c>
      <c r="H2688" s="4">
        <v>9200000</v>
      </c>
      <c r="I2688" s="2">
        <f t="shared" si="202"/>
        <v>0.79324021382997068</v>
      </c>
      <c r="J2688" s="4">
        <v>11500000</v>
      </c>
      <c r="K2688" s="2">
        <f t="shared" si="203"/>
        <v>0.99155026728746332</v>
      </c>
      <c r="L2688" t="s">
        <v>1541</v>
      </c>
      <c r="M2688" t="s">
        <v>165</v>
      </c>
      <c r="N2688" t="b">
        <f t="shared" si="204"/>
        <v>0</v>
      </c>
    </row>
    <row r="2689" spans="1:14" x14ac:dyDescent="0.15">
      <c r="A2689" t="s">
        <v>15402</v>
      </c>
      <c r="B2689" t="s">
        <v>15405</v>
      </c>
      <c r="C2689" t="s">
        <v>15403</v>
      </c>
      <c r="D2689" t="s">
        <v>23</v>
      </c>
      <c r="E2689" t="s">
        <v>15404</v>
      </c>
      <c r="F2689" s="5">
        <v>9930000</v>
      </c>
      <c r="G2689" s="5">
        <v>9930000</v>
      </c>
      <c r="H2689" s="4">
        <v>7986000</v>
      </c>
      <c r="I2689" s="2">
        <f t="shared" si="202"/>
        <v>0.80422960725075532</v>
      </c>
      <c r="J2689" s="4">
        <v>7986000</v>
      </c>
      <c r="K2689" s="2">
        <f t="shared" si="203"/>
        <v>0.80422960725075532</v>
      </c>
      <c r="L2689" t="s">
        <v>439</v>
      </c>
      <c r="M2689" t="s">
        <v>174</v>
      </c>
      <c r="N2689" t="b">
        <f t="shared" si="204"/>
        <v>0</v>
      </c>
    </row>
    <row r="2690" spans="1:14" x14ac:dyDescent="0.15">
      <c r="A2690" t="s">
        <v>15402</v>
      </c>
      <c r="B2690" t="s">
        <v>15405</v>
      </c>
      <c r="C2690" t="s">
        <v>15406</v>
      </c>
      <c r="D2690" t="s">
        <v>23</v>
      </c>
      <c r="E2690" t="s">
        <v>15407</v>
      </c>
      <c r="F2690" s="5">
        <v>5787000</v>
      </c>
      <c r="G2690" s="5">
        <v>5787000</v>
      </c>
      <c r="H2690" s="4">
        <v>4540000</v>
      </c>
      <c r="I2690" s="2">
        <f t="shared" si="202"/>
        <v>0.78451702090893383</v>
      </c>
      <c r="J2690" s="4">
        <v>5400000</v>
      </c>
      <c r="K2690" s="2">
        <f t="shared" si="203"/>
        <v>0.93312597200622083</v>
      </c>
      <c r="L2690" t="s">
        <v>744</v>
      </c>
      <c r="M2690" t="s">
        <v>174</v>
      </c>
      <c r="N2690" t="b">
        <f t="shared" si="204"/>
        <v>0</v>
      </c>
    </row>
    <row r="2691" spans="1:14" x14ac:dyDescent="0.15">
      <c r="A2691" t="s">
        <v>15402</v>
      </c>
      <c r="B2691" t="s">
        <v>15405</v>
      </c>
      <c r="C2691" t="s">
        <v>15408</v>
      </c>
      <c r="D2691" t="s">
        <v>118</v>
      </c>
      <c r="E2691" t="s">
        <v>14389</v>
      </c>
      <c r="F2691" s="5">
        <v>7794000</v>
      </c>
      <c r="G2691" s="5">
        <v>7794000</v>
      </c>
      <c r="H2691" s="4">
        <v>6140000</v>
      </c>
      <c r="I2691" s="2">
        <f t="shared" si="202"/>
        <v>0.78778547600718496</v>
      </c>
      <c r="J2691" s="4">
        <v>6142000</v>
      </c>
      <c r="K2691" s="2">
        <f t="shared" si="203"/>
        <v>0.7880420836540929</v>
      </c>
      <c r="L2691" t="s">
        <v>1078</v>
      </c>
      <c r="M2691" t="s">
        <v>21</v>
      </c>
      <c r="N2691" t="b">
        <f t="shared" si="204"/>
        <v>0</v>
      </c>
    </row>
    <row r="2692" spans="1:14" x14ac:dyDescent="0.15">
      <c r="A2692" t="s">
        <v>15402</v>
      </c>
      <c r="B2692" t="s">
        <v>15405</v>
      </c>
      <c r="C2692" t="s">
        <v>15409</v>
      </c>
      <c r="D2692" t="s">
        <v>118</v>
      </c>
      <c r="E2692" t="s">
        <v>15410</v>
      </c>
      <c r="F2692" s="5">
        <v>8363000</v>
      </c>
      <c r="G2692" s="5">
        <v>8363000</v>
      </c>
      <c r="H2692" s="4">
        <v>6639000</v>
      </c>
      <c r="I2692" s="2">
        <f t="shared" ref="I2692:I2755" si="206">H2692/G2692</f>
        <v>0.79385388018653591</v>
      </c>
      <c r="J2692" s="4">
        <v>7680000</v>
      </c>
      <c r="K2692" s="2">
        <f t="shared" ref="K2692:K2755" si="207">J2692/G2692</f>
        <v>0.91833074255649882</v>
      </c>
      <c r="L2692" t="s">
        <v>744</v>
      </c>
      <c r="M2692" t="s">
        <v>165</v>
      </c>
      <c r="N2692" t="b">
        <f t="shared" ref="N2692:N2755" si="208">F2692&lt;&gt;G2692</f>
        <v>0</v>
      </c>
    </row>
    <row r="2693" spans="1:14" x14ac:dyDescent="0.15">
      <c r="A2693" t="s">
        <v>15402</v>
      </c>
      <c r="B2693" t="s">
        <v>15405</v>
      </c>
      <c r="C2693" t="s">
        <v>15411</v>
      </c>
      <c r="D2693" t="s">
        <v>23</v>
      </c>
      <c r="E2693" t="s">
        <v>3704</v>
      </c>
      <c r="F2693" s="5">
        <v>9150000</v>
      </c>
      <c r="G2693" s="5">
        <v>9150000</v>
      </c>
      <c r="H2693" s="4">
        <v>7341000</v>
      </c>
      <c r="I2693" s="2">
        <f t="shared" si="206"/>
        <v>0.80229508196721311</v>
      </c>
      <c r="J2693" s="4">
        <v>8400000</v>
      </c>
      <c r="K2693" s="2">
        <f t="shared" si="207"/>
        <v>0.91803278688524592</v>
      </c>
      <c r="L2693" t="s">
        <v>15412</v>
      </c>
      <c r="M2693" t="s">
        <v>192</v>
      </c>
      <c r="N2693" t="b">
        <f t="shared" si="208"/>
        <v>0</v>
      </c>
    </row>
    <row r="2694" spans="1:14" x14ac:dyDescent="0.15">
      <c r="A2694" t="s">
        <v>15402</v>
      </c>
      <c r="B2694" t="s">
        <v>15405</v>
      </c>
      <c r="C2694" t="s">
        <v>15413</v>
      </c>
      <c r="D2694" t="s">
        <v>118</v>
      </c>
      <c r="E2694" t="s">
        <v>15414</v>
      </c>
      <c r="F2694" s="5">
        <v>23100000</v>
      </c>
      <c r="G2694" s="5">
        <v>23100000</v>
      </c>
      <c r="H2694" s="4">
        <v>13860000</v>
      </c>
      <c r="I2694" s="2">
        <f t="shared" si="206"/>
        <v>0.6</v>
      </c>
      <c r="J2694" s="4">
        <v>13860000</v>
      </c>
      <c r="K2694" s="2">
        <f t="shared" si="207"/>
        <v>0.6</v>
      </c>
      <c r="L2694" t="s">
        <v>4415</v>
      </c>
      <c r="M2694" t="s">
        <v>432</v>
      </c>
      <c r="N2694" t="b">
        <f t="shared" si="208"/>
        <v>0</v>
      </c>
    </row>
    <row r="2695" spans="1:14" x14ac:dyDescent="0.15">
      <c r="A2695" t="s">
        <v>15402</v>
      </c>
      <c r="B2695" t="s">
        <v>15405</v>
      </c>
      <c r="C2695" t="s">
        <v>15415</v>
      </c>
      <c r="D2695" t="s">
        <v>23</v>
      </c>
      <c r="E2695" t="s">
        <v>15416</v>
      </c>
      <c r="F2695" s="5">
        <v>22139000</v>
      </c>
      <c r="G2695" s="5">
        <v>22139000</v>
      </c>
      <c r="H2695" s="4">
        <v>17796000</v>
      </c>
      <c r="I2695" s="2">
        <f t="shared" si="206"/>
        <v>0.80383034464067937</v>
      </c>
      <c r="J2695" s="4">
        <v>20800000</v>
      </c>
      <c r="K2695" s="2">
        <f t="shared" si="207"/>
        <v>0.93951849677040522</v>
      </c>
      <c r="L2695" t="s">
        <v>15412</v>
      </c>
      <c r="M2695" t="s">
        <v>31</v>
      </c>
      <c r="N2695" t="b">
        <f t="shared" si="208"/>
        <v>0</v>
      </c>
    </row>
    <row r="2696" spans="1:14" x14ac:dyDescent="0.15">
      <c r="A2696" t="s">
        <v>15402</v>
      </c>
      <c r="B2696" t="s">
        <v>15405</v>
      </c>
      <c r="C2696" t="s">
        <v>15417</v>
      </c>
      <c r="D2696" t="s">
        <v>118</v>
      </c>
      <c r="E2696" t="s">
        <v>15418</v>
      </c>
      <c r="F2696" s="5">
        <v>35180000</v>
      </c>
      <c r="G2696" s="5">
        <v>35180000</v>
      </c>
      <c r="H2696" s="4">
        <v>28495000</v>
      </c>
      <c r="I2696" s="2">
        <f t="shared" si="206"/>
        <v>0.80997725980670832</v>
      </c>
      <c r="J2696" s="4">
        <v>28560000</v>
      </c>
      <c r="K2696" s="2">
        <f t="shared" si="207"/>
        <v>0.81182490051165435</v>
      </c>
      <c r="L2696" t="s">
        <v>12402</v>
      </c>
      <c r="M2696" t="s">
        <v>165</v>
      </c>
      <c r="N2696" t="b">
        <f t="shared" si="208"/>
        <v>0</v>
      </c>
    </row>
    <row r="2697" spans="1:14" x14ac:dyDescent="0.15">
      <c r="A2697" t="s">
        <v>15402</v>
      </c>
      <c r="B2697" t="s">
        <v>15405</v>
      </c>
      <c r="C2697" t="s">
        <v>15415</v>
      </c>
      <c r="D2697" t="s">
        <v>118</v>
      </c>
      <c r="E2697" t="s">
        <v>15419</v>
      </c>
      <c r="F2697" s="5">
        <v>19710000</v>
      </c>
      <c r="G2697" s="5">
        <v>19710000</v>
      </c>
      <c r="H2697" s="4">
        <v>11826000</v>
      </c>
      <c r="I2697" s="2">
        <f t="shared" si="206"/>
        <v>0.6</v>
      </c>
      <c r="J2697" s="4">
        <v>11826000</v>
      </c>
      <c r="K2697" s="2">
        <f t="shared" si="207"/>
        <v>0.6</v>
      </c>
      <c r="L2697" t="s">
        <v>11723</v>
      </c>
      <c r="M2697" t="s">
        <v>165</v>
      </c>
      <c r="N2697" t="b">
        <f t="shared" si="208"/>
        <v>0</v>
      </c>
    </row>
    <row r="2698" spans="1:14" x14ac:dyDescent="0.15">
      <c r="A2698" t="s">
        <v>15402</v>
      </c>
      <c r="B2698" t="s">
        <v>15405</v>
      </c>
      <c r="C2698" t="s">
        <v>15420</v>
      </c>
      <c r="D2698" t="s">
        <v>23</v>
      </c>
      <c r="E2698" t="s">
        <v>15421</v>
      </c>
      <c r="F2698" s="5">
        <v>7713000</v>
      </c>
      <c r="G2698" s="5">
        <v>7713000</v>
      </c>
      <c r="H2698" s="4">
        <v>4628000</v>
      </c>
      <c r="I2698" s="2">
        <f t="shared" si="206"/>
        <v>0.60002593024763384</v>
      </c>
      <c r="J2698" s="4">
        <v>6200000</v>
      </c>
      <c r="K2698" s="2">
        <f t="shared" si="207"/>
        <v>0.80383767664981198</v>
      </c>
      <c r="L2698" t="s">
        <v>231</v>
      </c>
      <c r="M2698" t="s">
        <v>353</v>
      </c>
      <c r="N2698" t="b">
        <f t="shared" si="208"/>
        <v>0</v>
      </c>
    </row>
    <row r="2699" spans="1:14" x14ac:dyDescent="0.15">
      <c r="A2699" t="s">
        <v>15402</v>
      </c>
      <c r="B2699" t="s">
        <v>15405</v>
      </c>
      <c r="C2699" t="s">
        <v>15422</v>
      </c>
      <c r="D2699" t="s">
        <v>23</v>
      </c>
      <c r="E2699" t="s">
        <v>15423</v>
      </c>
      <c r="F2699" s="5">
        <v>4490000</v>
      </c>
      <c r="G2699" s="5">
        <v>4490000</v>
      </c>
      <c r="H2699" s="4">
        <v>2694000</v>
      </c>
      <c r="I2699" s="2">
        <f t="shared" si="206"/>
        <v>0.6</v>
      </c>
      <c r="J2699" s="4">
        <v>3800000</v>
      </c>
      <c r="K2699" s="2">
        <f t="shared" si="207"/>
        <v>0.84632516703786187</v>
      </c>
      <c r="L2699" t="s">
        <v>15412</v>
      </c>
      <c r="M2699" t="s">
        <v>165</v>
      </c>
      <c r="N2699" t="b">
        <f t="shared" si="208"/>
        <v>0</v>
      </c>
    </row>
    <row r="2700" spans="1:14" x14ac:dyDescent="0.15">
      <c r="A2700" t="s">
        <v>15402</v>
      </c>
      <c r="B2700" t="s">
        <v>15405</v>
      </c>
      <c r="C2700" t="s">
        <v>15424</v>
      </c>
      <c r="D2700" t="s">
        <v>23</v>
      </c>
      <c r="E2700" t="s">
        <v>15425</v>
      </c>
      <c r="F2700" s="5">
        <v>4510000</v>
      </c>
      <c r="G2700" s="5">
        <v>4510000</v>
      </c>
      <c r="H2700" s="4">
        <v>2706000</v>
      </c>
      <c r="I2700" s="2">
        <f t="shared" si="206"/>
        <v>0.6</v>
      </c>
      <c r="J2700" s="4">
        <v>4250000</v>
      </c>
      <c r="K2700" s="2">
        <f t="shared" si="207"/>
        <v>0.94235033259423506</v>
      </c>
      <c r="L2700" t="s">
        <v>9367</v>
      </c>
      <c r="M2700" t="s">
        <v>165</v>
      </c>
      <c r="N2700" t="b">
        <f t="shared" si="208"/>
        <v>0</v>
      </c>
    </row>
    <row r="2701" spans="1:14" x14ac:dyDescent="0.15">
      <c r="A2701" t="s">
        <v>15402</v>
      </c>
      <c r="B2701" t="s">
        <v>15405</v>
      </c>
      <c r="C2701" t="s">
        <v>15426</v>
      </c>
      <c r="D2701" t="s">
        <v>118</v>
      </c>
      <c r="E2701" t="s">
        <v>15427</v>
      </c>
      <c r="F2701" s="5">
        <v>10000000</v>
      </c>
      <c r="G2701" s="5">
        <v>10000000</v>
      </c>
      <c r="H2701" s="4">
        <v>6000000</v>
      </c>
      <c r="I2701" s="2">
        <f t="shared" si="206"/>
        <v>0.6</v>
      </c>
      <c r="J2701" s="4">
        <v>9500000</v>
      </c>
      <c r="K2701" s="2">
        <f t="shared" si="207"/>
        <v>0.95</v>
      </c>
      <c r="L2701" t="s">
        <v>231</v>
      </c>
      <c r="M2701" t="s">
        <v>21</v>
      </c>
      <c r="N2701" t="b">
        <f t="shared" si="208"/>
        <v>0</v>
      </c>
    </row>
    <row r="2702" spans="1:14" x14ac:dyDescent="0.15">
      <c r="A2702" t="s">
        <v>15402</v>
      </c>
      <c r="B2702" t="s">
        <v>15405</v>
      </c>
      <c r="C2702" t="s">
        <v>15428</v>
      </c>
      <c r="D2702" t="s">
        <v>23</v>
      </c>
      <c r="E2702" t="s">
        <v>15429</v>
      </c>
      <c r="F2702" s="5">
        <v>15500000</v>
      </c>
      <c r="G2702" s="5">
        <v>15500000</v>
      </c>
      <c r="H2702" s="4">
        <v>9300000</v>
      </c>
      <c r="I2702" s="2">
        <f t="shared" si="206"/>
        <v>0.6</v>
      </c>
      <c r="J2702" s="4">
        <v>14200000</v>
      </c>
      <c r="K2702" s="2">
        <f t="shared" si="207"/>
        <v>0.91612903225806452</v>
      </c>
      <c r="L2702" t="s">
        <v>15412</v>
      </c>
      <c r="M2702" t="s">
        <v>192</v>
      </c>
      <c r="N2702" t="b">
        <f t="shared" si="208"/>
        <v>0</v>
      </c>
    </row>
    <row r="2703" spans="1:14" x14ac:dyDescent="0.15">
      <c r="A2703" t="s">
        <v>15402</v>
      </c>
      <c r="B2703" t="s">
        <v>15405</v>
      </c>
      <c r="C2703" t="s">
        <v>15430</v>
      </c>
      <c r="D2703" t="s">
        <v>23</v>
      </c>
      <c r="E2703" t="s">
        <v>15431</v>
      </c>
      <c r="F2703" s="5">
        <v>24430000</v>
      </c>
      <c r="G2703" s="5">
        <v>24430000</v>
      </c>
      <c r="H2703" s="4">
        <v>14658000</v>
      </c>
      <c r="I2703" s="2">
        <f t="shared" si="206"/>
        <v>0.6</v>
      </c>
      <c r="J2703" s="4">
        <v>21000000</v>
      </c>
      <c r="K2703" s="2">
        <f t="shared" si="207"/>
        <v>0.85959885386819479</v>
      </c>
      <c r="L2703" t="s">
        <v>608</v>
      </c>
      <c r="M2703" t="s">
        <v>482</v>
      </c>
      <c r="N2703" t="b">
        <f t="shared" si="208"/>
        <v>0</v>
      </c>
    </row>
    <row r="2704" spans="1:14" x14ac:dyDescent="0.15">
      <c r="A2704" t="s">
        <v>15432</v>
      </c>
      <c r="B2704" t="s">
        <v>15435</v>
      </c>
      <c r="C2704" t="s">
        <v>15433</v>
      </c>
      <c r="D2704" t="s">
        <v>23</v>
      </c>
      <c r="E2704" t="s">
        <v>15434</v>
      </c>
      <c r="F2704" s="5">
        <v>4720000</v>
      </c>
      <c r="G2704" s="5">
        <v>4720000</v>
      </c>
      <c r="H2704" t="s">
        <v>145</v>
      </c>
      <c r="I2704" s="2" t="e">
        <f t="shared" si="206"/>
        <v>#VALUE!</v>
      </c>
      <c r="J2704" s="4">
        <v>4400000</v>
      </c>
      <c r="K2704" s="2">
        <f t="shared" si="207"/>
        <v>0.93220338983050843</v>
      </c>
      <c r="L2704" t="s">
        <v>15436</v>
      </c>
      <c r="M2704" t="s">
        <v>1015</v>
      </c>
      <c r="N2704" t="b">
        <f t="shared" si="208"/>
        <v>0</v>
      </c>
    </row>
    <row r="2705" spans="1:14" x14ac:dyDescent="0.15">
      <c r="A2705" t="s">
        <v>15432</v>
      </c>
      <c r="B2705" t="s">
        <v>15435</v>
      </c>
      <c r="C2705" t="s">
        <v>15437</v>
      </c>
      <c r="D2705" t="s">
        <v>23</v>
      </c>
      <c r="E2705" t="s">
        <v>15438</v>
      </c>
      <c r="F2705" s="5">
        <v>6280000</v>
      </c>
      <c r="G2705" s="5">
        <v>6280000</v>
      </c>
      <c r="I2705" s="2">
        <f t="shared" si="206"/>
        <v>0</v>
      </c>
      <c r="J2705" s="4">
        <v>5330000</v>
      </c>
      <c r="K2705" s="2">
        <f t="shared" si="207"/>
        <v>0.84872611464968151</v>
      </c>
      <c r="L2705" t="s">
        <v>10639</v>
      </c>
      <c r="M2705" t="s">
        <v>1015</v>
      </c>
      <c r="N2705" t="b">
        <f t="shared" si="208"/>
        <v>0</v>
      </c>
    </row>
    <row r="2706" spans="1:14" x14ac:dyDescent="0.15">
      <c r="A2706" t="s">
        <v>15432</v>
      </c>
      <c r="B2706" t="s">
        <v>15435</v>
      </c>
      <c r="C2706" t="s">
        <v>15439</v>
      </c>
      <c r="D2706" t="s">
        <v>23</v>
      </c>
      <c r="E2706" t="s">
        <v>15440</v>
      </c>
      <c r="F2706" s="5">
        <v>6012000</v>
      </c>
      <c r="G2706" s="5">
        <v>6012000</v>
      </c>
      <c r="H2706" t="s">
        <v>145</v>
      </c>
      <c r="I2706" s="2" t="e">
        <f t="shared" si="206"/>
        <v>#VALUE!</v>
      </c>
      <c r="J2706" s="4">
        <v>5170000</v>
      </c>
      <c r="K2706" s="2">
        <f t="shared" si="207"/>
        <v>0.85994677312042578</v>
      </c>
      <c r="L2706" t="s">
        <v>10639</v>
      </c>
      <c r="M2706" t="s">
        <v>1015</v>
      </c>
      <c r="N2706" t="b">
        <f t="shared" si="208"/>
        <v>0</v>
      </c>
    </row>
    <row r="2707" spans="1:14" x14ac:dyDescent="0.15">
      <c r="A2707" t="s">
        <v>15432</v>
      </c>
      <c r="B2707" t="s">
        <v>15435</v>
      </c>
      <c r="C2707" t="s">
        <v>15441</v>
      </c>
      <c r="D2707" t="s">
        <v>118</v>
      </c>
      <c r="E2707" t="s">
        <v>15442</v>
      </c>
      <c r="F2707" s="5">
        <v>19047000</v>
      </c>
      <c r="G2707" s="5">
        <v>19047000</v>
      </c>
      <c r="H2707" t="s">
        <v>145</v>
      </c>
      <c r="I2707" s="2" t="e">
        <f t="shared" si="206"/>
        <v>#VALUE!</v>
      </c>
      <c r="J2707" s="4">
        <v>17980000</v>
      </c>
      <c r="K2707" s="2">
        <f t="shared" si="207"/>
        <v>0.94398067937207963</v>
      </c>
      <c r="L2707" t="s">
        <v>15443</v>
      </c>
      <c r="M2707" t="s">
        <v>432</v>
      </c>
      <c r="N2707" t="b">
        <f t="shared" si="208"/>
        <v>0</v>
      </c>
    </row>
    <row r="2708" spans="1:14" x14ac:dyDescent="0.15">
      <c r="A2708" t="s">
        <v>15432</v>
      </c>
      <c r="B2708" t="s">
        <v>15435</v>
      </c>
      <c r="C2708" t="s">
        <v>15444</v>
      </c>
      <c r="D2708" t="s">
        <v>23</v>
      </c>
      <c r="E2708" t="s">
        <v>15445</v>
      </c>
      <c r="F2708" s="5">
        <v>9002000</v>
      </c>
      <c r="G2708" s="5">
        <v>9002000</v>
      </c>
      <c r="H2708" t="s">
        <v>145</v>
      </c>
      <c r="I2708" s="2" t="e">
        <f t="shared" si="206"/>
        <v>#VALUE!</v>
      </c>
      <c r="J2708" s="4">
        <v>8480000</v>
      </c>
      <c r="K2708" s="2">
        <f t="shared" si="207"/>
        <v>0.94201288602532773</v>
      </c>
      <c r="L2708" t="s">
        <v>10639</v>
      </c>
      <c r="M2708" t="s">
        <v>432</v>
      </c>
      <c r="N2708" t="b">
        <f t="shared" si="208"/>
        <v>0</v>
      </c>
    </row>
    <row r="2709" spans="1:14" x14ac:dyDescent="0.15">
      <c r="A2709" t="s">
        <v>15432</v>
      </c>
      <c r="B2709" t="s">
        <v>15435</v>
      </c>
      <c r="C2709" t="s">
        <v>15446</v>
      </c>
      <c r="D2709" t="s">
        <v>23</v>
      </c>
      <c r="E2709" t="s">
        <v>15140</v>
      </c>
      <c r="F2709" s="5">
        <v>4950000</v>
      </c>
      <c r="G2709" s="5">
        <v>4950000</v>
      </c>
      <c r="H2709" t="s">
        <v>145</v>
      </c>
      <c r="I2709" s="2" t="e">
        <f t="shared" si="206"/>
        <v>#VALUE!</v>
      </c>
      <c r="J2709" s="4">
        <v>4640000</v>
      </c>
      <c r="K2709" s="2">
        <f t="shared" si="207"/>
        <v>0.93737373737373741</v>
      </c>
      <c r="L2709" t="s">
        <v>5751</v>
      </c>
      <c r="M2709" t="s">
        <v>1015</v>
      </c>
      <c r="N2709" t="b">
        <f t="shared" si="208"/>
        <v>0</v>
      </c>
    </row>
    <row r="2710" spans="1:14" x14ac:dyDescent="0.15">
      <c r="A2710" t="s">
        <v>15432</v>
      </c>
      <c r="B2710" t="s">
        <v>15435</v>
      </c>
      <c r="C2710" t="s">
        <v>15447</v>
      </c>
      <c r="D2710" t="s">
        <v>23</v>
      </c>
      <c r="E2710" t="s">
        <v>15448</v>
      </c>
      <c r="F2710" s="5">
        <v>4840000</v>
      </c>
      <c r="G2710" s="5">
        <v>4840000</v>
      </c>
      <c r="I2710" s="2">
        <f t="shared" si="206"/>
        <v>0</v>
      </c>
      <c r="J2710" s="4">
        <v>4700000</v>
      </c>
      <c r="K2710" s="2">
        <f t="shared" si="207"/>
        <v>0.97107438016528924</v>
      </c>
      <c r="L2710" t="s">
        <v>125</v>
      </c>
      <c r="M2710" t="s">
        <v>1015</v>
      </c>
      <c r="N2710" t="b">
        <f t="shared" si="208"/>
        <v>0</v>
      </c>
    </row>
    <row r="2711" spans="1:14" x14ac:dyDescent="0.15">
      <c r="A2711" t="s">
        <v>15432</v>
      </c>
      <c r="B2711" t="s">
        <v>15435</v>
      </c>
      <c r="C2711" t="s">
        <v>15449</v>
      </c>
      <c r="D2711" t="s">
        <v>118</v>
      </c>
      <c r="E2711" t="s">
        <v>15450</v>
      </c>
      <c r="F2711" s="5">
        <v>9961000</v>
      </c>
      <c r="G2711" s="5">
        <v>9961000</v>
      </c>
      <c r="H2711" t="s">
        <v>145</v>
      </c>
      <c r="I2711" s="2" t="e">
        <f t="shared" si="206"/>
        <v>#VALUE!</v>
      </c>
      <c r="J2711" s="4">
        <v>8158000</v>
      </c>
      <c r="K2711" s="2">
        <f t="shared" si="207"/>
        <v>0.81899407689990966</v>
      </c>
      <c r="L2711" t="s">
        <v>173</v>
      </c>
      <c r="M2711" t="s">
        <v>482</v>
      </c>
      <c r="N2711" t="b">
        <f t="shared" si="208"/>
        <v>0</v>
      </c>
    </row>
    <row r="2712" spans="1:14" x14ac:dyDescent="0.15">
      <c r="A2712" t="s">
        <v>15432</v>
      </c>
      <c r="B2712" t="s">
        <v>15435</v>
      </c>
      <c r="C2712" t="s">
        <v>15451</v>
      </c>
      <c r="D2712" t="s">
        <v>23</v>
      </c>
      <c r="E2712" t="s">
        <v>15452</v>
      </c>
      <c r="F2712" s="5">
        <v>5110000</v>
      </c>
      <c r="G2712" s="5">
        <v>5110000</v>
      </c>
      <c r="H2712" t="s">
        <v>145</v>
      </c>
      <c r="I2712" s="2" t="e">
        <f t="shared" si="206"/>
        <v>#VALUE!</v>
      </c>
      <c r="J2712" s="4">
        <v>4950000</v>
      </c>
      <c r="K2712" s="2">
        <f t="shared" si="207"/>
        <v>0.96868884540117417</v>
      </c>
      <c r="L2712" t="s">
        <v>10639</v>
      </c>
      <c r="M2712" t="s">
        <v>1015</v>
      </c>
      <c r="N2712" t="b">
        <f t="shared" si="208"/>
        <v>0</v>
      </c>
    </row>
    <row r="2713" spans="1:14" x14ac:dyDescent="0.15">
      <c r="A2713" t="s">
        <v>15432</v>
      </c>
      <c r="B2713" t="s">
        <v>15435</v>
      </c>
      <c r="C2713" t="s">
        <v>15453</v>
      </c>
      <c r="D2713" t="s">
        <v>23</v>
      </c>
      <c r="E2713" t="s">
        <v>15454</v>
      </c>
      <c r="F2713" s="5">
        <v>9080000</v>
      </c>
      <c r="G2713" s="5">
        <v>9080000</v>
      </c>
      <c r="H2713" t="s">
        <v>145</v>
      </c>
      <c r="I2713" s="2" t="e">
        <f t="shared" si="206"/>
        <v>#VALUE!</v>
      </c>
      <c r="J2713" s="4">
        <v>8600000</v>
      </c>
      <c r="K2713" s="2">
        <f t="shared" si="207"/>
        <v>0.94713656387665202</v>
      </c>
      <c r="L2713" t="s">
        <v>10326</v>
      </c>
      <c r="M2713" t="s">
        <v>1015</v>
      </c>
      <c r="N2713" t="b">
        <f t="shared" si="208"/>
        <v>0</v>
      </c>
    </row>
    <row r="2714" spans="1:14" x14ac:dyDescent="0.15">
      <c r="A2714" t="s">
        <v>15432</v>
      </c>
      <c r="B2714" t="s">
        <v>15435</v>
      </c>
      <c r="C2714" t="s">
        <v>15455</v>
      </c>
      <c r="D2714" t="s">
        <v>23</v>
      </c>
      <c r="E2714" t="s">
        <v>15456</v>
      </c>
      <c r="F2714" s="5">
        <v>5090000</v>
      </c>
      <c r="G2714" s="5">
        <v>5090000</v>
      </c>
      <c r="H2714" t="s">
        <v>145</v>
      </c>
      <c r="I2714" s="2" t="e">
        <f t="shared" si="206"/>
        <v>#VALUE!</v>
      </c>
      <c r="J2714" s="4">
        <v>4750000</v>
      </c>
      <c r="K2714" s="2">
        <f t="shared" si="207"/>
        <v>0.93320235756385073</v>
      </c>
      <c r="L2714" t="s">
        <v>15436</v>
      </c>
      <c r="M2714" t="s">
        <v>1015</v>
      </c>
      <c r="N2714" t="b">
        <f t="shared" si="208"/>
        <v>0</v>
      </c>
    </row>
    <row r="2715" spans="1:14" x14ac:dyDescent="0.15">
      <c r="A2715" t="s">
        <v>15432</v>
      </c>
      <c r="B2715" t="s">
        <v>15435</v>
      </c>
      <c r="C2715" t="s">
        <v>15457</v>
      </c>
      <c r="D2715" t="s">
        <v>23</v>
      </c>
      <c r="E2715" t="s">
        <v>15458</v>
      </c>
      <c r="F2715" s="5">
        <v>8752000</v>
      </c>
      <c r="G2715" s="5">
        <v>8752000</v>
      </c>
      <c r="H2715" s="4">
        <v>6969000</v>
      </c>
      <c r="I2715" s="2">
        <f t="shared" si="206"/>
        <v>0.79627513711151732</v>
      </c>
      <c r="J2715" s="4">
        <v>7100000</v>
      </c>
      <c r="K2715" s="2">
        <f t="shared" si="207"/>
        <v>0.81124314442413159</v>
      </c>
      <c r="L2715" t="s">
        <v>10639</v>
      </c>
      <c r="M2715" t="s">
        <v>1015</v>
      </c>
      <c r="N2715" t="b">
        <f t="shared" si="208"/>
        <v>0</v>
      </c>
    </row>
    <row r="2716" spans="1:14" x14ac:dyDescent="0.15">
      <c r="A2716" t="s">
        <v>15432</v>
      </c>
      <c r="B2716" t="s">
        <v>15435</v>
      </c>
      <c r="C2716" t="s">
        <v>15459</v>
      </c>
      <c r="D2716" t="s">
        <v>23</v>
      </c>
      <c r="E2716" t="s">
        <v>15460</v>
      </c>
      <c r="F2716" s="5">
        <v>6280000</v>
      </c>
      <c r="G2716" s="5">
        <v>6280000</v>
      </c>
      <c r="H2716" s="4">
        <v>4997000</v>
      </c>
      <c r="I2716" s="2">
        <f t="shared" si="206"/>
        <v>0.79570063694267512</v>
      </c>
      <c r="J2716" s="4">
        <v>5930000</v>
      </c>
      <c r="K2716" s="2">
        <f t="shared" si="207"/>
        <v>0.94426751592356684</v>
      </c>
      <c r="L2716" t="s">
        <v>5751</v>
      </c>
      <c r="M2716" t="s">
        <v>1015</v>
      </c>
      <c r="N2716" t="b">
        <f t="shared" si="208"/>
        <v>0</v>
      </c>
    </row>
    <row r="2717" spans="1:14" x14ac:dyDescent="0.15">
      <c r="A2717" t="s">
        <v>15461</v>
      </c>
      <c r="B2717" t="s">
        <v>15464</v>
      </c>
      <c r="C2717" t="s">
        <v>15462</v>
      </c>
      <c r="D2717" t="s">
        <v>23</v>
      </c>
      <c r="E2717" t="s">
        <v>15463</v>
      </c>
      <c r="F2717" s="5">
        <v>7914000</v>
      </c>
      <c r="G2717" s="5">
        <v>7914000</v>
      </c>
      <c r="H2717" s="4">
        <v>6293575</v>
      </c>
      <c r="I2717" s="2">
        <f t="shared" si="206"/>
        <v>0.79524576699519833</v>
      </c>
      <c r="J2717" s="4">
        <v>7500000</v>
      </c>
      <c r="K2717" s="2">
        <f t="shared" si="207"/>
        <v>0.94768764215314627</v>
      </c>
      <c r="L2717" t="s">
        <v>5186</v>
      </c>
      <c r="M2717" t="s">
        <v>174</v>
      </c>
      <c r="N2717" t="b">
        <f t="shared" si="208"/>
        <v>0</v>
      </c>
    </row>
    <row r="2718" spans="1:14" x14ac:dyDescent="0.15">
      <c r="A2718" t="s">
        <v>15461</v>
      </c>
      <c r="B2718" t="s">
        <v>15464</v>
      </c>
      <c r="C2718" t="s">
        <v>15465</v>
      </c>
      <c r="D2718" t="s">
        <v>23</v>
      </c>
      <c r="E2718" t="s">
        <v>15466</v>
      </c>
      <c r="F2718" s="5">
        <v>4530000</v>
      </c>
      <c r="G2718" s="5">
        <v>4530000</v>
      </c>
      <c r="I2718" s="2">
        <f t="shared" si="206"/>
        <v>0</v>
      </c>
      <c r="J2718" s="4">
        <v>3970000</v>
      </c>
      <c r="K2718" s="2">
        <f t="shared" si="207"/>
        <v>0.87637969094922741</v>
      </c>
      <c r="L2718" t="s">
        <v>1262</v>
      </c>
      <c r="M2718" t="s">
        <v>432</v>
      </c>
      <c r="N2718" t="b">
        <f t="shared" si="208"/>
        <v>0</v>
      </c>
    </row>
    <row r="2719" spans="1:14" x14ac:dyDescent="0.15">
      <c r="A2719" t="s">
        <v>15461</v>
      </c>
      <c r="B2719" t="s">
        <v>15464</v>
      </c>
      <c r="C2719" t="s">
        <v>15467</v>
      </c>
      <c r="D2719" t="s">
        <v>23</v>
      </c>
      <c r="E2719" t="s">
        <v>15468</v>
      </c>
      <c r="F2719" s="5">
        <v>3560000</v>
      </c>
      <c r="G2719" s="5">
        <v>3560000</v>
      </c>
      <c r="I2719" s="2">
        <f t="shared" si="206"/>
        <v>0</v>
      </c>
      <c r="J2719" s="4">
        <v>3470000</v>
      </c>
      <c r="K2719" s="2">
        <f t="shared" si="207"/>
        <v>0.9747191011235955</v>
      </c>
      <c r="L2719" t="s">
        <v>1624</v>
      </c>
      <c r="M2719" t="s">
        <v>432</v>
      </c>
      <c r="N2719" t="b">
        <f t="shared" si="208"/>
        <v>0</v>
      </c>
    </row>
    <row r="2720" spans="1:14" x14ac:dyDescent="0.15">
      <c r="A2720" t="s">
        <v>15461</v>
      </c>
      <c r="B2720" t="s">
        <v>15464</v>
      </c>
      <c r="C2720" t="s">
        <v>15469</v>
      </c>
      <c r="D2720" t="s">
        <v>23</v>
      </c>
      <c r="E2720" t="s">
        <v>15470</v>
      </c>
      <c r="F2720" s="5">
        <v>10740000</v>
      </c>
      <c r="G2720" s="5">
        <v>10740000</v>
      </c>
      <c r="H2720" s="4">
        <v>8553960</v>
      </c>
      <c r="I2720" s="2">
        <f t="shared" si="206"/>
        <v>0.79645810055865918</v>
      </c>
      <c r="J2720" s="4">
        <v>10150000</v>
      </c>
      <c r="K2720" s="2">
        <f t="shared" si="207"/>
        <v>0.94506517690875236</v>
      </c>
      <c r="L2720" t="s">
        <v>15412</v>
      </c>
      <c r="M2720" t="s">
        <v>174</v>
      </c>
      <c r="N2720" t="b">
        <f t="shared" si="208"/>
        <v>0</v>
      </c>
    </row>
    <row r="2721" spans="1:14" x14ac:dyDescent="0.15">
      <c r="A2721" t="s">
        <v>15461</v>
      </c>
      <c r="B2721" t="s">
        <v>15464</v>
      </c>
      <c r="C2721" t="s">
        <v>15471</v>
      </c>
      <c r="D2721" t="s">
        <v>23</v>
      </c>
      <c r="E2721" t="s">
        <v>15472</v>
      </c>
      <c r="F2721" s="5">
        <v>4230000</v>
      </c>
      <c r="G2721" s="5">
        <v>4230000</v>
      </c>
      <c r="I2721" s="2">
        <f t="shared" si="206"/>
        <v>0</v>
      </c>
      <c r="J2721" s="4">
        <v>3384000</v>
      </c>
      <c r="K2721" s="2">
        <f t="shared" si="207"/>
        <v>0.8</v>
      </c>
      <c r="L2721" t="s">
        <v>12534</v>
      </c>
      <c r="M2721" t="s">
        <v>432</v>
      </c>
      <c r="N2721" t="b">
        <f t="shared" si="208"/>
        <v>0</v>
      </c>
    </row>
    <row r="2722" spans="1:14" x14ac:dyDescent="0.15">
      <c r="A2722" t="s">
        <v>15461</v>
      </c>
      <c r="B2722" t="s">
        <v>15464</v>
      </c>
      <c r="C2722" t="s">
        <v>15473</v>
      </c>
      <c r="D2722" t="s">
        <v>23</v>
      </c>
      <c r="E2722" t="s">
        <v>13963</v>
      </c>
      <c r="F2722" s="5">
        <v>950000</v>
      </c>
      <c r="G2722" s="5">
        <v>950000</v>
      </c>
      <c r="I2722" s="2">
        <f t="shared" si="206"/>
        <v>0</v>
      </c>
      <c r="J2722" s="4">
        <v>788000</v>
      </c>
      <c r="K2722" s="2">
        <f t="shared" si="207"/>
        <v>0.82947368421052636</v>
      </c>
      <c r="L2722" t="s">
        <v>207</v>
      </c>
      <c r="M2722" t="s">
        <v>432</v>
      </c>
      <c r="N2722" t="b">
        <f t="shared" si="208"/>
        <v>0</v>
      </c>
    </row>
    <row r="2723" spans="1:14" x14ac:dyDescent="0.15">
      <c r="A2723" t="s">
        <v>15461</v>
      </c>
      <c r="B2723" t="s">
        <v>15464</v>
      </c>
      <c r="C2723" t="s">
        <v>15474</v>
      </c>
      <c r="D2723" t="s">
        <v>23</v>
      </c>
      <c r="E2723" t="s">
        <v>15475</v>
      </c>
      <c r="F2723" s="5">
        <v>4400000</v>
      </c>
      <c r="G2723" s="5">
        <v>4400000</v>
      </c>
      <c r="I2723" s="2">
        <f t="shared" si="206"/>
        <v>0</v>
      </c>
      <c r="J2723" s="4">
        <v>3690000</v>
      </c>
      <c r="K2723" s="2">
        <f t="shared" si="207"/>
        <v>0.83863636363636362</v>
      </c>
      <c r="L2723" t="s">
        <v>12530</v>
      </c>
      <c r="M2723" t="s">
        <v>432</v>
      </c>
      <c r="N2723" t="b">
        <f t="shared" si="208"/>
        <v>0</v>
      </c>
    </row>
    <row r="2724" spans="1:14" x14ac:dyDescent="0.15">
      <c r="A2724" t="s">
        <v>15461</v>
      </c>
      <c r="B2724" t="s">
        <v>15464</v>
      </c>
      <c r="C2724" t="s">
        <v>15476</v>
      </c>
      <c r="D2724" t="s">
        <v>23</v>
      </c>
      <c r="E2724" t="s">
        <v>15477</v>
      </c>
      <c r="F2724" s="5">
        <v>2000000</v>
      </c>
      <c r="G2724" s="5">
        <v>2000000</v>
      </c>
      <c r="I2724" s="2">
        <f t="shared" si="206"/>
        <v>0</v>
      </c>
      <c r="J2724" s="4">
        <v>1890000</v>
      </c>
      <c r="K2724" s="2">
        <f t="shared" si="207"/>
        <v>0.94499999999999995</v>
      </c>
      <c r="L2724" t="s">
        <v>744</v>
      </c>
      <c r="M2724" t="s">
        <v>432</v>
      </c>
      <c r="N2724" t="b">
        <f t="shared" si="208"/>
        <v>0</v>
      </c>
    </row>
    <row r="2725" spans="1:14" x14ac:dyDescent="0.15">
      <c r="A2725" t="s">
        <v>15461</v>
      </c>
      <c r="B2725" t="s">
        <v>15464</v>
      </c>
      <c r="C2725" t="s">
        <v>15478</v>
      </c>
      <c r="D2725" t="s">
        <v>23</v>
      </c>
      <c r="E2725" t="s">
        <v>15479</v>
      </c>
      <c r="F2725" s="5">
        <f t="shared" ref="F2725:F2744" si="209">G2725</f>
        <v>24634000</v>
      </c>
      <c r="G2725" s="5">
        <v>24634000</v>
      </c>
      <c r="H2725" s="4">
        <v>19698735</v>
      </c>
      <c r="I2725" s="2">
        <f t="shared" si="206"/>
        <v>0.79965636924575789</v>
      </c>
      <c r="J2725" s="4">
        <v>19698800</v>
      </c>
      <c r="K2725" s="2">
        <f t="shared" si="207"/>
        <v>0.79965900787529431</v>
      </c>
      <c r="L2725" t="s">
        <v>360</v>
      </c>
      <c r="M2725" t="s">
        <v>174</v>
      </c>
      <c r="N2725" t="b">
        <f t="shared" si="208"/>
        <v>0</v>
      </c>
    </row>
    <row r="2726" spans="1:14" x14ac:dyDescent="0.15">
      <c r="A2726" t="s">
        <v>15461</v>
      </c>
      <c r="B2726" t="s">
        <v>15464</v>
      </c>
      <c r="C2726" t="s">
        <v>15480</v>
      </c>
      <c r="D2726" t="s">
        <v>23</v>
      </c>
      <c r="E2726" t="s">
        <v>15481</v>
      </c>
      <c r="F2726" s="5">
        <f t="shared" si="209"/>
        <v>1280000</v>
      </c>
      <c r="G2726" s="5">
        <v>1280000</v>
      </c>
      <c r="I2726" s="2">
        <f t="shared" si="206"/>
        <v>0</v>
      </c>
      <c r="J2726" s="4">
        <v>1220000</v>
      </c>
      <c r="K2726" s="2">
        <f t="shared" si="207"/>
        <v>0.953125</v>
      </c>
      <c r="L2726" t="s">
        <v>744</v>
      </c>
      <c r="M2726" t="s">
        <v>432</v>
      </c>
      <c r="N2726" t="b">
        <f t="shared" si="208"/>
        <v>0</v>
      </c>
    </row>
    <row r="2727" spans="1:14" x14ac:dyDescent="0.15">
      <c r="A2727" t="s">
        <v>15461</v>
      </c>
      <c r="B2727" t="s">
        <v>15464</v>
      </c>
      <c r="C2727" t="s">
        <v>15467</v>
      </c>
      <c r="D2727" t="s">
        <v>23</v>
      </c>
      <c r="E2727" t="s">
        <v>15482</v>
      </c>
      <c r="F2727" s="5">
        <f t="shared" si="209"/>
        <v>3480000</v>
      </c>
      <c r="G2727" s="5">
        <v>3480000</v>
      </c>
      <c r="I2727" s="2">
        <f t="shared" si="206"/>
        <v>0</v>
      </c>
      <c r="J2727" s="4">
        <v>3349000</v>
      </c>
      <c r="K2727" s="2">
        <f t="shared" si="207"/>
        <v>0.96235632183908049</v>
      </c>
      <c r="L2727" t="s">
        <v>12415</v>
      </c>
      <c r="M2727" t="s">
        <v>432</v>
      </c>
      <c r="N2727" t="b">
        <f t="shared" si="208"/>
        <v>0</v>
      </c>
    </row>
    <row r="2728" spans="1:14" x14ac:dyDescent="0.15">
      <c r="A2728" t="s">
        <v>15461</v>
      </c>
      <c r="B2728" t="s">
        <v>15464</v>
      </c>
      <c r="C2728" t="s">
        <v>15483</v>
      </c>
      <c r="D2728" t="s">
        <v>23</v>
      </c>
      <c r="E2728" t="s">
        <v>15484</v>
      </c>
      <c r="F2728" s="5">
        <f t="shared" si="209"/>
        <v>5320000</v>
      </c>
      <c r="G2728" s="5">
        <v>5320000</v>
      </c>
      <c r="I2728" s="2">
        <f t="shared" si="206"/>
        <v>0</v>
      </c>
      <c r="J2728" s="4">
        <v>4490000</v>
      </c>
      <c r="K2728" s="2">
        <f t="shared" si="207"/>
        <v>0.84398496240601506</v>
      </c>
      <c r="L2728" t="s">
        <v>903</v>
      </c>
      <c r="M2728" t="s">
        <v>174</v>
      </c>
      <c r="N2728" t="b">
        <f t="shared" si="208"/>
        <v>0</v>
      </c>
    </row>
    <row r="2729" spans="1:14" x14ac:dyDescent="0.15">
      <c r="A2729" t="s">
        <v>15461</v>
      </c>
      <c r="B2729" t="s">
        <v>15464</v>
      </c>
      <c r="C2729" t="s">
        <v>15485</v>
      </c>
      <c r="D2729" t="s">
        <v>23</v>
      </c>
      <c r="E2729" t="s">
        <v>15486</v>
      </c>
      <c r="F2729" s="5">
        <f t="shared" si="209"/>
        <v>8620000</v>
      </c>
      <c r="G2729" s="5">
        <v>8620000</v>
      </c>
      <c r="H2729" s="4">
        <v>6756047</v>
      </c>
      <c r="I2729" s="2">
        <f t="shared" si="206"/>
        <v>0.78376415313225056</v>
      </c>
      <c r="J2729" s="4">
        <v>8000000</v>
      </c>
      <c r="K2729" s="2">
        <f t="shared" si="207"/>
        <v>0.92807424593967514</v>
      </c>
      <c r="L2729" t="s">
        <v>744</v>
      </c>
      <c r="M2729" t="s">
        <v>174</v>
      </c>
      <c r="N2729" t="b">
        <f t="shared" si="208"/>
        <v>0</v>
      </c>
    </row>
    <row r="2730" spans="1:14" x14ac:dyDescent="0.15">
      <c r="A2730" t="s">
        <v>15461</v>
      </c>
      <c r="B2730" t="s">
        <v>15464</v>
      </c>
      <c r="C2730" t="s">
        <v>15487</v>
      </c>
      <c r="D2730" t="s">
        <v>23</v>
      </c>
      <c r="E2730" t="s">
        <v>15488</v>
      </c>
      <c r="F2730" s="5">
        <f t="shared" si="209"/>
        <v>9090000</v>
      </c>
      <c r="G2730" s="5">
        <v>9090000</v>
      </c>
      <c r="H2730" s="4">
        <v>7242122</v>
      </c>
      <c r="I2730" s="2">
        <f t="shared" si="206"/>
        <v>0.79671309130913093</v>
      </c>
      <c r="J2730" s="4">
        <v>8620000</v>
      </c>
      <c r="K2730" s="2">
        <f t="shared" si="207"/>
        <v>0.9482948294829483</v>
      </c>
      <c r="L2730" t="s">
        <v>744</v>
      </c>
      <c r="M2730" t="s">
        <v>174</v>
      </c>
      <c r="N2730" t="b">
        <f t="shared" si="208"/>
        <v>0</v>
      </c>
    </row>
    <row r="2731" spans="1:14" x14ac:dyDescent="0.15">
      <c r="A2731" t="s">
        <v>15461</v>
      </c>
      <c r="B2731" t="s">
        <v>15464</v>
      </c>
      <c r="C2731" t="s">
        <v>15489</v>
      </c>
      <c r="D2731" t="s">
        <v>23</v>
      </c>
      <c r="E2731" t="s">
        <v>9615</v>
      </c>
      <c r="F2731" s="5">
        <f t="shared" si="209"/>
        <v>10139637</v>
      </c>
      <c r="G2731" s="5">
        <v>10139637</v>
      </c>
      <c r="I2731" s="2">
        <f t="shared" si="206"/>
        <v>0</v>
      </c>
      <c r="J2731" s="4">
        <v>8800000</v>
      </c>
      <c r="K2731" s="2">
        <f t="shared" si="207"/>
        <v>0.86788116773805613</v>
      </c>
      <c r="L2731" t="s">
        <v>15490</v>
      </c>
      <c r="M2731" t="s">
        <v>174</v>
      </c>
      <c r="N2731" t="b">
        <f t="shared" si="208"/>
        <v>0</v>
      </c>
    </row>
    <row r="2732" spans="1:14" x14ac:dyDescent="0.15">
      <c r="A2732" t="s">
        <v>15461</v>
      </c>
      <c r="B2732" t="s">
        <v>15464</v>
      </c>
      <c r="C2732" t="s">
        <v>15473</v>
      </c>
      <c r="D2732" t="s">
        <v>23</v>
      </c>
      <c r="E2732" t="s">
        <v>15491</v>
      </c>
      <c r="F2732" s="5">
        <f t="shared" si="209"/>
        <v>984800</v>
      </c>
      <c r="G2732" s="5">
        <v>984800</v>
      </c>
      <c r="I2732" s="2">
        <f t="shared" si="206"/>
        <v>0</v>
      </c>
      <c r="J2732" s="4">
        <v>788000</v>
      </c>
      <c r="K2732" s="2">
        <f t="shared" si="207"/>
        <v>0.8001624695369618</v>
      </c>
      <c r="L2732" t="s">
        <v>207</v>
      </c>
      <c r="M2732" t="s">
        <v>432</v>
      </c>
      <c r="N2732" t="b">
        <f t="shared" si="208"/>
        <v>0</v>
      </c>
    </row>
    <row r="2733" spans="1:14" x14ac:dyDescent="0.15">
      <c r="A2733" t="s">
        <v>15461</v>
      </c>
      <c r="B2733" t="s">
        <v>15464</v>
      </c>
      <c r="C2733" t="s">
        <v>15474</v>
      </c>
      <c r="D2733" t="s">
        <v>23</v>
      </c>
      <c r="E2733" t="s">
        <v>14502</v>
      </c>
      <c r="F2733" s="5">
        <f t="shared" si="209"/>
        <v>4240000</v>
      </c>
      <c r="G2733" s="5">
        <v>4240000</v>
      </c>
      <c r="I2733" s="2">
        <f t="shared" si="206"/>
        <v>0</v>
      </c>
      <c r="J2733" s="4">
        <v>3580000</v>
      </c>
      <c r="K2733" s="2">
        <f t="shared" si="207"/>
        <v>0.84433962264150941</v>
      </c>
      <c r="L2733" t="s">
        <v>12530</v>
      </c>
      <c r="M2733" t="s">
        <v>432</v>
      </c>
      <c r="N2733" t="b">
        <f t="shared" si="208"/>
        <v>0</v>
      </c>
    </row>
    <row r="2734" spans="1:14" x14ac:dyDescent="0.15">
      <c r="A2734" t="s">
        <v>15492</v>
      </c>
      <c r="B2734" t="s">
        <v>15495</v>
      </c>
      <c r="C2734" t="s">
        <v>15493</v>
      </c>
      <c r="D2734" t="s">
        <v>23</v>
      </c>
      <c r="E2734" t="s">
        <v>15494</v>
      </c>
      <c r="F2734" s="5">
        <f t="shared" si="209"/>
        <v>4433000</v>
      </c>
      <c r="G2734" s="5">
        <v>4433000</v>
      </c>
      <c r="I2734" s="2">
        <f t="shared" si="206"/>
        <v>0</v>
      </c>
      <c r="J2734" s="4">
        <v>4130000</v>
      </c>
      <c r="K2734" s="2">
        <f t="shared" si="207"/>
        <v>0.9316489961651252</v>
      </c>
      <c r="L2734" t="s">
        <v>332</v>
      </c>
      <c r="M2734" t="s">
        <v>1015</v>
      </c>
      <c r="N2734" t="b">
        <f t="shared" si="208"/>
        <v>0</v>
      </c>
    </row>
    <row r="2735" spans="1:14" x14ac:dyDescent="0.15">
      <c r="A2735" t="s">
        <v>15492</v>
      </c>
      <c r="B2735" t="s">
        <v>15495</v>
      </c>
      <c r="C2735" t="s">
        <v>15496</v>
      </c>
      <c r="D2735" t="s">
        <v>23</v>
      </c>
      <c r="E2735" t="s">
        <v>14385</v>
      </c>
      <c r="F2735" s="5">
        <f t="shared" si="209"/>
        <v>1389000</v>
      </c>
      <c r="G2735" s="5">
        <v>1389000</v>
      </c>
      <c r="I2735" s="2">
        <f t="shared" si="206"/>
        <v>0</v>
      </c>
      <c r="J2735" s="4">
        <v>1200000</v>
      </c>
      <c r="K2735" s="2">
        <f t="shared" si="207"/>
        <v>0.86393088552915764</v>
      </c>
      <c r="L2735" t="s">
        <v>360</v>
      </c>
      <c r="M2735" t="s">
        <v>21</v>
      </c>
      <c r="N2735" t="b">
        <f t="shared" si="208"/>
        <v>0</v>
      </c>
    </row>
    <row r="2736" spans="1:14" x14ac:dyDescent="0.15">
      <c r="A2736" t="s">
        <v>15492</v>
      </c>
      <c r="B2736" t="s">
        <v>15495</v>
      </c>
      <c r="C2736" t="s">
        <v>13944</v>
      </c>
      <c r="D2736" t="s">
        <v>23</v>
      </c>
      <c r="E2736" t="s">
        <v>15497</v>
      </c>
      <c r="F2736" s="5">
        <f t="shared" si="209"/>
        <v>10208000</v>
      </c>
      <c r="G2736" s="5">
        <v>10208000</v>
      </c>
      <c r="I2736" s="2">
        <f t="shared" si="206"/>
        <v>0</v>
      </c>
      <c r="J2736" s="4">
        <v>9900000</v>
      </c>
      <c r="K2736" s="2">
        <f t="shared" si="207"/>
        <v>0.96982758620689657</v>
      </c>
      <c r="L2736" t="s">
        <v>360</v>
      </c>
      <c r="M2736" t="s">
        <v>174</v>
      </c>
      <c r="N2736" t="b">
        <f t="shared" si="208"/>
        <v>0</v>
      </c>
    </row>
    <row r="2737" spans="1:14" x14ac:dyDescent="0.15">
      <c r="A2737" t="s">
        <v>15492</v>
      </c>
      <c r="B2737" t="s">
        <v>15495</v>
      </c>
      <c r="C2737" t="s">
        <v>14519</v>
      </c>
      <c r="D2737" t="s">
        <v>23</v>
      </c>
      <c r="E2737" t="s">
        <v>15498</v>
      </c>
      <c r="F2737" s="5">
        <f t="shared" si="209"/>
        <v>2515000</v>
      </c>
      <c r="G2737" s="5">
        <v>2515000</v>
      </c>
      <c r="I2737" s="2">
        <f t="shared" si="206"/>
        <v>0</v>
      </c>
      <c r="J2737" s="4">
        <v>2300000</v>
      </c>
      <c r="K2737" s="2">
        <f t="shared" si="207"/>
        <v>0.91451292246520877</v>
      </c>
      <c r="L2737" t="s">
        <v>360</v>
      </c>
      <c r="M2737" t="s">
        <v>432</v>
      </c>
      <c r="N2737" t="b">
        <f t="shared" si="208"/>
        <v>0</v>
      </c>
    </row>
    <row r="2738" spans="1:14" x14ac:dyDescent="0.15">
      <c r="A2738" t="s">
        <v>15492</v>
      </c>
      <c r="B2738" t="s">
        <v>15495</v>
      </c>
      <c r="C2738" t="s">
        <v>15499</v>
      </c>
      <c r="D2738" t="s">
        <v>118</v>
      </c>
      <c r="E2738" t="s">
        <v>15500</v>
      </c>
      <c r="F2738" s="5">
        <f t="shared" si="209"/>
        <v>14931000</v>
      </c>
      <c r="G2738" s="5">
        <v>14931000</v>
      </c>
      <c r="H2738" s="4">
        <v>11655000</v>
      </c>
      <c r="I2738" s="2">
        <f t="shared" si="206"/>
        <v>0.78059071729957807</v>
      </c>
      <c r="J2738" s="4">
        <v>13970000</v>
      </c>
      <c r="K2738" s="2">
        <f t="shared" si="207"/>
        <v>0.9356372647511888</v>
      </c>
      <c r="L2738" t="s">
        <v>332</v>
      </c>
      <c r="M2738" t="s">
        <v>1015</v>
      </c>
      <c r="N2738" t="b">
        <f t="shared" si="208"/>
        <v>0</v>
      </c>
    </row>
    <row r="2739" spans="1:14" x14ac:dyDescent="0.15">
      <c r="A2739" t="s">
        <v>15492</v>
      </c>
      <c r="B2739" t="s">
        <v>15495</v>
      </c>
      <c r="C2739" t="s">
        <v>15501</v>
      </c>
      <c r="D2739" t="s">
        <v>23</v>
      </c>
      <c r="E2739" t="s">
        <v>15502</v>
      </c>
      <c r="F2739" s="5">
        <f t="shared" si="209"/>
        <v>3310000</v>
      </c>
      <c r="G2739" s="5">
        <v>3310000</v>
      </c>
      <c r="I2739" s="2">
        <f t="shared" si="206"/>
        <v>0</v>
      </c>
      <c r="J2739" s="4">
        <v>3100000</v>
      </c>
      <c r="K2739" s="2">
        <f t="shared" si="207"/>
        <v>0.93655589123867067</v>
      </c>
      <c r="L2739" t="s">
        <v>332</v>
      </c>
      <c r="M2739" t="s">
        <v>1015</v>
      </c>
      <c r="N2739" t="b">
        <f t="shared" si="208"/>
        <v>0</v>
      </c>
    </row>
    <row r="2740" spans="1:14" x14ac:dyDescent="0.15">
      <c r="A2740" t="s">
        <v>15492</v>
      </c>
      <c r="B2740" t="s">
        <v>15495</v>
      </c>
      <c r="C2740" t="s">
        <v>15503</v>
      </c>
      <c r="D2740" t="s">
        <v>23</v>
      </c>
      <c r="E2740" t="s">
        <v>15504</v>
      </c>
      <c r="F2740" s="5">
        <f t="shared" si="209"/>
        <v>1845000</v>
      </c>
      <c r="G2740" s="5">
        <v>1845000</v>
      </c>
      <c r="I2740" s="2">
        <f t="shared" si="206"/>
        <v>0</v>
      </c>
      <c r="J2740" s="4">
        <v>1700000</v>
      </c>
      <c r="K2740" s="2">
        <f t="shared" si="207"/>
        <v>0.92140921409214094</v>
      </c>
      <c r="L2740" t="s">
        <v>15505</v>
      </c>
      <c r="M2740" t="s">
        <v>21</v>
      </c>
      <c r="N2740" t="b">
        <f t="shared" si="208"/>
        <v>0</v>
      </c>
    </row>
    <row r="2741" spans="1:14" x14ac:dyDescent="0.15">
      <c r="A2741" t="s">
        <v>15492</v>
      </c>
      <c r="B2741" t="s">
        <v>15495</v>
      </c>
      <c r="C2741" t="s">
        <v>13944</v>
      </c>
      <c r="D2741" t="s">
        <v>23</v>
      </c>
      <c r="E2741" t="s">
        <v>15506</v>
      </c>
      <c r="F2741" s="5">
        <f t="shared" si="209"/>
        <v>8734000</v>
      </c>
      <c r="G2741" s="5">
        <v>8734000</v>
      </c>
      <c r="I2741" s="2">
        <f t="shared" si="206"/>
        <v>0</v>
      </c>
      <c r="J2741" s="4">
        <v>8400000</v>
      </c>
      <c r="K2741" s="2">
        <f t="shared" si="207"/>
        <v>0.96175864437829173</v>
      </c>
      <c r="L2741" t="s">
        <v>360</v>
      </c>
      <c r="M2741" t="s">
        <v>165</v>
      </c>
      <c r="N2741" t="b">
        <f t="shared" si="208"/>
        <v>0</v>
      </c>
    </row>
    <row r="2742" spans="1:14" x14ac:dyDescent="0.15">
      <c r="A2742" t="s">
        <v>15492</v>
      </c>
      <c r="B2742" t="s">
        <v>15495</v>
      </c>
      <c r="C2742" t="s">
        <v>15507</v>
      </c>
      <c r="D2742" t="s">
        <v>23</v>
      </c>
      <c r="E2742" t="s">
        <v>15508</v>
      </c>
      <c r="F2742" s="5">
        <f t="shared" si="209"/>
        <v>3195000</v>
      </c>
      <c r="G2742" s="5">
        <v>3195000</v>
      </c>
      <c r="I2742" s="2">
        <f t="shared" si="206"/>
        <v>0</v>
      </c>
      <c r="J2742" s="4">
        <v>3000000</v>
      </c>
      <c r="K2742" s="2">
        <f t="shared" si="207"/>
        <v>0.93896713615023475</v>
      </c>
      <c r="L2742" t="s">
        <v>332</v>
      </c>
      <c r="M2742" t="s">
        <v>1015</v>
      </c>
      <c r="N2742" t="b">
        <f t="shared" si="208"/>
        <v>0</v>
      </c>
    </row>
    <row r="2743" spans="1:14" x14ac:dyDescent="0.15">
      <c r="A2743" t="s">
        <v>15492</v>
      </c>
      <c r="B2743" t="s">
        <v>15495</v>
      </c>
      <c r="C2743" t="s">
        <v>15509</v>
      </c>
      <c r="D2743" t="s">
        <v>118</v>
      </c>
      <c r="E2743" t="s">
        <v>15510</v>
      </c>
      <c r="F2743" s="5">
        <f t="shared" si="209"/>
        <v>62920000</v>
      </c>
      <c r="G2743" s="5">
        <v>62920000</v>
      </c>
      <c r="H2743" s="4">
        <v>50044000</v>
      </c>
      <c r="I2743" s="2">
        <f t="shared" si="206"/>
        <v>0.79535918626827717</v>
      </c>
      <c r="J2743" s="4">
        <v>62920000</v>
      </c>
      <c r="K2743" s="2">
        <f t="shared" si="207"/>
        <v>1</v>
      </c>
      <c r="L2743" t="s">
        <v>2217</v>
      </c>
      <c r="M2743" t="s">
        <v>21</v>
      </c>
      <c r="N2743" t="b">
        <f t="shared" si="208"/>
        <v>0</v>
      </c>
    </row>
    <row r="2744" spans="1:14" x14ac:dyDescent="0.15">
      <c r="A2744" t="s">
        <v>15492</v>
      </c>
      <c r="B2744" t="s">
        <v>15495</v>
      </c>
      <c r="C2744" t="s">
        <v>15511</v>
      </c>
      <c r="D2744" t="s">
        <v>23</v>
      </c>
      <c r="E2744" t="s">
        <v>12321</v>
      </c>
      <c r="F2744" s="5">
        <f t="shared" si="209"/>
        <v>1730000</v>
      </c>
      <c r="G2744" s="5">
        <v>1730000</v>
      </c>
      <c r="I2744" s="2">
        <f t="shared" si="206"/>
        <v>0</v>
      </c>
      <c r="J2744" s="4">
        <v>1590000</v>
      </c>
      <c r="K2744" s="2">
        <f t="shared" si="207"/>
        <v>0.91907514450867056</v>
      </c>
      <c r="L2744" t="s">
        <v>332</v>
      </c>
      <c r="M2744" t="s">
        <v>21</v>
      </c>
      <c r="N2744" t="b">
        <f t="shared" si="208"/>
        <v>0</v>
      </c>
    </row>
    <row r="2745" spans="1:14" x14ac:dyDescent="0.15">
      <c r="A2745" t="s">
        <v>15512</v>
      </c>
      <c r="B2745" t="s">
        <v>15515</v>
      </c>
      <c r="C2745" t="s">
        <v>15513</v>
      </c>
      <c r="D2745" t="s">
        <v>23</v>
      </c>
      <c r="E2745" t="s">
        <v>15514</v>
      </c>
      <c r="F2745" s="5">
        <v>8928000</v>
      </c>
      <c r="G2745" s="5">
        <v>8928000</v>
      </c>
      <c r="I2745" s="2">
        <f t="shared" si="206"/>
        <v>0</v>
      </c>
      <c r="J2745" s="4">
        <v>7800000</v>
      </c>
      <c r="K2745" s="2">
        <f t="shared" si="207"/>
        <v>0.87365591397849462</v>
      </c>
      <c r="L2745" t="s">
        <v>182</v>
      </c>
      <c r="M2745" t="s">
        <v>80</v>
      </c>
      <c r="N2745" t="b">
        <f t="shared" si="208"/>
        <v>0</v>
      </c>
    </row>
    <row r="2746" spans="1:14" x14ac:dyDescent="0.15">
      <c r="A2746" t="s">
        <v>15512</v>
      </c>
      <c r="B2746" t="s">
        <v>15515</v>
      </c>
      <c r="C2746" t="s">
        <v>15516</v>
      </c>
      <c r="D2746" t="s">
        <v>118</v>
      </c>
      <c r="E2746" t="s">
        <v>15517</v>
      </c>
      <c r="F2746" s="5">
        <v>25725012</v>
      </c>
      <c r="G2746" s="5">
        <v>25725012</v>
      </c>
      <c r="H2746" s="4">
        <v>20676000</v>
      </c>
      <c r="I2746" s="2">
        <f t="shared" si="206"/>
        <v>0.80373140350721706</v>
      </c>
      <c r="J2746" s="4">
        <v>20676000</v>
      </c>
      <c r="K2746" s="2">
        <f t="shared" si="207"/>
        <v>0.80373140350721706</v>
      </c>
      <c r="L2746" t="s">
        <v>247</v>
      </c>
      <c r="M2746" t="s">
        <v>41</v>
      </c>
      <c r="N2746" t="b">
        <f t="shared" si="208"/>
        <v>0</v>
      </c>
    </row>
    <row r="2747" spans="1:14" x14ac:dyDescent="0.15">
      <c r="A2747" t="s">
        <v>15512</v>
      </c>
      <c r="B2747" t="s">
        <v>15515</v>
      </c>
      <c r="C2747" t="s">
        <v>15518</v>
      </c>
      <c r="D2747" t="s">
        <v>23</v>
      </c>
      <c r="E2747" t="s">
        <v>15519</v>
      </c>
      <c r="F2747" s="5">
        <v>4760000</v>
      </c>
      <c r="G2747" s="5">
        <v>4760000</v>
      </c>
      <c r="I2747" s="2">
        <f t="shared" si="206"/>
        <v>0</v>
      </c>
      <c r="J2747" s="4">
        <v>4280000</v>
      </c>
      <c r="K2747" s="2">
        <f t="shared" si="207"/>
        <v>0.89915966386554624</v>
      </c>
      <c r="L2747" t="s">
        <v>1541</v>
      </c>
      <c r="M2747" t="s">
        <v>192</v>
      </c>
      <c r="N2747" t="b">
        <f t="shared" si="208"/>
        <v>0</v>
      </c>
    </row>
    <row r="2748" spans="1:14" x14ac:dyDescent="0.15">
      <c r="A2748" t="s">
        <v>15512</v>
      </c>
      <c r="B2748" t="s">
        <v>15515</v>
      </c>
      <c r="C2748" t="s">
        <v>15520</v>
      </c>
      <c r="D2748" t="s">
        <v>23</v>
      </c>
      <c r="E2748" t="s">
        <v>15521</v>
      </c>
      <c r="F2748" s="5">
        <v>4785000</v>
      </c>
      <c r="G2748" s="5">
        <v>4785000</v>
      </c>
      <c r="I2748" s="2">
        <f t="shared" si="206"/>
        <v>0</v>
      </c>
      <c r="J2748" s="4">
        <v>4040000</v>
      </c>
      <c r="K2748" s="2">
        <f t="shared" si="207"/>
        <v>0.84430512016718917</v>
      </c>
      <c r="L2748" t="s">
        <v>5068</v>
      </c>
      <c r="M2748" t="s">
        <v>80</v>
      </c>
      <c r="N2748" t="b">
        <f t="shared" si="208"/>
        <v>0</v>
      </c>
    </row>
    <row r="2749" spans="1:14" x14ac:dyDescent="0.15">
      <c r="A2749" t="s">
        <v>15512</v>
      </c>
      <c r="B2749" t="s">
        <v>15515</v>
      </c>
      <c r="C2749" t="s">
        <v>15522</v>
      </c>
      <c r="D2749" t="s">
        <v>23</v>
      </c>
      <c r="E2749" t="s">
        <v>15523</v>
      </c>
      <c r="F2749" s="5">
        <v>8920000</v>
      </c>
      <c r="G2749" s="5">
        <v>8920000</v>
      </c>
      <c r="I2749" s="2">
        <f t="shared" si="206"/>
        <v>0</v>
      </c>
      <c r="J2749" s="4">
        <v>8450000</v>
      </c>
      <c r="K2749" s="2">
        <f t="shared" si="207"/>
        <v>0.94730941704035876</v>
      </c>
      <c r="L2749" t="s">
        <v>5068</v>
      </c>
      <c r="M2749" t="s">
        <v>165</v>
      </c>
      <c r="N2749" t="b">
        <f t="shared" si="208"/>
        <v>0</v>
      </c>
    </row>
    <row r="2750" spans="1:14" x14ac:dyDescent="0.15">
      <c r="A2750" t="s">
        <v>15512</v>
      </c>
      <c r="B2750" t="s">
        <v>15515</v>
      </c>
      <c r="C2750" t="s">
        <v>15524</v>
      </c>
      <c r="D2750" t="s">
        <v>118</v>
      </c>
      <c r="E2750" t="s">
        <v>15525</v>
      </c>
      <c r="F2750" s="5">
        <v>15750000</v>
      </c>
      <c r="G2750" s="5">
        <v>15750000</v>
      </c>
      <c r="H2750" s="4">
        <v>12431000</v>
      </c>
      <c r="I2750" s="2">
        <f t="shared" si="206"/>
        <v>0.78926984126984123</v>
      </c>
      <c r="J2750" s="4">
        <v>12450000</v>
      </c>
      <c r="K2750" s="2">
        <f t="shared" si="207"/>
        <v>0.79047619047619044</v>
      </c>
      <c r="L2750" t="s">
        <v>15526</v>
      </c>
      <c r="M2750" t="s">
        <v>183</v>
      </c>
      <c r="N2750" t="b">
        <f t="shared" si="208"/>
        <v>0</v>
      </c>
    </row>
    <row r="2751" spans="1:14" x14ac:dyDescent="0.15">
      <c r="A2751" t="s">
        <v>15512</v>
      </c>
      <c r="B2751" t="s">
        <v>15515</v>
      </c>
      <c r="C2751" t="s">
        <v>14113</v>
      </c>
      <c r="D2751" t="s">
        <v>23</v>
      </c>
      <c r="E2751" t="s">
        <v>15527</v>
      </c>
      <c r="F2751" s="5">
        <v>2675000</v>
      </c>
      <c r="G2751" s="5">
        <v>2675000</v>
      </c>
      <c r="I2751" s="2">
        <f t="shared" si="206"/>
        <v>0</v>
      </c>
      <c r="J2751" s="4">
        <v>2650000</v>
      </c>
      <c r="K2751" s="2">
        <f t="shared" si="207"/>
        <v>0.99065420560747663</v>
      </c>
      <c r="L2751" t="s">
        <v>64</v>
      </c>
      <c r="M2751" t="s">
        <v>174</v>
      </c>
      <c r="N2751" t="b">
        <f t="shared" si="208"/>
        <v>0</v>
      </c>
    </row>
    <row r="2752" spans="1:14" x14ac:dyDescent="0.15">
      <c r="A2752" t="s">
        <v>15512</v>
      </c>
      <c r="B2752" t="s">
        <v>15515</v>
      </c>
      <c r="C2752" t="s">
        <v>15528</v>
      </c>
      <c r="D2752" t="s">
        <v>23</v>
      </c>
      <c r="E2752" t="s">
        <v>15529</v>
      </c>
      <c r="F2752" s="5">
        <v>6329000</v>
      </c>
      <c r="G2752" s="5">
        <v>6329000</v>
      </c>
      <c r="I2752" s="2">
        <f t="shared" si="206"/>
        <v>0</v>
      </c>
      <c r="J2752" s="4">
        <v>5700000</v>
      </c>
      <c r="K2752" s="2">
        <f t="shared" si="207"/>
        <v>0.90061621109179968</v>
      </c>
      <c r="L2752" t="s">
        <v>182</v>
      </c>
      <c r="M2752" t="s">
        <v>248</v>
      </c>
      <c r="N2752" t="b">
        <f t="shared" si="208"/>
        <v>0</v>
      </c>
    </row>
    <row r="2753" spans="1:14" x14ac:dyDescent="0.15">
      <c r="A2753" t="s">
        <v>15512</v>
      </c>
      <c r="B2753" t="s">
        <v>15515</v>
      </c>
      <c r="C2753" t="s">
        <v>15530</v>
      </c>
      <c r="D2753" t="s">
        <v>23</v>
      </c>
      <c r="E2753" t="s">
        <v>15531</v>
      </c>
      <c r="F2753" s="5">
        <v>4632000</v>
      </c>
      <c r="G2753" s="5">
        <v>4632000</v>
      </c>
      <c r="I2753" s="2">
        <f t="shared" si="206"/>
        <v>0</v>
      </c>
      <c r="J2753" s="4">
        <v>4400000</v>
      </c>
      <c r="K2753" s="2">
        <f t="shared" si="207"/>
        <v>0.94991364421416236</v>
      </c>
      <c r="L2753" t="s">
        <v>5068</v>
      </c>
      <c r="M2753" t="s">
        <v>165</v>
      </c>
      <c r="N2753" t="b">
        <f t="shared" si="208"/>
        <v>0</v>
      </c>
    </row>
    <row r="2754" spans="1:14" x14ac:dyDescent="0.15">
      <c r="A2754" t="s">
        <v>15532</v>
      </c>
      <c r="B2754" t="s">
        <v>15535</v>
      </c>
      <c r="C2754" t="s">
        <v>15533</v>
      </c>
      <c r="D2754" t="s">
        <v>23</v>
      </c>
      <c r="E2754" t="s">
        <v>15534</v>
      </c>
      <c r="F2754" s="5">
        <f t="shared" ref="F2754:F2763" si="210">G2754</f>
        <v>1697000</v>
      </c>
      <c r="G2754" s="5">
        <v>1697000</v>
      </c>
      <c r="I2754" s="2">
        <f t="shared" si="206"/>
        <v>0</v>
      </c>
      <c r="J2754" s="4">
        <v>1600000</v>
      </c>
      <c r="K2754" s="2">
        <f t="shared" si="207"/>
        <v>0.94284030642309957</v>
      </c>
      <c r="L2754" t="s">
        <v>360</v>
      </c>
      <c r="M2754" t="s">
        <v>432</v>
      </c>
      <c r="N2754" t="b">
        <f t="shared" si="208"/>
        <v>0</v>
      </c>
    </row>
    <row r="2755" spans="1:14" x14ac:dyDescent="0.15">
      <c r="A2755" t="s">
        <v>15532</v>
      </c>
      <c r="B2755" t="s">
        <v>15535</v>
      </c>
      <c r="C2755" t="s">
        <v>15536</v>
      </c>
      <c r="D2755" t="s">
        <v>23</v>
      </c>
      <c r="E2755" t="s">
        <v>15537</v>
      </c>
      <c r="F2755" s="5">
        <f t="shared" si="210"/>
        <v>4224000</v>
      </c>
      <c r="G2755" s="5">
        <v>4224000</v>
      </c>
      <c r="I2755" s="2">
        <f t="shared" si="206"/>
        <v>0</v>
      </c>
      <c r="J2755" s="4">
        <v>3800000</v>
      </c>
      <c r="K2755" s="2">
        <f t="shared" si="207"/>
        <v>0.89962121212121215</v>
      </c>
      <c r="L2755" t="s">
        <v>4761</v>
      </c>
      <c r="M2755" t="s">
        <v>432</v>
      </c>
      <c r="N2755" t="b">
        <f t="shared" si="208"/>
        <v>0</v>
      </c>
    </row>
    <row r="2756" spans="1:14" x14ac:dyDescent="0.15">
      <c r="A2756" t="s">
        <v>15532</v>
      </c>
      <c r="B2756" t="s">
        <v>15535</v>
      </c>
      <c r="C2756" t="s">
        <v>15538</v>
      </c>
      <c r="D2756" t="s">
        <v>23</v>
      </c>
      <c r="E2756" t="s">
        <v>15539</v>
      </c>
      <c r="F2756" s="5">
        <f t="shared" si="210"/>
        <v>17372000</v>
      </c>
      <c r="G2756" s="5">
        <v>17372000</v>
      </c>
      <c r="I2756" s="2">
        <f t="shared" ref="I2756:I2819" si="211">H2756/G2756</f>
        <v>0</v>
      </c>
      <c r="J2756" s="4">
        <v>16480000</v>
      </c>
      <c r="K2756" s="2">
        <f t="shared" ref="K2756:K2819" si="212">J2756/G2756</f>
        <v>0.9486530048353673</v>
      </c>
      <c r="L2756" t="s">
        <v>10359</v>
      </c>
      <c r="M2756" t="s">
        <v>192</v>
      </c>
      <c r="N2756" t="b">
        <f t="shared" ref="N2756:N2819" si="213">F2756&lt;&gt;G2756</f>
        <v>0</v>
      </c>
    </row>
    <row r="2757" spans="1:14" x14ac:dyDescent="0.15">
      <c r="A2757" t="s">
        <v>15532</v>
      </c>
      <c r="B2757" t="s">
        <v>15535</v>
      </c>
      <c r="C2757" t="s">
        <v>15540</v>
      </c>
      <c r="D2757" t="s">
        <v>23</v>
      </c>
      <c r="E2757" t="s">
        <v>15541</v>
      </c>
      <c r="F2757" s="5">
        <f t="shared" si="210"/>
        <v>1649000</v>
      </c>
      <c r="G2757" s="5">
        <v>1649000</v>
      </c>
      <c r="I2757" s="2">
        <f t="shared" si="211"/>
        <v>0</v>
      </c>
      <c r="J2757" s="4">
        <v>1560000</v>
      </c>
      <c r="K2757" s="2">
        <f t="shared" si="212"/>
        <v>0.94602789569436019</v>
      </c>
      <c r="L2757" t="s">
        <v>332</v>
      </c>
      <c r="M2757" t="s">
        <v>432</v>
      </c>
      <c r="N2757" t="b">
        <f t="shared" si="213"/>
        <v>0</v>
      </c>
    </row>
    <row r="2758" spans="1:14" x14ac:dyDescent="0.15">
      <c r="A2758" t="s">
        <v>15532</v>
      </c>
      <c r="B2758" t="s">
        <v>15535</v>
      </c>
      <c r="C2758" t="s">
        <v>15542</v>
      </c>
      <c r="D2758" t="s">
        <v>23</v>
      </c>
      <c r="E2758" t="s">
        <v>15543</v>
      </c>
      <c r="F2758" s="5">
        <f t="shared" si="210"/>
        <v>9912000</v>
      </c>
      <c r="G2758" s="5">
        <v>9912000</v>
      </c>
      <c r="I2758" s="2">
        <f t="shared" si="211"/>
        <v>0</v>
      </c>
      <c r="J2758" s="4">
        <v>8500000</v>
      </c>
      <c r="K2758" s="2">
        <f t="shared" si="212"/>
        <v>0.85754640839386598</v>
      </c>
      <c r="L2758" t="s">
        <v>182</v>
      </c>
      <c r="M2758" t="s">
        <v>192</v>
      </c>
      <c r="N2758" t="b">
        <f t="shared" si="213"/>
        <v>0</v>
      </c>
    </row>
    <row r="2759" spans="1:14" x14ac:dyDescent="0.15">
      <c r="A2759" t="s">
        <v>15532</v>
      </c>
      <c r="B2759" t="s">
        <v>15535</v>
      </c>
      <c r="C2759" t="s">
        <v>15544</v>
      </c>
      <c r="D2759" t="s">
        <v>23</v>
      </c>
      <c r="E2759" t="s">
        <v>15545</v>
      </c>
      <c r="F2759" s="5">
        <f t="shared" si="210"/>
        <v>13824000</v>
      </c>
      <c r="G2759" s="5">
        <v>13824000</v>
      </c>
      <c r="I2759" s="2">
        <f t="shared" si="211"/>
        <v>0</v>
      </c>
      <c r="J2759" s="4">
        <v>12300000</v>
      </c>
      <c r="K2759" s="2">
        <f t="shared" si="212"/>
        <v>0.88975694444444442</v>
      </c>
      <c r="L2759" t="s">
        <v>439</v>
      </c>
      <c r="M2759" t="s">
        <v>174</v>
      </c>
      <c r="N2759" t="b">
        <f t="shared" si="213"/>
        <v>0</v>
      </c>
    </row>
    <row r="2760" spans="1:14" x14ac:dyDescent="0.15">
      <c r="A2760" t="s">
        <v>15532</v>
      </c>
      <c r="B2760" t="s">
        <v>15535</v>
      </c>
      <c r="C2760" t="s">
        <v>15546</v>
      </c>
      <c r="D2760" t="s">
        <v>23</v>
      </c>
      <c r="E2760" t="s">
        <v>15547</v>
      </c>
      <c r="F2760" s="5">
        <f t="shared" si="210"/>
        <v>1300000</v>
      </c>
      <c r="G2760" s="5">
        <v>1300000</v>
      </c>
      <c r="I2760" s="2">
        <f t="shared" si="211"/>
        <v>0</v>
      </c>
      <c r="J2760" s="4">
        <v>1250000</v>
      </c>
      <c r="K2760" s="2">
        <f t="shared" si="212"/>
        <v>0.96153846153846156</v>
      </c>
      <c r="L2760" t="s">
        <v>1104</v>
      </c>
      <c r="M2760" t="s">
        <v>432</v>
      </c>
      <c r="N2760" t="b">
        <f t="shared" si="213"/>
        <v>0</v>
      </c>
    </row>
    <row r="2761" spans="1:14" x14ac:dyDescent="0.15">
      <c r="A2761" t="s">
        <v>15532</v>
      </c>
      <c r="B2761" t="s">
        <v>15535</v>
      </c>
      <c r="C2761" t="s">
        <v>15548</v>
      </c>
      <c r="D2761" t="s">
        <v>23</v>
      </c>
      <c r="E2761" t="s">
        <v>15549</v>
      </c>
      <c r="F2761" s="5">
        <f t="shared" si="210"/>
        <v>5676000</v>
      </c>
      <c r="G2761" s="5">
        <v>5676000</v>
      </c>
      <c r="I2761" s="2">
        <f t="shared" si="211"/>
        <v>0</v>
      </c>
      <c r="J2761" s="4">
        <v>4600000</v>
      </c>
      <c r="K2761" s="2">
        <f t="shared" si="212"/>
        <v>0.81042988019732209</v>
      </c>
      <c r="L2761" t="s">
        <v>271</v>
      </c>
      <c r="M2761" t="s">
        <v>174</v>
      </c>
      <c r="N2761" t="b">
        <f t="shared" si="213"/>
        <v>0</v>
      </c>
    </row>
    <row r="2762" spans="1:14" x14ac:dyDescent="0.15">
      <c r="A2762" t="s">
        <v>15532</v>
      </c>
      <c r="B2762" t="s">
        <v>15535</v>
      </c>
      <c r="C2762" t="s">
        <v>15550</v>
      </c>
      <c r="D2762" t="s">
        <v>23</v>
      </c>
      <c r="E2762" t="s">
        <v>15551</v>
      </c>
      <c r="F2762" s="5">
        <f t="shared" si="210"/>
        <v>6632000</v>
      </c>
      <c r="G2762" s="5">
        <v>6632000</v>
      </c>
      <c r="I2762" s="2">
        <f t="shared" si="211"/>
        <v>0</v>
      </c>
      <c r="J2762" s="4">
        <v>6100000</v>
      </c>
      <c r="K2762" s="2">
        <f t="shared" si="212"/>
        <v>0.91978287092882993</v>
      </c>
      <c r="L2762" t="s">
        <v>64</v>
      </c>
      <c r="M2762" t="s">
        <v>174</v>
      </c>
      <c r="N2762" t="b">
        <f t="shared" si="213"/>
        <v>0</v>
      </c>
    </row>
    <row r="2763" spans="1:14" x14ac:dyDescent="0.15">
      <c r="A2763" t="s">
        <v>15532</v>
      </c>
      <c r="B2763" t="s">
        <v>15535</v>
      </c>
      <c r="C2763" t="s">
        <v>15536</v>
      </c>
      <c r="D2763" t="s">
        <v>23</v>
      </c>
      <c r="E2763" t="s">
        <v>15552</v>
      </c>
      <c r="F2763" s="5">
        <f t="shared" si="210"/>
        <v>13938000</v>
      </c>
      <c r="G2763" s="5">
        <v>13938000</v>
      </c>
      <c r="I2763" s="2">
        <f t="shared" si="211"/>
        <v>0</v>
      </c>
      <c r="J2763" s="4">
        <v>7650000</v>
      </c>
      <c r="K2763" s="2">
        <f t="shared" si="212"/>
        <v>0.54885923374946188</v>
      </c>
      <c r="L2763" t="s">
        <v>4761</v>
      </c>
      <c r="M2763" t="s">
        <v>174</v>
      </c>
      <c r="N2763" t="b">
        <f t="shared" si="213"/>
        <v>0</v>
      </c>
    </row>
    <row r="2764" spans="1:14" x14ac:dyDescent="0.15">
      <c r="A2764" t="s">
        <v>15553</v>
      </c>
      <c r="B2764" t="s">
        <v>15556</v>
      </c>
      <c r="C2764" t="s">
        <v>15554</v>
      </c>
      <c r="D2764" t="s">
        <v>23</v>
      </c>
      <c r="E2764" t="s">
        <v>15555</v>
      </c>
      <c r="F2764" s="5">
        <v>4260000</v>
      </c>
      <c r="G2764" s="5">
        <v>4260000</v>
      </c>
      <c r="H2764" s="4">
        <v>3387000</v>
      </c>
      <c r="I2764" s="2">
        <f t="shared" si="211"/>
        <v>0.79507042253521132</v>
      </c>
      <c r="J2764" s="4">
        <v>3900000</v>
      </c>
      <c r="K2764" s="2">
        <f t="shared" si="212"/>
        <v>0.91549295774647887</v>
      </c>
      <c r="L2764" t="s">
        <v>15557</v>
      </c>
      <c r="M2764" t="s">
        <v>432</v>
      </c>
      <c r="N2764" t="b">
        <f t="shared" si="213"/>
        <v>0</v>
      </c>
    </row>
    <row r="2765" spans="1:14" x14ac:dyDescent="0.15">
      <c r="A2765" t="s">
        <v>15553</v>
      </c>
      <c r="B2765" t="s">
        <v>15556</v>
      </c>
      <c r="C2765" t="s">
        <v>15558</v>
      </c>
      <c r="D2765" t="s">
        <v>23</v>
      </c>
      <c r="E2765" t="s">
        <v>15559</v>
      </c>
      <c r="F2765" s="5">
        <v>5084000</v>
      </c>
      <c r="G2765" s="5">
        <v>5084000</v>
      </c>
      <c r="H2765" s="4">
        <v>4052000</v>
      </c>
      <c r="I2765" s="2">
        <f t="shared" si="211"/>
        <v>0.79701022816679779</v>
      </c>
      <c r="J2765" s="4">
        <v>4800000</v>
      </c>
      <c r="K2765" s="2">
        <f t="shared" si="212"/>
        <v>0.9441384736428009</v>
      </c>
      <c r="L2765" t="s">
        <v>6670</v>
      </c>
      <c r="M2765" t="s">
        <v>432</v>
      </c>
      <c r="N2765" t="b">
        <f t="shared" si="213"/>
        <v>0</v>
      </c>
    </row>
    <row r="2766" spans="1:14" x14ac:dyDescent="0.15">
      <c r="A2766" t="s">
        <v>15553</v>
      </c>
      <c r="B2766" t="s">
        <v>15556</v>
      </c>
      <c r="C2766" t="s">
        <v>15560</v>
      </c>
      <c r="D2766" t="s">
        <v>23</v>
      </c>
      <c r="E2766" t="s">
        <v>15561</v>
      </c>
      <c r="F2766" s="5">
        <v>4217000</v>
      </c>
      <c r="G2766" s="5">
        <v>4217000</v>
      </c>
      <c r="H2766" s="4">
        <v>3256000</v>
      </c>
      <c r="I2766" s="2">
        <f t="shared" si="211"/>
        <v>0.7721128764524543</v>
      </c>
      <c r="J2766" s="4">
        <v>3950000</v>
      </c>
      <c r="K2766" s="2">
        <f t="shared" si="212"/>
        <v>0.93668484704766419</v>
      </c>
      <c r="L2766" t="s">
        <v>15562</v>
      </c>
      <c r="M2766" t="s">
        <v>432</v>
      </c>
      <c r="N2766" t="b">
        <f t="shared" si="213"/>
        <v>0</v>
      </c>
    </row>
    <row r="2767" spans="1:14" x14ac:dyDescent="0.15">
      <c r="A2767" t="s">
        <v>15553</v>
      </c>
      <c r="B2767" t="s">
        <v>15556</v>
      </c>
      <c r="C2767" t="s">
        <v>15563</v>
      </c>
      <c r="D2767" t="s">
        <v>118</v>
      </c>
      <c r="E2767" t="s">
        <v>15564</v>
      </c>
      <c r="F2767" s="5">
        <v>11849000</v>
      </c>
      <c r="G2767" s="5">
        <v>11849000</v>
      </c>
      <c r="I2767" s="2">
        <f t="shared" si="211"/>
        <v>0</v>
      </c>
      <c r="J2767" s="4">
        <v>5980000</v>
      </c>
      <c r="K2767" s="2">
        <f t="shared" si="212"/>
        <v>0.50468393957295976</v>
      </c>
      <c r="L2767" t="s">
        <v>4782</v>
      </c>
      <c r="M2767" t="s">
        <v>353</v>
      </c>
      <c r="N2767" t="b">
        <f t="shared" si="213"/>
        <v>0</v>
      </c>
    </row>
    <row r="2768" spans="1:14" x14ac:dyDescent="0.15">
      <c r="A2768" t="s">
        <v>15553</v>
      </c>
      <c r="B2768" t="s">
        <v>15556</v>
      </c>
      <c r="C2768" t="s">
        <v>15565</v>
      </c>
      <c r="D2768" t="s">
        <v>23</v>
      </c>
      <c r="E2768" t="s">
        <v>15566</v>
      </c>
      <c r="F2768" s="5">
        <v>2721000</v>
      </c>
      <c r="G2768" s="5">
        <v>2721000</v>
      </c>
      <c r="H2768" s="4">
        <v>2315000</v>
      </c>
      <c r="I2768" s="2">
        <f t="shared" si="211"/>
        <v>0.85079015067989705</v>
      </c>
      <c r="J2768" s="4">
        <v>2350000</v>
      </c>
      <c r="K2768" s="2">
        <f t="shared" si="212"/>
        <v>0.86365306872473357</v>
      </c>
      <c r="L2768" t="s">
        <v>574</v>
      </c>
      <c r="M2768" t="s">
        <v>432</v>
      </c>
      <c r="N2768" t="b">
        <f t="shared" si="213"/>
        <v>0</v>
      </c>
    </row>
    <row r="2769" spans="1:14" x14ac:dyDescent="0.15">
      <c r="A2769" t="s">
        <v>15553</v>
      </c>
      <c r="B2769" t="s">
        <v>15556</v>
      </c>
      <c r="C2769" t="s">
        <v>15567</v>
      </c>
      <c r="D2769" t="s">
        <v>118</v>
      </c>
      <c r="E2769" t="s">
        <v>15568</v>
      </c>
      <c r="F2769" s="5">
        <v>10450000</v>
      </c>
      <c r="G2769" s="5">
        <v>10450000</v>
      </c>
      <c r="H2769" s="4">
        <v>8360000</v>
      </c>
      <c r="I2769" s="2">
        <f t="shared" si="211"/>
        <v>0.8</v>
      </c>
      <c r="J2769" s="4">
        <v>9490000</v>
      </c>
      <c r="K2769" s="2">
        <f t="shared" si="212"/>
        <v>0.90813397129186602</v>
      </c>
      <c r="L2769" t="s">
        <v>1384</v>
      </c>
      <c r="M2769" t="s">
        <v>432</v>
      </c>
      <c r="N2769" t="b">
        <f t="shared" si="213"/>
        <v>0</v>
      </c>
    </row>
    <row r="2770" spans="1:14" x14ac:dyDescent="0.15">
      <c r="A2770" t="s">
        <v>15553</v>
      </c>
      <c r="B2770" t="s">
        <v>15556</v>
      </c>
      <c r="C2770" t="s">
        <v>15569</v>
      </c>
      <c r="D2770" t="s">
        <v>23</v>
      </c>
      <c r="E2770" t="s">
        <v>15570</v>
      </c>
      <c r="F2770" s="5">
        <v>4198000</v>
      </c>
      <c r="G2770" s="5">
        <v>4198000</v>
      </c>
      <c r="H2770" s="4">
        <v>3657000</v>
      </c>
      <c r="I2770" s="2">
        <f t="shared" si="211"/>
        <v>0.8711291090995712</v>
      </c>
      <c r="J2770" s="4">
        <v>4100000</v>
      </c>
      <c r="K2770" s="2">
        <f t="shared" si="212"/>
        <v>0.97665555026202955</v>
      </c>
      <c r="L2770" t="s">
        <v>1384</v>
      </c>
      <c r="M2770" t="s">
        <v>432</v>
      </c>
      <c r="N2770" t="b">
        <f t="shared" si="213"/>
        <v>0</v>
      </c>
    </row>
    <row r="2771" spans="1:14" x14ac:dyDescent="0.15">
      <c r="A2771" t="s">
        <v>15553</v>
      </c>
      <c r="B2771" t="s">
        <v>15556</v>
      </c>
      <c r="C2771" t="s">
        <v>15571</v>
      </c>
      <c r="D2771" t="s">
        <v>23</v>
      </c>
      <c r="E2771" t="s">
        <v>15572</v>
      </c>
      <c r="F2771" s="5">
        <v>5753000</v>
      </c>
      <c r="G2771" s="5">
        <v>5753000</v>
      </c>
      <c r="I2771" s="2">
        <f t="shared" si="211"/>
        <v>0</v>
      </c>
      <c r="J2771" s="4">
        <v>2220000</v>
      </c>
      <c r="K2771" s="2">
        <f t="shared" si="212"/>
        <v>0.38588562489136102</v>
      </c>
      <c r="L2771" t="s">
        <v>4557</v>
      </c>
      <c r="M2771" t="s">
        <v>432</v>
      </c>
      <c r="N2771" t="b">
        <f t="shared" si="213"/>
        <v>0</v>
      </c>
    </row>
    <row r="2772" spans="1:14" x14ac:dyDescent="0.15">
      <c r="A2772" t="s">
        <v>15553</v>
      </c>
      <c r="B2772" t="s">
        <v>15556</v>
      </c>
      <c r="C2772" t="s">
        <v>15573</v>
      </c>
      <c r="D2772" t="s">
        <v>23</v>
      </c>
      <c r="E2772" t="s">
        <v>15574</v>
      </c>
      <c r="F2772" s="5">
        <v>666000</v>
      </c>
      <c r="G2772" s="5">
        <v>666000</v>
      </c>
      <c r="I2772" s="2">
        <f t="shared" si="211"/>
        <v>0</v>
      </c>
      <c r="J2772" s="4">
        <v>587000</v>
      </c>
      <c r="K2772" s="2">
        <f t="shared" si="212"/>
        <v>0.88138138138138133</v>
      </c>
      <c r="L2772" t="s">
        <v>1624</v>
      </c>
      <c r="M2772" t="s">
        <v>432</v>
      </c>
      <c r="N2772" t="b">
        <f t="shared" si="213"/>
        <v>0</v>
      </c>
    </row>
    <row r="2773" spans="1:14" x14ac:dyDescent="0.15">
      <c r="A2773" t="s">
        <v>15553</v>
      </c>
      <c r="B2773" t="s">
        <v>15556</v>
      </c>
      <c r="C2773" t="s">
        <v>15575</v>
      </c>
      <c r="D2773" t="s">
        <v>23</v>
      </c>
      <c r="E2773" t="s">
        <v>15576</v>
      </c>
      <c r="F2773" s="5">
        <f>G2773</f>
        <v>800000</v>
      </c>
      <c r="G2773" s="5">
        <v>800000</v>
      </c>
      <c r="H2773" s="4">
        <v>640000</v>
      </c>
      <c r="I2773" s="2">
        <f t="shared" si="211"/>
        <v>0.8</v>
      </c>
      <c r="J2773" s="4">
        <v>640000</v>
      </c>
      <c r="K2773" s="2">
        <f t="shared" si="212"/>
        <v>0.8</v>
      </c>
      <c r="L2773" t="s">
        <v>5171</v>
      </c>
      <c r="M2773" t="s">
        <v>432</v>
      </c>
      <c r="N2773" t="b">
        <f t="shared" si="213"/>
        <v>0</v>
      </c>
    </row>
    <row r="2774" spans="1:14" x14ac:dyDescent="0.15">
      <c r="A2774" t="s">
        <v>15553</v>
      </c>
      <c r="B2774" t="s">
        <v>15556</v>
      </c>
      <c r="C2774" t="s">
        <v>15577</v>
      </c>
      <c r="D2774" t="s">
        <v>23</v>
      </c>
      <c r="E2774" t="s">
        <v>15578</v>
      </c>
      <c r="F2774" s="5">
        <v>860000</v>
      </c>
      <c r="G2774" s="5">
        <v>860000</v>
      </c>
      <c r="H2774" s="4">
        <v>688000</v>
      </c>
      <c r="I2774" s="2">
        <f t="shared" si="211"/>
        <v>0.8</v>
      </c>
      <c r="J2774" s="4">
        <v>836000</v>
      </c>
      <c r="K2774" s="2">
        <f t="shared" si="212"/>
        <v>0.97209302325581393</v>
      </c>
      <c r="L2774" t="s">
        <v>1624</v>
      </c>
      <c r="M2774" t="s">
        <v>432</v>
      </c>
      <c r="N2774" t="b">
        <f t="shared" si="213"/>
        <v>0</v>
      </c>
    </row>
    <row r="2775" spans="1:14" x14ac:dyDescent="0.15">
      <c r="A2775" t="s">
        <v>15553</v>
      </c>
      <c r="B2775" t="s">
        <v>15556</v>
      </c>
      <c r="C2775" t="s">
        <v>15579</v>
      </c>
      <c r="D2775" t="s">
        <v>118</v>
      </c>
      <c r="E2775" t="s">
        <v>15580</v>
      </c>
      <c r="F2775" s="5">
        <v>40003000</v>
      </c>
      <c r="G2775" s="5">
        <v>40003000</v>
      </c>
      <c r="H2775" s="4">
        <v>31870000</v>
      </c>
      <c r="I2775" s="2">
        <f t="shared" si="211"/>
        <v>0.79669024823138268</v>
      </c>
      <c r="J2775" s="4">
        <v>31874000</v>
      </c>
      <c r="K2775" s="2">
        <f t="shared" si="212"/>
        <v>0.79679024073194515</v>
      </c>
      <c r="L2775" t="s">
        <v>1384</v>
      </c>
      <c r="M2775" t="s">
        <v>80</v>
      </c>
      <c r="N2775" t="b">
        <f t="shared" si="213"/>
        <v>0</v>
      </c>
    </row>
    <row r="2776" spans="1:14" x14ac:dyDescent="0.15">
      <c r="A2776" t="s">
        <v>15553</v>
      </c>
      <c r="B2776" t="s">
        <v>15556</v>
      </c>
      <c r="C2776" t="s">
        <v>15581</v>
      </c>
      <c r="D2776" t="s">
        <v>23</v>
      </c>
      <c r="E2776" t="s">
        <v>15582</v>
      </c>
      <c r="F2776" s="5">
        <v>9060000</v>
      </c>
      <c r="G2776" s="5">
        <v>9060000</v>
      </c>
      <c r="H2776" s="4">
        <v>7090000</v>
      </c>
      <c r="I2776" s="2">
        <f t="shared" si="211"/>
        <v>0.782560706401766</v>
      </c>
      <c r="J2776" s="4">
        <v>8800000</v>
      </c>
      <c r="K2776" s="2">
        <f t="shared" si="212"/>
        <v>0.9713024282560706</v>
      </c>
      <c r="L2776" t="s">
        <v>39</v>
      </c>
      <c r="M2776" t="s">
        <v>432</v>
      </c>
      <c r="N2776" t="b">
        <f t="shared" si="213"/>
        <v>0</v>
      </c>
    </row>
    <row r="2777" spans="1:14" x14ac:dyDescent="0.15">
      <c r="A2777" t="s">
        <v>15553</v>
      </c>
      <c r="B2777" t="s">
        <v>15556</v>
      </c>
      <c r="C2777" t="s">
        <v>15583</v>
      </c>
      <c r="D2777" t="s">
        <v>23</v>
      </c>
      <c r="E2777" t="s">
        <v>15584</v>
      </c>
      <c r="F2777" s="5">
        <v>9010000</v>
      </c>
      <c r="G2777" s="5">
        <v>9010000</v>
      </c>
      <c r="H2777" s="4">
        <v>7178000</v>
      </c>
      <c r="I2777" s="2">
        <f t="shared" si="211"/>
        <v>0.79667036625971144</v>
      </c>
      <c r="J2777" s="4">
        <v>8600000</v>
      </c>
      <c r="K2777" s="2">
        <f t="shared" si="212"/>
        <v>0.9544950055493896</v>
      </c>
      <c r="L2777" t="s">
        <v>39</v>
      </c>
      <c r="M2777" t="s">
        <v>432</v>
      </c>
      <c r="N2777" t="b">
        <f t="shared" si="213"/>
        <v>0</v>
      </c>
    </row>
    <row r="2778" spans="1:14" x14ac:dyDescent="0.15">
      <c r="A2778" t="s">
        <v>15553</v>
      </c>
      <c r="B2778" t="s">
        <v>15556</v>
      </c>
      <c r="C2778" t="s">
        <v>15585</v>
      </c>
      <c r="D2778" t="s">
        <v>23</v>
      </c>
      <c r="E2778" t="s">
        <v>15586</v>
      </c>
      <c r="F2778" s="5">
        <v>4620000</v>
      </c>
      <c r="G2778" s="5">
        <v>4620000</v>
      </c>
      <c r="H2778" s="4">
        <v>3696000</v>
      </c>
      <c r="I2778" s="2">
        <f t="shared" si="211"/>
        <v>0.8</v>
      </c>
      <c r="J2778" s="4">
        <v>4390000</v>
      </c>
      <c r="K2778" s="2">
        <f t="shared" si="212"/>
        <v>0.95021645021645018</v>
      </c>
      <c r="L2778" t="s">
        <v>1624</v>
      </c>
      <c r="M2778" t="s">
        <v>432</v>
      </c>
      <c r="N2778" t="b">
        <f t="shared" si="213"/>
        <v>0</v>
      </c>
    </row>
    <row r="2779" spans="1:14" x14ac:dyDescent="0.15">
      <c r="A2779" t="s">
        <v>15553</v>
      </c>
      <c r="B2779" t="s">
        <v>15556</v>
      </c>
      <c r="C2779" t="s">
        <v>15587</v>
      </c>
      <c r="D2779" t="s">
        <v>23</v>
      </c>
      <c r="E2779" t="s">
        <v>15588</v>
      </c>
      <c r="F2779" s="5">
        <v>3516000</v>
      </c>
      <c r="G2779" s="5">
        <v>3516000</v>
      </c>
      <c r="H2779" s="4">
        <v>2798000</v>
      </c>
      <c r="I2779" s="2">
        <f t="shared" si="211"/>
        <v>0.79579067121729241</v>
      </c>
      <c r="J2779" s="4">
        <v>3300000</v>
      </c>
      <c r="K2779" s="2">
        <f t="shared" si="212"/>
        <v>0.93856655290102387</v>
      </c>
      <c r="L2779" t="s">
        <v>6670</v>
      </c>
      <c r="M2779" t="s">
        <v>432</v>
      </c>
      <c r="N2779" t="b">
        <f t="shared" si="213"/>
        <v>0</v>
      </c>
    </row>
    <row r="2780" spans="1:14" x14ac:dyDescent="0.15">
      <c r="A2780" t="s">
        <v>15553</v>
      </c>
      <c r="B2780" t="s">
        <v>15556</v>
      </c>
      <c r="C2780" t="s">
        <v>15589</v>
      </c>
      <c r="D2780" t="s">
        <v>118</v>
      </c>
      <c r="E2780" t="s">
        <v>15590</v>
      </c>
      <c r="F2780" s="5">
        <v>13810000</v>
      </c>
      <c r="G2780" s="5">
        <v>13810000</v>
      </c>
      <c r="H2780" s="4">
        <v>11048000</v>
      </c>
      <c r="I2780" s="2">
        <f t="shared" si="211"/>
        <v>0.8</v>
      </c>
      <c r="J2780" s="4">
        <v>12950000</v>
      </c>
      <c r="K2780" s="2">
        <f t="shared" si="212"/>
        <v>0.93772628530050683</v>
      </c>
      <c r="L2780" t="s">
        <v>1384</v>
      </c>
      <c r="M2780" t="s">
        <v>1015</v>
      </c>
      <c r="N2780" t="b">
        <f t="shared" si="213"/>
        <v>0</v>
      </c>
    </row>
    <row r="2781" spans="1:14" x14ac:dyDescent="0.15">
      <c r="A2781" t="s">
        <v>15553</v>
      </c>
      <c r="B2781" t="s">
        <v>15556</v>
      </c>
      <c r="C2781" t="s">
        <v>15591</v>
      </c>
      <c r="D2781" t="s">
        <v>118</v>
      </c>
      <c r="E2781" t="s">
        <v>15592</v>
      </c>
      <c r="F2781" s="5">
        <v>15509000</v>
      </c>
      <c r="G2781" s="5">
        <v>15509000</v>
      </c>
      <c r="I2781" s="2">
        <f t="shared" si="211"/>
        <v>0</v>
      </c>
      <c r="J2781" s="4">
        <v>8787000</v>
      </c>
      <c r="K2781" s="2">
        <f t="shared" si="212"/>
        <v>0.56657424721129668</v>
      </c>
      <c r="L2781" t="s">
        <v>4557</v>
      </c>
      <c r="M2781" t="s">
        <v>216</v>
      </c>
      <c r="N2781" t="b">
        <f t="shared" si="213"/>
        <v>0</v>
      </c>
    </row>
    <row r="2782" spans="1:14" x14ac:dyDescent="0.15">
      <c r="A2782" t="s">
        <v>15553</v>
      </c>
      <c r="B2782" t="s">
        <v>15556</v>
      </c>
      <c r="C2782" t="s">
        <v>15593</v>
      </c>
      <c r="D2782" t="s">
        <v>23</v>
      </c>
      <c r="E2782" t="s">
        <v>15594</v>
      </c>
      <c r="F2782" s="5">
        <v>6193000</v>
      </c>
      <c r="G2782" s="5">
        <v>6193000</v>
      </c>
      <c r="H2782" s="4">
        <v>4886000</v>
      </c>
      <c r="I2782" s="2">
        <f t="shared" si="211"/>
        <v>0.78895527208138216</v>
      </c>
      <c r="J2782" s="4">
        <v>5700000</v>
      </c>
      <c r="K2782" s="2">
        <f t="shared" si="212"/>
        <v>0.92039399321814952</v>
      </c>
      <c r="L2782" t="s">
        <v>15557</v>
      </c>
      <c r="M2782" t="s">
        <v>432</v>
      </c>
      <c r="N2782" t="b">
        <f t="shared" si="213"/>
        <v>0</v>
      </c>
    </row>
    <row r="2783" spans="1:14" x14ac:dyDescent="0.15">
      <c r="A2783" t="s">
        <v>15553</v>
      </c>
      <c r="B2783" t="s">
        <v>15556</v>
      </c>
      <c r="C2783" t="s">
        <v>15595</v>
      </c>
      <c r="D2783" t="s">
        <v>118</v>
      </c>
      <c r="E2783" t="s">
        <v>9017</v>
      </c>
      <c r="F2783" s="5">
        <v>9927000</v>
      </c>
      <c r="G2783" s="5">
        <v>9927000</v>
      </c>
      <c r="H2783" s="4">
        <v>8848000</v>
      </c>
      <c r="I2783" s="2">
        <f t="shared" si="211"/>
        <v>0.89130653772539536</v>
      </c>
      <c r="K2783" s="2">
        <f t="shared" si="212"/>
        <v>0</v>
      </c>
      <c r="M2783" t="s">
        <v>21</v>
      </c>
      <c r="N2783" t="b">
        <f t="shared" si="213"/>
        <v>0</v>
      </c>
    </row>
    <row r="2784" spans="1:14" x14ac:dyDescent="0.15">
      <c r="A2784" t="s">
        <v>15553</v>
      </c>
      <c r="B2784" t="s">
        <v>15556</v>
      </c>
      <c r="C2784" t="s">
        <v>15596</v>
      </c>
      <c r="D2784" t="s">
        <v>23</v>
      </c>
      <c r="E2784" t="s">
        <v>15597</v>
      </c>
      <c r="F2784" s="5">
        <v>782000</v>
      </c>
      <c r="G2784" s="5">
        <v>782000</v>
      </c>
      <c r="H2784" s="4">
        <v>625000</v>
      </c>
      <c r="I2784" s="2">
        <f t="shared" si="211"/>
        <v>0.79923273657289007</v>
      </c>
      <c r="J2784" s="4">
        <v>640000</v>
      </c>
      <c r="K2784" s="2">
        <f t="shared" si="212"/>
        <v>0.81841432225063937</v>
      </c>
      <c r="L2784" t="s">
        <v>15598</v>
      </c>
      <c r="M2784" t="s">
        <v>432</v>
      </c>
      <c r="N2784" t="b">
        <f t="shared" si="213"/>
        <v>0</v>
      </c>
    </row>
    <row r="2785" spans="1:14" x14ac:dyDescent="0.15">
      <c r="A2785" t="s">
        <v>15553</v>
      </c>
      <c r="B2785" t="s">
        <v>15556</v>
      </c>
      <c r="C2785" t="s">
        <v>15599</v>
      </c>
      <c r="D2785" t="s">
        <v>23</v>
      </c>
      <c r="E2785" t="s">
        <v>15600</v>
      </c>
      <c r="F2785" s="5">
        <v>4683000</v>
      </c>
      <c r="G2785" s="5">
        <v>4683000</v>
      </c>
      <c r="H2785" s="4">
        <v>4182000</v>
      </c>
      <c r="I2785" s="2">
        <f t="shared" si="211"/>
        <v>0.8930172966047405</v>
      </c>
      <c r="J2785" s="4">
        <v>4250000</v>
      </c>
      <c r="K2785" s="2">
        <f t="shared" si="212"/>
        <v>0.90753790305359816</v>
      </c>
      <c r="L2785" t="s">
        <v>10194</v>
      </c>
      <c r="M2785" t="s">
        <v>432</v>
      </c>
      <c r="N2785" t="b">
        <f t="shared" si="213"/>
        <v>0</v>
      </c>
    </row>
    <row r="2786" spans="1:14" x14ac:dyDescent="0.15">
      <c r="A2786" t="s">
        <v>15553</v>
      </c>
      <c r="B2786" t="s">
        <v>15556</v>
      </c>
      <c r="C2786" t="s">
        <v>15601</v>
      </c>
      <c r="D2786" t="s">
        <v>118</v>
      </c>
      <c r="E2786" t="s">
        <v>15602</v>
      </c>
      <c r="F2786" s="5">
        <v>18250000</v>
      </c>
      <c r="G2786" s="5">
        <v>18250000</v>
      </c>
      <c r="H2786" s="4">
        <v>14524000</v>
      </c>
      <c r="I2786" s="2">
        <f t="shared" si="211"/>
        <v>0.79583561643835621</v>
      </c>
      <c r="J2786" s="4">
        <v>14524000</v>
      </c>
      <c r="K2786" s="2">
        <f t="shared" si="212"/>
        <v>0.79583561643835621</v>
      </c>
      <c r="L2786" t="s">
        <v>39</v>
      </c>
      <c r="M2786" t="s">
        <v>174</v>
      </c>
      <c r="N2786" t="b">
        <f t="shared" si="213"/>
        <v>0</v>
      </c>
    </row>
    <row r="2787" spans="1:14" x14ac:dyDescent="0.15">
      <c r="A2787" t="s">
        <v>15553</v>
      </c>
      <c r="B2787" t="s">
        <v>15556</v>
      </c>
      <c r="C2787" t="s">
        <v>15603</v>
      </c>
      <c r="D2787" t="s">
        <v>23</v>
      </c>
      <c r="E2787" t="s">
        <v>15604</v>
      </c>
      <c r="F2787" s="5">
        <v>1225000</v>
      </c>
      <c r="G2787" s="5">
        <v>1225000</v>
      </c>
      <c r="I2787" s="2">
        <f t="shared" si="211"/>
        <v>0</v>
      </c>
      <c r="J2787" s="4">
        <v>644000</v>
      </c>
      <c r="K2787" s="2">
        <f t="shared" si="212"/>
        <v>0.52571428571428569</v>
      </c>
      <c r="L2787" t="s">
        <v>207</v>
      </c>
      <c r="M2787" t="s">
        <v>432</v>
      </c>
      <c r="N2787" t="b">
        <f t="shared" si="213"/>
        <v>0</v>
      </c>
    </row>
    <row r="2788" spans="1:14" x14ac:dyDescent="0.15">
      <c r="A2788" t="s">
        <v>15553</v>
      </c>
      <c r="B2788" t="s">
        <v>15556</v>
      </c>
      <c r="C2788" t="s">
        <v>15605</v>
      </c>
      <c r="D2788" t="s">
        <v>23</v>
      </c>
      <c r="E2788" t="s">
        <v>15606</v>
      </c>
      <c r="F2788" s="5">
        <v>9000000</v>
      </c>
      <c r="G2788" s="5">
        <v>9000000</v>
      </c>
      <c r="H2788" s="4">
        <v>7183000</v>
      </c>
      <c r="I2788" s="2">
        <f t="shared" si="211"/>
        <v>0.7981111111111111</v>
      </c>
      <c r="J2788" s="4">
        <v>8800000</v>
      </c>
      <c r="K2788" s="2">
        <f t="shared" si="212"/>
        <v>0.97777777777777775</v>
      </c>
      <c r="L2788" t="s">
        <v>39</v>
      </c>
      <c r="M2788" t="s">
        <v>432</v>
      </c>
      <c r="N2788" t="b">
        <f t="shared" si="213"/>
        <v>0</v>
      </c>
    </row>
    <row r="2789" spans="1:14" x14ac:dyDescent="0.15">
      <c r="A2789" t="s">
        <v>15553</v>
      </c>
      <c r="B2789" t="s">
        <v>15556</v>
      </c>
      <c r="C2789" t="s">
        <v>15583</v>
      </c>
      <c r="D2789" t="s">
        <v>23</v>
      </c>
      <c r="E2789" t="s">
        <v>15607</v>
      </c>
      <c r="F2789" s="5">
        <v>5400000</v>
      </c>
      <c r="G2789" s="5">
        <v>5400000</v>
      </c>
      <c r="H2789" s="4">
        <v>4303000</v>
      </c>
      <c r="I2789" s="2">
        <f t="shared" si="211"/>
        <v>0.79685185185185181</v>
      </c>
      <c r="J2789" s="4">
        <v>5100000</v>
      </c>
      <c r="K2789" s="2">
        <f t="shared" si="212"/>
        <v>0.94444444444444442</v>
      </c>
      <c r="L2789" t="s">
        <v>39</v>
      </c>
      <c r="M2789" t="s">
        <v>432</v>
      </c>
      <c r="N2789" t="b">
        <f t="shared" si="213"/>
        <v>0</v>
      </c>
    </row>
    <row r="2790" spans="1:14" x14ac:dyDescent="0.15">
      <c r="A2790" t="s">
        <v>15553</v>
      </c>
      <c r="B2790" t="s">
        <v>15556</v>
      </c>
      <c r="C2790" t="s">
        <v>15608</v>
      </c>
      <c r="D2790" t="s">
        <v>23</v>
      </c>
      <c r="E2790" t="s">
        <v>15609</v>
      </c>
      <c r="F2790" s="5">
        <v>1531000</v>
      </c>
      <c r="G2790" s="5">
        <v>1531000</v>
      </c>
      <c r="H2790" s="4">
        <v>1224000</v>
      </c>
      <c r="I2790" s="2">
        <f t="shared" si="211"/>
        <v>0.79947746570868716</v>
      </c>
      <c r="J2790" s="4">
        <v>1491000</v>
      </c>
      <c r="K2790" s="2">
        <f t="shared" si="212"/>
        <v>0.97387328543435658</v>
      </c>
      <c r="L2790" t="s">
        <v>1624</v>
      </c>
      <c r="M2790" t="s">
        <v>1015</v>
      </c>
      <c r="N2790" t="b">
        <f t="shared" si="213"/>
        <v>0</v>
      </c>
    </row>
    <row r="2791" spans="1:14" x14ac:dyDescent="0.15">
      <c r="A2791" t="s">
        <v>15553</v>
      </c>
      <c r="B2791" t="s">
        <v>15556</v>
      </c>
      <c r="C2791" t="s">
        <v>15585</v>
      </c>
      <c r="D2791" t="s">
        <v>23</v>
      </c>
      <c r="E2791" t="s">
        <v>15610</v>
      </c>
      <c r="F2791" s="5">
        <v>4526000</v>
      </c>
      <c r="G2791" s="5">
        <v>4526000</v>
      </c>
      <c r="H2791" s="4">
        <v>3620000</v>
      </c>
      <c r="I2791" s="2">
        <f t="shared" si="211"/>
        <v>0.79982324348210343</v>
      </c>
      <c r="J2791" s="4">
        <v>4300000</v>
      </c>
      <c r="K2791" s="2">
        <f t="shared" si="212"/>
        <v>0.9500662836942112</v>
      </c>
      <c r="L2791" t="s">
        <v>1624</v>
      </c>
      <c r="M2791" t="s">
        <v>432</v>
      </c>
      <c r="N2791" t="b">
        <f t="shared" si="213"/>
        <v>0</v>
      </c>
    </row>
    <row r="2792" spans="1:14" x14ac:dyDescent="0.15">
      <c r="A2792" t="s">
        <v>15611</v>
      </c>
      <c r="B2792" t="s">
        <v>15614</v>
      </c>
      <c r="C2792" t="s">
        <v>15612</v>
      </c>
      <c r="D2792" t="s">
        <v>23</v>
      </c>
      <c r="E2792" t="s">
        <v>15613</v>
      </c>
      <c r="F2792" s="5">
        <v>1270000</v>
      </c>
      <c r="G2792" s="5">
        <v>1270000</v>
      </c>
      <c r="I2792" s="2">
        <f t="shared" si="211"/>
        <v>0</v>
      </c>
      <c r="J2792" s="4">
        <v>1086000</v>
      </c>
      <c r="K2792" s="2">
        <f t="shared" si="212"/>
        <v>0.85511811023622042</v>
      </c>
      <c r="L2792" t="s">
        <v>15615</v>
      </c>
      <c r="M2792" t="s">
        <v>432</v>
      </c>
      <c r="N2792" t="b">
        <f t="shared" si="213"/>
        <v>0</v>
      </c>
    </row>
    <row r="2793" spans="1:14" x14ac:dyDescent="0.15">
      <c r="A2793" t="s">
        <v>15611</v>
      </c>
      <c r="B2793" t="s">
        <v>15614</v>
      </c>
      <c r="C2793" t="s">
        <v>15616</v>
      </c>
      <c r="D2793" t="s">
        <v>23</v>
      </c>
      <c r="E2793" t="s">
        <v>15617</v>
      </c>
      <c r="F2793" s="5">
        <v>10720000</v>
      </c>
      <c r="G2793" s="5">
        <v>10720000</v>
      </c>
      <c r="I2793" s="2">
        <f t="shared" si="211"/>
        <v>0</v>
      </c>
      <c r="J2793" s="4">
        <v>10000000</v>
      </c>
      <c r="K2793" s="2">
        <f t="shared" si="212"/>
        <v>0.93283582089552242</v>
      </c>
      <c r="L2793" t="s">
        <v>4816</v>
      </c>
      <c r="M2793" t="s">
        <v>432</v>
      </c>
      <c r="N2793" t="b">
        <f t="shared" si="213"/>
        <v>0</v>
      </c>
    </row>
    <row r="2794" spans="1:14" x14ac:dyDescent="0.15">
      <c r="A2794" t="s">
        <v>15611</v>
      </c>
      <c r="B2794" t="s">
        <v>15614</v>
      </c>
      <c r="C2794" t="s">
        <v>15618</v>
      </c>
      <c r="D2794" t="s">
        <v>23</v>
      </c>
      <c r="E2794" t="s">
        <v>15619</v>
      </c>
      <c r="F2794" s="5">
        <v>5030000</v>
      </c>
      <c r="G2794" s="5">
        <v>5030000</v>
      </c>
      <c r="I2794" s="2">
        <f t="shared" si="211"/>
        <v>0</v>
      </c>
      <c r="J2794" s="4">
        <v>2980000</v>
      </c>
      <c r="K2794" s="2">
        <f t="shared" si="212"/>
        <v>0.59244532803180916</v>
      </c>
      <c r="L2794" t="s">
        <v>12534</v>
      </c>
      <c r="M2794" t="s">
        <v>174</v>
      </c>
      <c r="N2794" t="b">
        <f t="shared" si="213"/>
        <v>0</v>
      </c>
    </row>
    <row r="2795" spans="1:14" x14ac:dyDescent="0.15">
      <c r="A2795" t="s">
        <v>15611</v>
      </c>
      <c r="B2795" t="s">
        <v>15614</v>
      </c>
      <c r="C2795" t="s">
        <v>15620</v>
      </c>
      <c r="D2795" t="s">
        <v>23</v>
      </c>
      <c r="E2795" t="s">
        <v>10321</v>
      </c>
      <c r="F2795" s="5">
        <v>15760000</v>
      </c>
      <c r="G2795" s="5">
        <v>15760000</v>
      </c>
      <c r="I2795" s="2">
        <f t="shared" si="211"/>
        <v>0</v>
      </c>
      <c r="J2795" s="4">
        <v>15310000</v>
      </c>
      <c r="K2795" s="2">
        <f t="shared" si="212"/>
        <v>0.97144670050761417</v>
      </c>
      <c r="L2795" t="s">
        <v>4310</v>
      </c>
      <c r="M2795" t="s">
        <v>432</v>
      </c>
      <c r="N2795" t="b">
        <f t="shared" si="213"/>
        <v>0</v>
      </c>
    </row>
    <row r="2796" spans="1:14" x14ac:dyDescent="0.15">
      <c r="A2796" t="s">
        <v>15611</v>
      </c>
      <c r="B2796" t="s">
        <v>15614</v>
      </c>
      <c r="C2796" t="s">
        <v>15621</v>
      </c>
      <c r="D2796" t="s">
        <v>23</v>
      </c>
      <c r="E2796" t="s">
        <v>15622</v>
      </c>
      <c r="F2796" s="5">
        <v>14147000</v>
      </c>
      <c r="G2796" s="5">
        <v>14147000</v>
      </c>
      <c r="I2796" s="2">
        <f t="shared" si="211"/>
        <v>0</v>
      </c>
      <c r="J2796" s="4">
        <v>13200000</v>
      </c>
      <c r="K2796" s="2">
        <f t="shared" si="212"/>
        <v>0.93306001272354566</v>
      </c>
      <c r="L2796" t="s">
        <v>4816</v>
      </c>
      <c r="M2796" t="s">
        <v>432</v>
      </c>
      <c r="N2796" t="b">
        <f t="shared" si="213"/>
        <v>0</v>
      </c>
    </row>
    <row r="2797" spans="1:14" x14ac:dyDescent="0.15">
      <c r="A2797" t="s">
        <v>15611</v>
      </c>
      <c r="B2797" t="s">
        <v>15614</v>
      </c>
      <c r="C2797" t="s">
        <v>15612</v>
      </c>
      <c r="D2797" t="s">
        <v>23</v>
      </c>
      <c r="E2797" t="s">
        <v>15623</v>
      </c>
      <c r="F2797" s="5">
        <v>1450000</v>
      </c>
      <c r="G2797" s="5">
        <v>1450000</v>
      </c>
      <c r="I2797" s="2">
        <f t="shared" si="211"/>
        <v>0</v>
      </c>
      <c r="J2797" s="4">
        <v>1173650</v>
      </c>
      <c r="K2797" s="2">
        <f t="shared" si="212"/>
        <v>0.8094137931034483</v>
      </c>
      <c r="L2797" t="s">
        <v>15615</v>
      </c>
      <c r="M2797" t="s">
        <v>432</v>
      </c>
      <c r="N2797" t="b">
        <f t="shared" si="213"/>
        <v>0</v>
      </c>
    </row>
    <row r="2798" spans="1:14" x14ac:dyDescent="0.15">
      <c r="A2798" t="s">
        <v>15611</v>
      </c>
      <c r="B2798" t="s">
        <v>15614</v>
      </c>
      <c r="C2798" t="s">
        <v>15624</v>
      </c>
      <c r="D2798" t="s">
        <v>23</v>
      </c>
      <c r="E2798" t="s">
        <v>15625</v>
      </c>
      <c r="F2798" s="5">
        <v>6460000</v>
      </c>
      <c r="G2798" s="5">
        <v>6460000</v>
      </c>
      <c r="I2798" s="2">
        <f t="shared" si="211"/>
        <v>0</v>
      </c>
      <c r="J2798" s="4">
        <v>3876000</v>
      </c>
      <c r="K2798" s="2">
        <f t="shared" si="212"/>
        <v>0.6</v>
      </c>
      <c r="L2798" t="s">
        <v>12534</v>
      </c>
      <c r="M2798" t="s">
        <v>174</v>
      </c>
      <c r="N2798" t="b">
        <f t="shared" si="213"/>
        <v>0</v>
      </c>
    </row>
    <row r="2799" spans="1:14" x14ac:dyDescent="0.15">
      <c r="A2799" t="s">
        <v>15611</v>
      </c>
      <c r="B2799" t="s">
        <v>15614</v>
      </c>
      <c r="C2799" t="s">
        <v>15626</v>
      </c>
      <c r="D2799" t="s">
        <v>23</v>
      </c>
      <c r="E2799" t="s">
        <v>15627</v>
      </c>
      <c r="F2799" s="5">
        <v>9050000</v>
      </c>
      <c r="G2799" s="5">
        <v>9050000</v>
      </c>
      <c r="I2799" s="2">
        <f t="shared" si="211"/>
        <v>0</v>
      </c>
      <c r="J2799" s="4">
        <v>6700000</v>
      </c>
      <c r="K2799" s="2">
        <f t="shared" si="212"/>
        <v>0.74033149171270718</v>
      </c>
      <c r="L2799" t="s">
        <v>10639</v>
      </c>
      <c r="M2799" t="s">
        <v>174</v>
      </c>
      <c r="N2799" t="b">
        <f t="shared" si="213"/>
        <v>0</v>
      </c>
    </row>
    <row r="2800" spans="1:14" x14ac:dyDescent="0.15">
      <c r="A2800" t="s">
        <v>15611</v>
      </c>
      <c r="B2800" t="s">
        <v>15614</v>
      </c>
      <c r="C2800" t="s">
        <v>12409</v>
      </c>
      <c r="D2800" t="s">
        <v>118</v>
      </c>
      <c r="E2800" t="s">
        <v>15628</v>
      </c>
      <c r="F2800" s="5">
        <v>19715000</v>
      </c>
      <c r="G2800" s="5">
        <v>19715000</v>
      </c>
      <c r="I2800" s="2">
        <f t="shared" si="211"/>
        <v>0</v>
      </c>
      <c r="J2800" s="4">
        <v>12125000</v>
      </c>
      <c r="K2800" s="2">
        <f t="shared" si="212"/>
        <v>0.61501394876997206</v>
      </c>
      <c r="L2800" t="s">
        <v>173</v>
      </c>
      <c r="M2800" t="s">
        <v>432</v>
      </c>
      <c r="N2800" t="b">
        <f t="shared" si="213"/>
        <v>0</v>
      </c>
    </row>
    <row r="2801" spans="1:14" x14ac:dyDescent="0.15">
      <c r="A2801" t="s">
        <v>15611</v>
      </c>
      <c r="B2801" t="s">
        <v>15614</v>
      </c>
      <c r="C2801" t="s">
        <v>15629</v>
      </c>
      <c r="D2801" t="s">
        <v>23</v>
      </c>
      <c r="E2801" t="s">
        <v>15630</v>
      </c>
      <c r="F2801" s="5">
        <v>4806000</v>
      </c>
      <c r="G2801" s="5">
        <v>4806000</v>
      </c>
      <c r="I2801" s="2">
        <f t="shared" si="211"/>
        <v>0</v>
      </c>
      <c r="J2801" s="4">
        <v>4400000</v>
      </c>
      <c r="K2801" s="2">
        <f t="shared" si="212"/>
        <v>0.91552226383687063</v>
      </c>
      <c r="L2801" t="s">
        <v>15631</v>
      </c>
      <c r="M2801" t="s">
        <v>192</v>
      </c>
      <c r="N2801" t="b">
        <f t="shared" si="213"/>
        <v>0</v>
      </c>
    </row>
    <row r="2802" spans="1:14" x14ac:dyDescent="0.15">
      <c r="A2802" t="s">
        <v>15611</v>
      </c>
      <c r="B2802" t="s">
        <v>15614</v>
      </c>
      <c r="C2802" t="s">
        <v>15632</v>
      </c>
      <c r="D2802" t="s">
        <v>23</v>
      </c>
      <c r="E2802" t="s">
        <v>15633</v>
      </c>
      <c r="F2802" s="5">
        <v>14890000</v>
      </c>
      <c r="G2802" s="5">
        <v>14890000</v>
      </c>
      <c r="I2802" s="2">
        <f t="shared" si="211"/>
        <v>0</v>
      </c>
      <c r="J2802" s="4">
        <v>9770000</v>
      </c>
      <c r="K2802" s="2">
        <f t="shared" si="212"/>
        <v>0.65614506380120885</v>
      </c>
      <c r="L2802" t="s">
        <v>15526</v>
      </c>
      <c r="M2802" t="s">
        <v>432</v>
      </c>
      <c r="N2802" t="b">
        <f t="shared" si="213"/>
        <v>0</v>
      </c>
    </row>
    <row r="2803" spans="1:14" x14ac:dyDescent="0.15">
      <c r="A2803" t="s">
        <v>15611</v>
      </c>
      <c r="B2803" t="s">
        <v>15614</v>
      </c>
      <c r="C2803" t="s">
        <v>15634</v>
      </c>
      <c r="D2803" t="s">
        <v>23</v>
      </c>
      <c r="E2803" t="s">
        <v>15635</v>
      </c>
      <c r="F2803" s="5">
        <v>4900000</v>
      </c>
      <c r="G2803" s="5">
        <v>4900000</v>
      </c>
      <c r="I2803" s="2">
        <f t="shared" si="211"/>
        <v>0</v>
      </c>
      <c r="J2803" s="4">
        <v>4500000</v>
      </c>
      <c r="K2803" s="2">
        <f t="shared" si="212"/>
        <v>0.91836734693877553</v>
      </c>
      <c r="L2803" t="s">
        <v>4816</v>
      </c>
      <c r="M2803" t="s">
        <v>432</v>
      </c>
      <c r="N2803" t="b">
        <f t="shared" si="213"/>
        <v>0</v>
      </c>
    </row>
    <row r="2804" spans="1:14" x14ac:dyDescent="0.15">
      <c r="A2804" t="s">
        <v>15611</v>
      </c>
      <c r="B2804" t="s">
        <v>15614</v>
      </c>
      <c r="C2804" t="s">
        <v>15636</v>
      </c>
      <c r="D2804" t="s">
        <v>23</v>
      </c>
      <c r="E2804" t="s">
        <v>15637</v>
      </c>
      <c r="F2804" s="5">
        <v>7560000</v>
      </c>
      <c r="G2804" s="5">
        <v>7560000</v>
      </c>
      <c r="I2804" s="2">
        <f t="shared" si="211"/>
        <v>0</v>
      </c>
      <c r="J2804" s="4">
        <v>4914000</v>
      </c>
      <c r="K2804" s="2">
        <f t="shared" si="212"/>
        <v>0.65</v>
      </c>
      <c r="L2804" t="s">
        <v>12534</v>
      </c>
      <c r="M2804" t="s">
        <v>174</v>
      </c>
      <c r="N2804" t="b">
        <f t="shared" si="213"/>
        <v>0</v>
      </c>
    </row>
    <row r="2805" spans="1:14" x14ac:dyDescent="0.15">
      <c r="A2805" t="s">
        <v>15611</v>
      </c>
      <c r="B2805" t="s">
        <v>15614</v>
      </c>
      <c r="C2805" t="s">
        <v>15638</v>
      </c>
      <c r="D2805" t="s">
        <v>23</v>
      </c>
      <c r="E2805" t="s">
        <v>14196</v>
      </c>
      <c r="F2805" s="5">
        <v>7350000</v>
      </c>
      <c r="G2805" s="5">
        <v>7350000</v>
      </c>
      <c r="I2805" s="2">
        <f t="shared" si="211"/>
        <v>0</v>
      </c>
      <c r="J2805" s="4">
        <v>2880000</v>
      </c>
      <c r="K2805" s="2">
        <f t="shared" si="212"/>
        <v>0.39183673469387753</v>
      </c>
      <c r="L2805" t="s">
        <v>39</v>
      </c>
      <c r="M2805" t="s">
        <v>174</v>
      </c>
      <c r="N2805" t="b">
        <f t="shared" si="213"/>
        <v>0</v>
      </c>
    </row>
    <row r="2806" spans="1:14" x14ac:dyDescent="0.15">
      <c r="A2806" t="s">
        <v>15639</v>
      </c>
      <c r="B2806" t="s">
        <v>15642</v>
      </c>
      <c r="C2806" t="s">
        <v>15640</v>
      </c>
      <c r="D2806" t="s">
        <v>23</v>
      </c>
      <c r="E2806" t="s">
        <v>15641</v>
      </c>
      <c r="F2806" s="5">
        <f>G2806</f>
        <v>6272000</v>
      </c>
      <c r="G2806" s="5">
        <v>6272000</v>
      </c>
      <c r="I2806" s="2">
        <f t="shared" si="211"/>
        <v>0</v>
      </c>
      <c r="J2806" s="4">
        <v>6000000</v>
      </c>
      <c r="K2806" s="2">
        <f t="shared" si="212"/>
        <v>0.95663265306122447</v>
      </c>
      <c r="L2806" t="s">
        <v>2406</v>
      </c>
      <c r="M2806" t="s">
        <v>192</v>
      </c>
      <c r="N2806" t="b">
        <f t="shared" si="213"/>
        <v>0</v>
      </c>
    </row>
    <row r="2807" spans="1:14" x14ac:dyDescent="0.15">
      <c r="A2807" t="s">
        <v>15639</v>
      </c>
      <c r="B2807" t="s">
        <v>15642</v>
      </c>
      <c r="C2807" t="s">
        <v>15643</v>
      </c>
      <c r="D2807" t="s">
        <v>23</v>
      </c>
      <c r="E2807" t="s">
        <v>15644</v>
      </c>
      <c r="F2807" s="5">
        <v>7179000</v>
      </c>
      <c r="G2807" s="5">
        <v>7179000</v>
      </c>
      <c r="I2807" s="2">
        <f t="shared" si="211"/>
        <v>0</v>
      </c>
      <c r="J2807" s="4">
        <v>6800000</v>
      </c>
      <c r="K2807" s="2">
        <f t="shared" si="212"/>
        <v>0.94720713191252259</v>
      </c>
      <c r="L2807" t="s">
        <v>360</v>
      </c>
      <c r="M2807" t="s">
        <v>174</v>
      </c>
      <c r="N2807" t="b">
        <f t="shared" si="213"/>
        <v>0</v>
      </c>
    </row>
    <row r="2808" spans="1:14" x14ac:dyDescent="0.15">
      <c r="A2808" t="s">
        <v>15639</v>
      </c>
      <c r="B2808" t="s">
        <v>15642</v>
      </c>
      <c r="C2808" t="s">
        <v>15645</v>
      </c>
      <c r="D2808" t="s">
        <v>23</v>
      </c>
      <c r="E2808" t="s">
        <v>15646</v>
      </c>
      <c r="F2808" s="5">
        <v>1288000</v>
      </c>
      <c r="G2808" s="5">
        <v>1288000</v>
      </c>
      <c r="I2808" s="2">
        <f t="shared" si="211"/>
        <v>0</v>
      </c>
      <c r="J2808" s="4">
        <v>797000</v>
      </c>
      <c r="K2808" s="2">
        <f t="shared" si="212"/>
        <v>0.61878881987577639</v>
      </c>
      <c r="L2808" t="s">
        <v>207</v>
      </c>
      <c r="M2808" t="s">
        <v>432</v>
      </c>
      <c r="N2808" t="b">
        <f t="shared" si="213"/>
        <v>0</v>
      </c>
    </row>
    <row r="2809" spans="1:14" x14ac:dyDescent="0.15">
      <c r="A2809" t="s">
        <v>15639</v>
      </c>
      <c r="B2809" t="s">
        <v>15642</v>
      </c>
      <c r="C2809" t="s">
        <v>15647</v>
      </c>
      <c r="D2809" t="s">
        <v>23</v>
      </c>
      <c r="E2809" t="s">
        <v>15648</v>
      </c>
      <c r="F2809" s="5">
        <v>7121000</v>
      </c>
      <c r="G2809" s="5">
        <v>7121000</v>
      </c>
      <c r="I2809" s="2">
        <f t="shared" si="211"/>
        <v>0</v>
      </c>
      <c r="J2809" s="4">
        <v>6800000</v>
      </c>
      <c r="K2809" s="2">
        <f t="shared" si="212"/>
        <v>0.95492206150821513</v>
      </c>
      <c r="L2809" t="s">
        <v>360</v>
      </c>
      <c r="M2809" t="s">
        <v>174</v>
      </c>
      <c r="N2809" t="b">
        <f t="shared" si="213"/>
        <v>0</v>
      </c>
    </row>
    <row r="2810" spans="1:14" x14ac:dyDescent="0.15">
      <c r="A2810" t="s">
        <v>15639</v>
      </c>
      <c r="B2810" t="s">
        <v>15642</v>
      </c>
      <c r="C2810" t="s">
        <v>15649</v>
      </c>
      <c r="D2810" t="s">
        <v>23</v>
      </c>
      <c r="E2810" t="s">
        <v>15650</v>
      </c>
      <c r="F2810" s="5">
        <v>4133000</v>
      </c>
      <c r="G2810" s="5">
        <v>4133000</v>
      </c>
      <c r="I2810" s="2">
        <f t="shared" si="211"/>
        <v>0</v>
      </c>
      <c r="J2810" s="4">
        <v>3700000</v>
      </c>
      <c r="K2810" s="2">
        <f t="shared" si="212"/>
        <v>0.89523348657149771</v>
      </c>
      <c r="L2810" t="s">
        <v>332</v>
      </c>
      <c r="M2810" t="s">
        <v>80</v>
      </c>
      <c r="N2810" t="b">
        <f t="shared" si="213"/>
        <v>0</v>
      </c>
    </row>
    <row r="2811" spans="1:14" x14ac:dyDescent="0.15">
      <c r="A2811" t="s">
        <v>15639</v>
      </c>
      <c r="B2811" t="s">
        <v>15642</v>
      </c>
      <c r="C2811" t="s">
        <v>15647</v>
      </c>
      <c r="D2811" t="s">
        <v>23</v>
      </c>
      <c r="E2811" t="s">
        <v>15651</v>
      </c>
      <c r="F2811" s="5">
        <v>6516000</v>
      </c>
      <c r="G2811" s="5">
        <v>6516000</v>
      </c>
      <c r="I2811" s="2">
        <f t="shared" si="211"/>
        <v>0</v>
      </c>
      <c r="J2811" s="4">
        <v>5700000</v>
      </c>
      <c r="K2811" s="2">
        <f t="shared" si="212"/>
        <v>0.87476979742173111</v>
      </c>
      <c r="L2811" t="s">
        <v>360</v>
      </c>
      <c r="M2811" t="s">
        <v>174</v>
      </c>
      <c r="N2811" t="b">
        <f t="shared" si="213"/>
        <v>0</v>
      </c>
    </row>
    <row r="2812" spans="1:14" x14ac:dyDescent="0.15">
      <c r="A2812" t="s">
        <v>15639</v>
      </c>
      <c r="B2812" t="s">
        <v>15642</v>
      </c>
      <c r="C2812" t="s">
        <v>15652</v>
      </c>
      <c r="D2812" t="s">
        <v>23</v>
      </c>
      <c r="E2812" t="s">
        <v>15653</v>
      </c>
      <c r="F2812" s="5">
        <v>2880000</v>
      </c>
      <c r="G2812" s="5">
        <v>2880000</v>
      </c>
      <c r="I2812" s="2">
        <f t="shared" si="211"/>
        <v>0</v>
      </c>
      <c r="J2812" s="4">
        <v>2700000</v>
      </c>
      <c r="K2812" s="2">
        <f t="shared" si="212"/>
        <v>0.9375</v>
      </c>
      <c r="L2812" t="s">
        <v>4415</v>
      </c>
      <c r="M2812" t="s">
        <v>165</v>
      </c>
      <c r="N2812" t="b">
        <f t="shared" si="213"/>
        <v>0</v>
      </c>
    </row>
    <row r="2813" spans="1:14" x14ac:dyDescent="0.15">
      <c r="A2813" t="s">
        <v>15639</v>
      </c>
      <c r="B2813" t="s">
        <v>15642</v>
      </c>
      <c r="C2813" t="s">
        <v>15654</v>
      </c>
      <c r="D2813" t="s">
        <v>23</v>
      </c>
      <c r="E2813" t="s">
        <v>15655</v>
      </c>
      <c r="F2813" s="5">
        <v>952000</v>
      </c>
      <c r="G2813" s="5">
        <v>952000</v>
      </c>
      <c r="I2813" s="2">
        <f t="shared" si="211"/>
        <v>0</v>
      </c>
      <c r="J2813" s="4">
        <v>398000</v>
      </c>
      <c r="K2813" s="2">
        <f t="shared" si="212"/>
        <v>0.41806722689075632</v>
      </c>
      <c r="L2813" t="s">
        <v>207</v>
      </c>
      <c r="M2813" t="s">
        <v>432</v>
      </c>
      <c r="N2813" t="b">
        <f t="shared" si="213"/>
        <v>0</v>
      </c>
    </row>
    <row r="2814" spans="1:14" x14ac:dyDescent="0.15">
      <c r="A2814" t="s">
        <v>15639</v>
      </c>
      <c r="B2814" t="s">
        <v>15642</v>
      </c>
      <c r="C2814" t="s">
        <v>15656</v>
      </c>
      <c r="D2814" t="s">
        <v>23</v>
      </c>
      <c r="E2814" t="s">
        <v>15657</v>
      </c>
      <c r="F2814" s="5">
        <v>675000</v>
      </c>
      <c r="G2814" s="5">
        <v>675000</v>
      </c>
      <c r="I2814" s="2">
        <f t="shared" si="211"/>
        <v>0</v>
      </c>
      <c r="J2814" s="4">
        <v>493000</v>
      </c>
      <c r="K2814" s="2">
        <f t="shared" si="212"/>
        <v>0.73037037037037034</v>
      </c>
      <c r="L2814" t="s">
        <v>125</v>
      </c>
      <c r="M2814" t="s">
        <v>432</v>
      </c>
      <c r="N2814" t="b">
        <f t="shared" si="213"/>
        <v>0</v>
      </c>
    </row>
    <row r="2815" spans="1:14" x14ac:dyDescent="0.15">
      <c r="A2815" t="s">
        <v>15639</v>
      </c>
      <c r="B2815" t="s">
        <v>15642</v>
      </c>
      <c r="C2815" t="s">
        <v>15658</v>
      </c>
      <c r="D2815" t="s">
        <v>23</v>
      </c>
      <c r="E2815" t="s">
        <v>15659</v>
      </c>
      <c r="F2815" s="5">
        <v>1200000</v>
      </c>
      <c r="G2815" s="5">
        <v>1200000</v>
      </c>
      <c r="I2815" s="2">
        <f t="shared" si="211"/>
        <v>0</v>
      </c>
      <c r="J2815" s="4">
        <v>760000</v>
      </c>
      <c r="K2815" s="2">
        <f t="shared" si="212"/>
        <v>0.6333333333333333</v>
      </c>
      <c r="L2815" t="s">
        <v>207</v>
      </c>
      <c r="M2815" t="s">
        <v>432</v>
      </c>
      <c r="N2815" t="b">
        <f t="shared" si="213"/>
        <v>0</v>
      </c>
    </row>
    <row r="2816" spans="1:14" x14ac:dyDescent="0.15">
      <c r="A2816" t="s">
        <v>15639</v>
      </c>
      <c r="B2816" t="s">
        <v>15642</v>
      </c>
      <c r="C2816" t="s">
        <v>15660</v>
      </c>
      <c r="D2816" t="s">
        <v>23</v>
      </c>
      <c r="E2816" t="s">
        <v>15661</v>
      </c>
      <c r="F2816" s="5">
        <v>5858000</v>
      </c>
      <c r="G2816" s="5">
        <v>5858000</v>
      </c>
      <c r="I2816" s="2">
        <f t="shared" si="211"/>
        <v>0</v>
      </c>
      <c r="J2816" s="4">
        <v>5500000</v>
      </c>
      <c r="K2816" s="2">
        <f t="shared" si="212"/>
        <v>0.93888699214749061</v>
      </c>
      <c r="L2816" t="s">
        <v>360</v>
      </c>
      <c r="M2816" t="s">
        <v>174</v>
      </c>
      <c r="N2816" t="b">
        <f t="shared" si="213"/>
        <v>0</v>
      </c>
    </row>
    <row r="2817" spans="1:14" x14ac:dyDescent="0.15">
      <c r="A2817" t="s">
        <v>15639</v>
      </c>
      <c r="B2817" t="s">
        <v>15642</v>
      </c>
      <c r="C2817" t="s">
        <v>15662</v>
      </c>
      <c r="D2817" t="s">
        <v>23</v>
      </c>
      <c r="E2817" t="s">
        <v>15663</v>
      </c>
      <c r="F2817" s="5">
        <v>15166000</v>
      </c>
      <c r="G2817" s="5">
        <v>15166000</v>
      </c>
      <c r="I2817" s="2">
        <f t="shared" si="211"/>
        <v>0</v>
      </c>
      <c r="J2817" s="4">
        <v>13850000</v>
      </c>
      <c r="K2817" s="2">
        <f t="shared" si="212"/>
        <v>0.91322695503099038</v>
      </c>
      <c r="L2817" t="s">
        <v>332</v>
      </c>
      <c r="M2817" t="s">
        <v>41</v>
      </c>
      <c r="N2817" t="b">
        <f t="shared" si="213"/>
        <v>0</v>
      </c>
    </row>
    <row r="2818" spans="1:14" x14ac:dyDescent="0.15">
      <c r="A2818" t="s">
        <v>15664</v>
      </c>
      <c r="B2818" t="s">
        <v>15667</v>
      </c>
      <c r="C2818" t="s">
        <v>15665</v>
      </c>
      <c r="D2818" t="s">
        <v>23</v>
      </c>
      <c r="E2818" t="s">
        <v>15666</v>
      </c>
      <c r="F2818" s="5">
        <v>4890000</v>
      </c>
      <c r="G2818" s="5">
        <v>4890000</v>
      </c>
      <c r="H2818" s="4">
        <v>4009000</v>
      </c>
      <c r="I2818" s="2">
        <f t="shared" si="211"/>
        <v>0.81983640081799591</v>
      </c>
      <c r="J2818" s="4">
        <v>4350000</v>
      </c>
      <c r="K2818" s="2">
        <f t="shared" si="212"/>
        <v>0.88957055214723924</v>
      </c>
      <c r="L2818" t="s">
        <v>1281</v>
      </c>
      <c r="M2818" t="s">
        <v>165</v>
      </c>
      <c r="N2818" t="b">
        <f t="shared" si="213"/>
        <v>0</v>
      </c>
    </row>
    <row r="2819" spans="1:14" x14ac:dyDescent="0.15">
      <c r="A2819" t="s">
        <v>15664</v>
      </c>
      <c r="B2819" t="s">
        <v>15667</v>
      </c>
      <c r="C2819" t="s">
        <v>15668</v>
      </c>
      <c r="D2819" t="s">
        <v>23</v>
      </c>
      <c r="E2819" t="s">
        <v>15669</v>
      </c>
      <c r="F2819" s="5">
        <v>1965000</v>
      </c>
      <c r="G2819" s="5">
        <v>1965000</v>
      </c>
      <c r="H2819" s="4">
        <v>1572000</v>
      </c>
      <c r="I2819" s="2">
        <f t="shared" si="211"/>
        <v>0.8</v>
      </c>
      <c r="J2819" s="4">
        <v>1780000</v>
      </c>
      <c r="K2819" s="2">
        <f t="shared" si="212"/>
        <v>0.90585241730279897</v>
      </c>
      <c r="L2819" t="s">
        <v>1281</v>
      </c>
      <c r="M2819" t="s">
        <v>165</v>
      </c>
      <c r="N2819" t="b">
        <f t="shared" si="213"/>
        <v>0</v>
      </c>
    </row>
    <row r="2820" spans="1:14" x14ac:dyDescent="0.15">
      <c r="A2820" t="s">
        <v>15664</v>
      </c>
      <c r="B2820" t="s">
        <v>15667</v>
      </c>
      <c r="C2820" t="s">
        <v>15670</v>
      </c>
      <c r="D2820" t="s">
        <v>23</v>
      </c>
      <c r="E2820" t="s">
        <v>15671</v>
      </c>
      <c r="F2820" s="5">
        <v>16493000</v>
      </c>
      <c r="G2820" s="5">
        <v>16493000</v>
      </c>
      <c r="H2820" s="4">
        <v>13194000</v>
      </c>
      <c r="I2820" s="2">
        <f t="shared" ref="I2820:I2883" si="214">H2820/G2820</f>
        <v>0.79997574728672771</v>
      </c>
      <c r="J2820" s="4">
        <v>15000000</v>
      </c>
      <c r="K2820" s="2">
        <f t="shared" ref="K2820:K2883" si="215">J2820/G2820</f>
        <v>0.90947674771115017</v>
      </c>
      <c r="L2820" t="s">
        <v>1458</v>
      </c>
      <c r="M2820" t="s">
        <v>165</v>
      </c>
      <c r="N2820" t="b">
        <f t="shared" ref="N2820:N2883" si="216">F2820&lt;&gt;G2820</f>
        <v>0</v>
      </c>
    </row>
    <row r="2821" spans="1:14" x14ac:dyDescent="0.15">
      <c r="A2821" t="s">
        <v>15664</v>
      </c>
      <c r="B2821" t="s">
        <v>15667</v>
      </c>
      <c r="C2821" t="s">
        <v>15672</v>
      </c>
      <c r="D2821" t="s">
        <v>23</v>
      </c>
      <c r="E2821" t="s">
        <v>15673</v>
      </c>
      <c r="F2821" s="5">
        <v>30164000</v>
      </c>
      <c r="G2821" s="5">
        <v>30164000</v>
      </c>
      <c r="H2821" s="4">
        <v>24131000</v>
      </c>
      <c r="I2821" s="2">
        <f t="shared" si="214"/>
        <v>0.7999933695796313</v>
      </c>
      <c r="J2821" s="4">
        <v>26000000</v>
      </c>
      <c r="K2821" s="2">
        <f t="shared" si="215"/>
        <v>0.86195464792467846</v>
      </c>
      <c r="L2821" t="s">
        <v>1458</v>
      </c>
      <c r="M2821" t="s">
        <v>174</v>
      </c>
      <c r="N2821" t="b">
        <f t="shared" si="216"/>
        <v>0</v>
      </c>
    </row>
    <row r="2822" spans="1:14" x14ac:dyDescent="0.15">
      <c r="A2822" t="s">
        <v>15664</v>
      </c>
      <c r="B2822" t="s">
        <v>15667</v>
      </c>
      <c r="C2822" t="s">
        <v>15674</v>
      </c>
      <c r="D2822" t="s">
        <v>23</v>
      </c>
      <c r="E2822" t="s">
        <v>15675</v>
      </c>
      <c r="F2822" s="5">
        <v>14207000</v>
      </c>
      <c r="G2822" s="5">
        <v>14207000</v>
      </c>
      <c r="H2822" t="s">
        <v>145</v>
      </c>
      <c r="I2822" s="2" t="e">
        <f t="shared" si="214"/>
        <v>#VALUE!</v>
      </c>
      <c r="J2822" s="4">
        <v>12600000</v>
      </c>
      <c r="K2822" s="2">
        <f t="shared" si="215"/>
        <v>0.88688674597029638</v>
      </c>
      <c r="L2822" t="s">
        <v>1281</v>
      </c>
      <c r="M2822" t="s">
        <v>165</v>
      </c>
      <c r="N2822" t="b">
        <f t="shared" si="216"/>
        <v>0</v>
      </c>
    </row>
    <row r="2823" spans="1:14" x14ac:dyDescent="0.15">
      <c r="A2823" t="s">
        <v>15664</v>
      </c>
      <c r="B2823" t="s">
        <v>15667</v>
      </c>
      <c r="C2823" t="s">
        <v>12505</v>
      </c>
      <c r="D2823" t="s">
        <v>23</v>
      </c>
      <c r="E2823" t="s">
        <v>15676</v>
      </c>
      <c r="F2823" s="5">
        <v>6094000</v>
      </c>
      <c r="G2823" s="5">
        <v>6094000</v>
      </c>
      <c r="H2823" t="s">
        <v>145</v>
      </c>
      <c r="I2823" s="2" t="e">
        <f t="shared" si="214"/>
        <v>#VALUE!</v>
      </c>
      <c r="J2823" s="4">
        <v>5680000</v>
      </c>
      <c r="K2823" s="2">
        <f t="shared" si="215"/>
        <v>0.93206432556613061</v>
      </c>
      <c r="L2823" t="s">
        <v>1281</v>
      </c>
      <c r="M2823" t="s">
        <v>432</v>
      </c>
      <c r="N2823" t="b">
        <f t="shared" si="216"/>
        <v>0</v>
      </c>
    </row>
    <row r="2824" spans="1:14" x14ac:dyDescent="0.15">
      <c r="A2824" t="s">
        <v>15664</v>
      </c>
      <c r="B2824" t="s">
        <v>15667</v>
      </c>
      <c r="C2824" t="s">
        <v>15677</v>
      </c>
      <c r="D2824" t="s">
        <v>23</v>
      </c>
      <c r="E2824" t="s">
        <v>15678</v>
      </c>
      <c r="F2824" s="5">
        <v>4760000</v>
      </c>
      <c r="G2824" s="5">
        <v>4760000</v>
      </c>
      <c r="H2824" t="s">
        <v>145</v>
      </c>
      <c r="I2824" s="2" t="e">
        <f t="shared" si="214"/>
        <v>#VALUE!</v>
      </c>
      <c r="J2824" s="4">
        <v>4650000</v>
      </c>
      <c r="K2824" s="2">
        <f t="shared" si="215"/>
        <v>0.97689075630252098</v>
      </c>
      <c r="L2824" t="s">
        <v>360</v>
      </c>
      <c r="M2824" t="s">
        <v>165</v>
      </c>
      <c r="N2824" t="b">
        <f t="shared" si="216"/>
        <v>0</v>
      </c>
    </row>
    <row r="2825" spans="1:14" x14ac:dyDescent="0.15">
      <c r="A2825" t="s">
        <v>15664</v>
      </c>
      <c r="B2825" t="s">
        <v>15667</v>
      </c>
      <c r="C2825" t="s">
        <v>15679</v>
      </c>
      <c r="D2825" t="s">
        <v>23</v>
      </c>
      <c r="E2825" t="s">
        <v>15680</v>
      </c>
      <c r="F2825" s="5">
        <v>2369000</v>
      </c>
      <c r="G2825" s="5">
        <v>2369000</v>
      </c>
      <c r="H2825" t="s">
        <v>145</v>
      </c>
      <c r="I2825" s="2" t="e">
        <f t="shared" si="214"/>
        <v>#VALUE!</v>
      </c>
      <c r="J2825" s="4">
        <v>2146200</v>
      </c>
      <c r="K2825" s="2">
        <f t="shared" si="215"/>
        <v>0.90595187842971714</v>
      </c>
      <c r="L2825" t="s">
        <v>12561</v>
      </c>
      <c r="M2825" t="s">
        <v>21</v>
      </c>
      <c r="N2825" t="b">
        <f t="shared" si="216"/>
        <v>0</v>
      </c>
    </row>
    <row r="2826" spans="1:14" x14ac:dyDescent="0.15">
      <c r="A2826" t="s">
        <v>15681</v>
      </c>
      <c r="B2826" t="s">
        <v>15684</v>
      </c>
      <c r="C2826" t="s">
        <v>15682</v>
      </c>
      <c r="D2826" t="s">
        <v>23</v>
      </c>
      <c r="E2826" t="s">
        <v>15683</v>
      </c>
      <c r="F2826" s="5" t="s">
        <v>145</v>
      </c>
      <c r="G2826" s="5">
        <v>3348000</v>
      </c>
      <c r="H2826" t="s">
        <v>145</v>
      </c>
      <c r="I2826" s="2" t="e">
        <f t="shared" si="214"/>
        <v>#VALUE!</v>
      </c>
      <c r="J2826" s="4">
        <v>2950000</v>
      </c>
      <c r="K2826" s="2">
        <f t="shared" si="215"/>
        <v>0.88112305854241335</v>
      </c>
      <c r="L2826" t="s">
        <v>1882</v>
      </c>
      <c r="M2826" t="s">
        <v>432</v>
      </c>
      <c r="N2826" t="b">
        <f t="shared" si="216"/>
        <v>1</v>
      </c>
    </row>
    <row r="2827" spans="1:14" x14ac:dyDescent="0.15">
      <c r="A2827" t="s">
        <v>15685</v>
      </c>
      <c r="B2827" t="s">
        <v>15688</v>
      </c>
      <c r="C2827" t="s">
        <v>15686</v>
      </c>
      <c r="D2827" t="s">
        <v>23</v>
      </c>
      <c r="E2827" t="s">
        <v>15687</v>
      </c>
      <c r="F2827" s="5">
        <f t="shared" ref="F2827:F2830" si="217">G2827</f>
        <v>9734000</v>
      </c>
      <c r="G2827" s="5">
        <v>9734000</v>
      </c>
      <c r="I2827" s="2">
        <f t="shared" si="214"/>
        <v>0</v>
      </c>
      <c r="J2827" s="4">
        <v>8900000</v>
      </c>
      <c r="K2827" s="2">
        <f t="shared" si="215"/>
        <v>0.91432093692212857</v>
      </c>
      <c r="L2827" t="s">
        <v>1208</v>
      </c>
      <c r="M2827" t="s">
        <v>165</v>
      </c>
      <c r="N2827" t="b">
        <f t="shared" si="216"/>
        <v>0</v>
      </c>
    </row>
    <row r="2828" spans="1:14" x14ac:dyDescent="0.15">
      <c r="A2828" t="s">
        <v>15685</v>
      </c>
      <c r="B2828" t="s">
        <v>15688</v>
      </c>
      <c r="C2828" t="s">
        <v>14695</v>
      </c>
      <c r="D2828" t="s">
        <v>23</v>
      </c>
      <c r="E2828" t="s">
        <v>15689</v>
      </c>
      <c r="F2828" s="5">
        <f t="shared" si="217"/>
        <v>13860000</v>
      </c>
      <c r="G2828" s="5">
        <v>13860000</v>
      </c>
      <c r="I2828" s="2">
        <f t="shared" si="214"/>
        <v>0</v>
      </c>
      <c r="J2828" s="4">
        <v>13000000</v>
      </c>
      <c r="K2828" s="2">
        <f t="shared" si="215"/>
        <v>0.93795093795093798</v>
      </c>
      <c r="L2828" t="s">
        <v>263</v>
      </c>
      <c r="M2828" t="s">
        <v>165</v>
      </c>
      <c r="N2828" t="b">
        <f t="shared" si="216"/>
        <v>0</v>
      </c>
    </row>
    <row r="2829" spans="1:14" x14ac:dyDescent="0.15">
      <c r="A2829" t="s">
        <v>15685</v>
      </c>
      <c r="B2829" t="s">
        <v>15688</v>
      </c>
      <c r="C2829" t="s">
        <v>15690</v>
      </c>
      <c r="D2829" t="s">
        <v>23</v>
      </c>
      <c r="E2829" t="s">
        <v>15691</v>
      </c>
      <c r="F2829" s="5">
        <f t="shared" si="217"/>
        <v>5904000</v>
      </c>
      <c r="G2829" s="5">
        <v>5904000</v>
      </c>
      <c r="I2829" s="2">
        <f t="shared" si="214"/>
        <v>0</v>
      </c>
      <c r="J2829" s="4">
        <v>5470000</v>
      </c>
      <c r="K2829" s="2">
        <f t="shared" si="215"/>
        <v>0.926490514905149</v>
      </c>
      <c r="L2829" t="s">
        <v>1208</v>
      </c>
      <c r="M2829" t="s">
        <v>432</v>
      </c>
      <c r="N2829" t="b">
        <f t="shared" si="216"/>
        <v>0</v>
      </c>
    </row>
    <row r="2830" spans="1:14" x14ac:dyDescent="0.15">
      <c r="A2830" t="s">
        <v>15685</v>
      </c>
      <c r="B2830" t="s">
        <v>15688</v>
      </c>
      <c r="C2830" t="s">
        <v>15692</v>
      </c>
      <c r="D2830" t="s">
        <v>23</v>
      </c>
      <c r="E2830" t="s">
        <v>15693</v>
      </c>
      <c r="F2830" s="5">
        <f t="shared" si="217"/>
        <v>1749000</v>
      </c>
      <c r="G2830" s="5">
        <v>1749000</v>
      </c>
      <c r="I2830" s="2">
        <f t="shared" si="214"/>
        <v>0</v>
      </c>
      <c r="J2830" s="4">
        <v>1620000</v>
      </c>
      <c r="K2830" s="2">
        <f t="shared" si="215"/>
        <v>0.92624356775300176</v>
      </c>
      <c r="L2830" t="s">
        <v>1208</v>
      </c>
      <c r="M2830" t="s">
        <v>21</v>
      </c>
      <c r="N2830" t="b">
        <f t="shared" si="216"/>
        <v>0</v>
      </c>
    </row>
    <row r="2831" spans="1:14" x14ac:dyDescent="0.15">
      <c r="A2831" t="s">
        <v>15694</v>
      </c>
      <c r="B2831" t="s">
        <v>15697</v>
      </c>
      <c r="C2831" t="s">
        <v>15695</v>
      </c>
      <c r="D2831" t="s">
        <v>23</v>
      </c>
      <c r="E2831" t="s">
        <v>15696</v>
      </c>
      <c r="F2831" s="5">
        <v>15662000</v>
      </c>
      <c r="G2831" s="5">
        <v>15662000</v>
      </c>
      <c r="H2831" s="4">
        <v>12507000</v>
      </c>
      <c r="I2831" s="2">
        <f t="shared" si="214"/>
        <v>0.79855701698378245</v>
      </c>
      <c r="J2831" s="4">
        <v>12507000</v>
      </c>
      <c r="K2831" s="2">
        <f t="shared" si="215"/>
        <v>0.79855701698378245</v>
      </c>
      <c r="L2831" t="s">
        <v>39</v>
      </c>
      <c r="M2831" t="s">
        <v>80</v>
      </c>
      <c r="N2831" t="b">
        <f t="shared" si="216"/>
        <v>0</v>
      </c>
    </row>
    <row r="2832" spans="1:14" x14ac:dyDescent="0.15">
      <c r="A2832" t="s">
        <v>15694</v>
      </c>
      <c r="B2832" t="s">
        <v>15697</v>
      </c>
      <c r="C2832" t="s">
        <v>15698</v>
      </c>
      <c r="D2832" t="s">
        <v>23</v>
      </c>
      <c r="E2832" t="s">
        <v>15699</v>
      </c>
      <c r="F2832" s="5">
        <v>1952000</v>
      </c>
      <c r="G2832" s="5">
        <v>1952000</v>
      </c>
      <c r="H2832" s="4">
        <v>1531000</v>
      </c>
      <c r="I2832" s="2">
        <f t="shared" si="214"/>
        <v>0.78432377049180324</v>
      </c>
      <c r="J2832" s="4">
        <v>1850000</v>
      </c>
      <c r="K2832" s="2">
        <f t="shared" si="215"/>
        <v>0.94774590163934425</v>
      </c>
      <c r="L2832" t="s">
        <v>15700</v>
      </c>
      <c r="M2832" t="s">
        <v>432</v>
      </c>
      <c r="N2832" t="b">
        <f t="shared" si="216"/>
        <v>0</v>
      </c>
    </row>
    <row r="2833" spans="1:14" x14ac:dyDescent="0.15">
      <c r="A2833" t="s">
        <v>15694</v>
      </c>
      <c r="B2833" t="s">
        <v>15697</v>
      </c>
      <c r="C2833" t="s">
        <v>15695</v>
      </c>
      <c r="D2833" t="s">
        <v>23</v>
      </c>
      <c r="E2833" t="s">
        <v>15701</v>
      </c>
      <c r="F2833" s="5">
        <v>12050000</v>
      </c>
      <c r="G2833" s="5">
        <v>12050000</v>
      </c>
      <c r="H2833" s="4">
        <v>9640000</v>
      </c>
      <c r="I2833" s="2">
        <f t="shared" si="214"/>
        <v>0.8</v>
      </c>
      <c r="J2833" s="4">
        <v>9640000</v>
      </c>
      <c r="K2833" s="2">
        <f t="shared" si="215"/>
        <v>0.8</v>
      </c>
      <c r="L2833" t="s">
        <v>263</v>
      </c>
      <c r="M2833" t="s">
        <v>126</v>
      </c>
      <c r="N2833" t="b">
        <f t="shared" si="216"/>
        <v>0</v>
      </c>
    </row>
    <row r="2834" spans="1:14" x14ac:dyDescent="0.15">
      <c r="A2834" t="s">
        <v>15694</v>
      </c>
      <c r="B2834" t="s">
        <v>15697</v>
      </c>
      <c r="C2834" t="s">
        <v>15702</v>
      </c>
      <c r="D2834" t="s">
        <v>23</v>
      </c>
      <c r="E2834" t="s">
        <v>15633</v>
      </c>
      <c r="F2834" s="5">
        <v>9999000</v>
      </c>
      <c r="G2834" s="5">
        <v>9999000</v>
      </c>
      <c r="H2834" s="4">
        <v>7964000</v>
      </c>
      <c r="I2834" s="2">
        <f t="shared" si="214"/>
        <v>0.79647964796479653</v>
      </c>
      <c r="J2834" s="4">
        <v>7964000</v>
      </c>
      <c r="K2834" s="2">
        <f t="shared" si="215"/>
        <v>0.79647964796479653</v>
      </c>
      <c r="L2834" t="s">
        <v>2406</v>
      </c>
      <c r="M2834" t="s">
        <v>80</v>
      </c>
      <c r="N2834" t="b">
        <f t="shared" si="216"/>
        <v>0</v>
      </c>
    </row>
    <row r="2835" spans="1:14" x14ac:dyDescent="0.15">
      <c r="A2835" t="s">
        <v>15703</v>
      </c>
      <c r="B2835" t="s">
        <v>15706</v>
      </c>
      <c r="C2835" t="s">
        <v>15704</v>
      </c>
      <c r="D2835" t="s">
        <v>118</v>
      </c>
      <c r="E2835" t="s">
        <v>15705</v>
      </c>
      <c r="F2835" s="5">
        <v>8730000</v>
      </c>
      <c r="G2835" s="5">
        <v>8730000</v>
      </c>
      <c r="I2835" s="2">
        <f t="shared" si="214"/>
        <v>0</v>
      </c>
      <c r="J2835" s="4">
        <v>4800000</v>
      </c>
      <c r="K2835" s="2">
        <f t="shared" si="215"/>
        <v>0.54982817869415812</v>
      </c>
      <c r="L2835" t="s">
        <v>48</v>
      </c>
      <c r="M2835" t="s">
        <v>126</v>
      </c>
      <c r="N2835" t="b">
        <f t="shared" si="216"/>
        <v>0</v>
      </c>
    </row>
    <row r="2836" spans="1:14" x14ac:dyDescent="0.15">
      <c r="A2836" t="s">
        <v>15703</v>
      </c>
      <c r="B2836" t="s">
        <v>15706</v>
      </c>
      <c r="C2836" t="s">
        <v>15707</v>
      </c>
      <c r="D2836" t="s">
        <v>118</v>
      </c>
      <c r="E2836" t="s">
        <v>15708</v>
      </c>
      <c r="F2836" s="5">
        <v>2974000</v>
      </c>
      <c r="G2836" s="5">
        <v>2974000</v>
      </c>
      <c r="I2836" s="2">
        <f t="shared" si="214"/>
        <v>0</v>
      </c>
      <c r="J2836" s="4">
        <v>2750000</v>
      </c>
      <c r="K2836" s="2">
        <f t="shared" si="215"/>
        <v>0.92468056489576334</v>
      </c>
      <c r="L2836" t="s">
        <v>4797</v>
      </c>
      <c r="M2836" t="s">
        <v>21</v>
      </c>
      <c r="N2836" t="b">
        <f t="shared" si="216"/>
        <v>0</v>
      </c>
    </row>
    <row r="2837" spans="1:14" x14ac:dyDescent="0.15">
      <c r="A2837" t="s">
        <v>15703</v>
      </c>
      <c r="B2837" t="s">
        <v>15706</v>
      </c>
      <c r="C2837" t="s">
        <v>15709</v>
      </c>
      <c r="D2837" t="s">
        <v>118</v>
      </c>
      <c r="E2837" t="s">
        <v>15710</v>
      </c>
      <c r="F2837" s="5">
        <v>3675000</v>
      </c>
      <c r="G2837" s="5">
        <v>3675000</v>
      </c>
      <c r="I2837" s="2">
        <f t="shared" si="214"/>
        <v>0</v>
      </c>
      <c r="J2837" s="4">
        <v>3300000</v>
      </c>
      <c r="K2837" s="2">
        <f t="shared" si="215"/>
        <v>0.89795918367346939</v>
      </c>
      <c r="L2837" t="s">
        <v>4797</v>
      </c>
      <c r="M2837" t="s">
        <v>1015</v>
      </c>
      <c r="N2837" t="b">
        <f t="shared" si="216"/>
        <v>0</v>
      </c>
    </row>
    <row r="2838" spans="1:14" x14ac:dyDescent="0.15">
      <c r="A2838" t="s">
        <v>15703</v>
      </c>
      <c r="B2838" t="s">
        <v>15706</v>
      </c>
      <c r="C2838" t="s">
        <v>15711</v>
      </c>
      <c r="D2838" t="s">
        <v>118</v>
      </c>
      <c r="E2838" t="s">
        <v>15712</v>
      </c>
      <c r="F2838" s="5">
        <v>5510000</v>
      </c>
      <c r="G2838" s="5">
        <v>5510000</v>
      </c>
      <c r="I2838" s="2">
        <f t="shared" si="214"/>
        <v>0</v>
      </c>
      <c r="J2838" s="4">
        <v>3750000</v>
      </c>
      <c r="K2838" s="2">
        <f t="shared" si="215"/>
        <v>0.68058076225045372</v>
      </c>
      <c r="L2838" t="s">
        <v>5198</v>
      </c>
      <c r="M2838" t="s">
        <v>174</v>
      </c>
      <c r="N2838" t="b">
        <f t="shared" si="216"/>
        <v>0</v>
      </c>
    </row>
    <row r="2839" spans="1:14" x14ac:dyDescent="0.15">
      <c r="A2839" t="s">
        <v>15703</v>
      </c>
      <c r="B2839" t="s">
        <v>15706</v>
      </c>
      <c r="C2839" t="s">
        <v>15713</v>
      </c>
      <c r="D2839" t="s">
        <v>118</v>
      </c>
      <c r="E2839" t="s">
        <v>15714</v>
      </c>
      <c r="F2839" s="5">
        <v>12470000</v>
      </c>
      <c r="G2839" s="5">
        <v>12470000</v>
      </c>
      <c r="I2839" s="2">
        <f t="shared" si="214"/>
        <v>0</v>
      </c>
      <c r="J2839" s="4">
        <v>8000000</v>
      </c>
      <c r="K2839" s="2">
        <f t="shared" si="215"/>
        <v>0.64153969526864474</v>
      </c>
      <c r="L2839" t="s">
        <v>10326</v>
      </c>
      <c r="M2839" t="s">
        <v>174</v>
      </c>
      <c r="N2839" t="b">
        <f t="shared" si="216"/>
        <v>0</v>
      </c>
    </row>
    <row r="2840" spans="1:14" x14ac:dyDescent="0.15">
      <c r="A2840" t="s">
        <v>15703</v>
      </c>
      <c r="B2840" t="s">
        <v>15706</v>
      </c>
      <c r="C2840" t="s">
        <v>13260</v>
      </c>
      <c r="D2840" t="s">
        <v>118</v>
      </c>
      <c r="E2840" t="s">
        <v>15715</v>
      </c>
      <c r="F2840" s="5">
        <v>6001000</v>
      </c>
      <c r="G2840" s="5">
        <v>6001000</v>
      </c>
      <c r="I2840" s="2">
        <f t="shared" si="214"/>
        <v>0</v>
      </c>
      <c r="J2840" s="4">
        <v>3770000</v>
      </c>
      <c r="K2840" s="2">
        <f t="shared" si="215"/>
        <v>0.62822862856190631</v>
      </c>
      <c r="L2840" t="s">
        <v>15716</v>
      </c>
      <c r="M2840" t="s">
        <v>432</v>
      </c>
      <c r="N2840" t="b">
        <f t="shared" si="216"/>
        <v>0</v>
      </c>
    </row>
    <row r="2841" spans="1:14" x14ac:dyDescent="0.15">
      <c r="A2841" t="s">
        <v>15703</v>
      </c>
      <c r="B2841" t="s">
        <v>15706</v>
      </c>
      <c r="C2841" t="s">
        <v>15717</v>
      </c>
      <c r="D2841" t="s">
        <v>23</v>
      </c>
      <c r="E2841" t="s">
        <v>15718</v>
      </c>
      <c r="F2841" s="5">
        <v>1270000</v>
      </c>
      <c r="G2841" s="5">
        <v>1270000</v>
      </c>
      <c r="I2841" s="2">
        <f t="shared" si="214"/>
        <v>0</v>
      </c>
      <c r="J2841" s="4">
        <v>1180000</v>
      </c>
      <c r="K2841" s="2">
        <f t="shared" si="215"/>
        <v>0.92913385826771655</v>
      </c>
      <c r="L2841" t="s">
        <v>15719</v>
      </c>
      <c r="M2841" t="s">
        <v>165</v>
      </c>
      <c r="N2841" t="b">
        <f t="shared" si="216"/>
        <v>0</v>
      </c>
    </row>
    <row r="2842" spans="1:14" x14ac:dyDescent="0.15">
      <c r="A2842" t="s">
        <v>15720</v>
      </c>
      <c r="B2842" t="s">
        <v>15723</v>
      </c>
      <c r="C2842" t="s">
        <v>15721</v>
      </c>
      <c r="D2842" t="s">
        <v>23</v>
      </c>
      <c r="E2842" t="s">
        <v>15722</v>
      </c>
      <c r="F2842" s="5">
        <f t="shared" ref="F2842:F2844" si="218">G2842</f>
        <v>8170000</v>
      </c>
      <c r="G2842" s="5">
        <v>8170000</v>
      </c>
      <c r="I2842" s="2">
        <f t="shared" si="214"/>
        <v>0</v>
      </c>
      <c r="J2842" s="4">
        <v>7600000</v>
      </c>
      <c r="K2842" s="2">
        <f t="shared" si="215"/>
        <v>0.93023255813953487</v>
      </c>
      <c r="L2842" t="s">
        <v>15724</v>
      </c>
      <c r="M2842" t="s">
        <v>80</v>
      </c>
      <c r="N2842" t="b">
        <f t="shared" si="216"/>
        <v>0</v>
      </c>
    </row>
    <row r="2843" spans="1:14" x14ac:dyDescent="0.15">
      <c r="A2843" t="s">
        <v>15720</v>
      </c>
      <c r="B2843" t="s">
        <v>15723</v>
      </c>
      <c r="C2843" t="s">
        <v>15725</v>
      </c>
      <c r="D2843" t="s">
        <v>23</v>
      </c>
      <c r="E2843" t="s">
        <v>15726</v>
      </c>
      <c r="F2843" s="5">
        <f t="shared" si="218"/>
        <v>5377000</v>
      </c>
      <c r="G2843" s="5">
        <v>5377000</v>
      </c>
      <c r="I2843" s="2">
        <f t="shared" si="214"/>
        <v>0</v>
      </c>
      <c r="J2843" s="4">
        <v>4750000</v>
      </c>
      <c r="K2843" s="2">
        <f t="shared" si="215"/>
        <v>0.88339222614840984</v>
      </c>
      <c r="L2843" t="s">
        <v>633</v>
      </c>
      <c r="M2843" t="s">
        <v>192</v>
      </c>
      <c r="N2843" t="b">
        <f t="shared" si="216"/>
        <v>0</v>
      </c>
    </row>
    <row r="2844" spans="1:14" x14ac:dyDescent="0.15">
      <c r="A2844" t="s">
        <v>15720</v>
      </c>
      <c r="B2844" t="s">
        <v>15723</v>
      </c>
      <c r="C2844" t="s">
        <v>15727</v>
      </c>
      <c r="D2844" t="s">
        <v>23</v>
      </c>
      <c r="E2844" t="s">
        <v>15728</v>
      </c>
      <c r="F2844" s="5">
        <f t="shared" si="218"/>
        <v>10899000</v>
      </c>
      <c r="G2844" s="5">
        <v>10899000</v>
      </c>
      <c r="I2844" s="2">
        <f t="shared" si="214"/>
        <v>0</v>
      </c>
      <c r="J2844" s="4">
        <v>9800000</v>
      </c>
      <c r="K2844" s="2">
        <f t="shared" si="215"/>
        <v>0.899165061014772</v>
      </c>
      <c r="L2844" t="s">
        <v>2375</v>
      </c>
      <c r="M2844" t="s">
        <v>80</v>
      </c>
      <c r="N2844" t="b">
        <f t="shared" si="216"/>
        <v>0</v>
      </c>
    </row>
    <row r="2845" spans="1:14" x14ac:dyDescent="0.15">
      <c r="A2845" t="s">
        <v>15729</v>
      </c>
      <c r="B2845" t="s">
        <v>15732</v>
      </c>
      <c r="C2845" t="s">
        <v>15730</v>
      </c>
      <c r="D2845" t="s">
        <v>23</v>
      </c>
      <c r="E2845" t="s">
        <v>15731</v>
      </c>
      <c r="F2845" s="5">
        <v>12880000</v>
      </c>
      <c r="G2845" s="5" t="s">
        <v>145</v>
      </c>
      <c r="I2845" s="2" t="e">
        <f t="shared" si="214"/>
        <v>#VALUE!</v>
      </c>
      <c r="J2845" s="4">
        <v>12000000</v>
      </c>
      <c r="K2845" s="2" t="e">
        <f t="shared" si="215"/>
        <v>#VALUE!</v>
      </c>
      <c r="L2845" t="s">
        <v>10326</v>
      </c>
      <c r="M2845" t="s">
        <v>174</v>
      </c>
      <c r="N2845" t="b">
        <f t="shared" si="216"/>
        <v>1</v>
      </c>
    </row>
    <row r="2846" spans="1:14" x14ac:dyDescent="0.15">
      <c r="A2846" t="s">
        <v>15729</v>
      </c>
      <c r="B2846" t="s">
        <v>15732</v>
      </c>
      <c r="C2846" t="s">
        <v>15733</v>
      </c>
      <c r="D2846" t="s">
        <v>23</v>
      </c>
      <c r="E2846" t="s">
        <v>15734</v>
      </c>
      <c r="F2846" s="5">
        <v>1173000</v>
      </c>
      <c r="G2846" s="5" t="s">
        <v>145</v>
      </c>
      <c r="I2846" s="2" t="e">
        <f t="shared" si="214"/>
        <v>#VALUE!</v>
      </c>
      <c r="J2846" s="4">
        <v>1070000</v>
      </c>
      <c r="K2846" s="2" t="e">
        <f t="shared" si="215"/>
        <v>#VALUE!</v>
      </c>
      <c r="L2846" t="s">
        <v>12716</v>
      </c>
      <c r="M2846" t="s">
        <v>174</v>
      </c>
      <c r="N2846" t="b">
        <f t="shared" si="216"/>
        <v>1</v>
      </c>
    </row>
    <row r="2847" spans="1:14" x14ac:dyDescent="0.15">
      <c r="A2847" t="s">
        <v>15729</v>
      </c>
      <c r="B2847" t="s">
        <v>15732</v>
      </c>
      <c r="C2847" t="s">
        <v>15735</v>
      </c>
      <c r="D2847" t="s">
        <v>23</v>
      </c>
      <c r="E2847" t="s">
        <v>15736</v>
      </c>
      <c r="F2847" s="5">
        <v>9780000</v>
      </c>
      <c r="G2847" s="5" t="s">
        <v>145</v>
      </c>
      <c r="I2847" s="2" t="e">
        <f t="shared" si="214"/>
        <v>#VALUE!</v>
      </c>
      <c r="J2847" s="4">
        <v>9100000</v>
      </c>
      <c r="K2847" s="2" t="e">
        <f t="shared" si="215"/>
        <v>#VALUE!</v>
      </c>
      <c r="L2847" t="s">
        <v>10326</v>
      </c>
      <c r="M2847" t="s">
        <v>165</v>
      </c>
      <c r="N2847" t="b">
        <f t="shared" si="216"/>
        <v>1</v>
      </c>
    </row>
    <row r="2848" spans="1:14" x14ac:dyDescent="0.15">
      <c r="A2848" t="s">
        <v>15729</v>
      </c>
      <c r="B2848" t="s">
        <v>15732</v>
      </c>
      <c r="C2848" t="s">
        <v>15737</v>
      </c>
      <c r="D2848" t="s">
        <v>23</v>
      </c>
      <c r="E2848" t="s">
        <v>15738</v>
      </c>
      <c r="F2848" s="5">
        <v>7424000</v>
      </c>
      <c r="G2848" s="5" t="s">
        <v>145</v>
      </c>
      <c r="I2848" s="2" t="e">
        <f t="shared" si="214"/>
        <v>#VALUE!</v>
      </c>
      <c r="J2848" s="4">
        <v>6980000</v>
      </c>
      <c r="K2848" s="2" t="e">
        <f t="shared" si="215"/>
        <v>#VALUE!</v>
      </c>
      <c r="L2848" t="s">
        <v>332</v>
      </c>
      <c r="M2848" t="s">
        <v>165</v>
      </c>
      <c r="N2848" t="b">
        <f t="shared" si="216"/>
        <v>1</v>
      </c>
    </row>
    <row r="2849" spans="1:14" x14ac:dyDescent="0.15">
      <c r="A2849" t="s">
        <v>15729</v>
      </c>
      <c r="B2849" t="s">
        <v>15732</v>
      </c>
      <c r="C2849" t="s">
        <v>15739</v>
      </c>
      <c r="D2849" t="s">
        <v>23</v>
      </c>
      <c r="E2849" t="s">
        <v>15740</v>
      </c>
      <c r="F2849" s="5">
        <v>10300000</v>
      </c>
      <c r="G2849" s="5" t="s">
        <v>145</v>
      </c>
      <c r="I2849" s="2" t="e">
        <f t="shared" si="214"/>
        <v>#VALUE!</v>
      </c>
      <c r="J2849" s="4">
        <v>9500000</v>
      </c>
      <c r="K2849" s="2" t="e">
        <f t="shared" si="215"/>
        <v>#VALUE!</v>
      </c>
      <c r="L2849" t="s">
        <v>10326</v>
      </c>
      <c r="M2849" t="s">
        <v>165</v>
      </c>
      <c r="N2849" t="b">
        <f t="shared" si="216"/>
        <v>1</v>
      </c>
    </row>
    <row r="2850" spans="1:14" x14ac:dyDescent="0.15">
      <c r="A2850" t="s">
        <v>15729</v>
      </c>
      <c r="B2850" t="s">
        <v>15732</v>
      </c>
      <c r="C2850" t="s">
        <v>15741</v>
      </c>
      <c r="D2850" t="s">
        <v>23</v>
      </c>
      <c r="E2850" t="s">
        <v>15742</v>
      </c>
      <c r="F2850" s="5">
        <v>18980000</v>
      </c>
      <c r="G2850" s="5" t="s">
        <v>145</v>
      </c>
      <c r="I2850" s="2" t="e">
        <f t="shared" si="214"/>
        <v>#VALUE!</v>
      </c>
      <c r="J2850" s="4">
        <v>17650000</v>
      </c>
      <c r="K2850" s="2" t="e">
        <f t="shared" si="215"/>
        <v>#VALUE!</v>
      </c>
      <c r="L2850" t="s">
        <v>10326</v>
      </c>
      <c r="M2850" t="s">
        <v>174</v>
      </c>
      <c r="N2850" t="b">
        <f t="shared" si="216"/>
        <v>1</v>
      </c>
    </row>
    <row r="2851" spans="1:14" x14ac:dyDescent="0.15">
      <c r="A2851" t="s">
        <v>15729</v>
      </c>
      <c r="B2851" t="s">
        <v>15732</v>
      </c>
      <c r="C2851" t="s">
        <v>15743</v>
      </c>
      <c r="D2851" t="s">
        <v>23</v>
      </c>
      <c r="E2851" t="s">
        <v>15744</v>
      </c>
      <c r="F2851" s="5">
        <v>5690000</v>
      </c>
      <c r="G2851" s="5" t="s">
        <v>145</v>
      </c>
      <c r="I2851" s="2" t="e">
        <f t="shared" si="214"/>
        <v>#VALUE!</v>
      </c>
      <c r="J2851" s="4">
        <v>5200000</v>
      </c>
      <c r="K2851" s="2" t="e">
        <f t="shared" si="215"/>
        <v>#VALUE!</v>
      </c>
      <c r="L2851" t="s">
        <v>10326</v>
      </c>
      <c r="M2851" t="s">
        <v>165</v>
      </c>
      <c r="N2851" t="b">
        <f t="shared" si="216"/>
        <v>1</v>
      </c>
    </row>
    <row r="2852" spans="1:14" x14ac:dyDescent="0.15">
      <c r="A2852" t="s">
        <v>15729</v>
      </c>
      <c r="B2852" t="s">
        <v>15732</v>
      </c>
      <c r="C2852" t="s">
        <v>15745</v>
      </c>
      <c r="D2852" t="s">
        <v>23</v>
      </c>
      <c r="E2852" t="s">
        <v>15746</v>
      </c>
      <c r="F2852" s="5">
        <v>2000000</v>
      </c>
      <c r="G2852" s="5" t="s">
        <v>145</v>
      </c>
      <c r="I2852" s="2" t="e">
        <f t="shared" si="214"/>
        <v>#VALUE!</v>
      </c>
      <c r="J2852" s="4">
        <v>1850000</v>
      </c>
      <c r="K2852" s="2" t="e">
        <f t="shared" si="215"/>
        <v>#VALUE!</v>
      </c>
      <c r="L2852" t="s">
        <v>10326</v>
      </c>
      <c r="M2852" t="s">
        <v>432</v>
      </c>
      <c r="N2852" t="b">
        <f t="shared" si="216"/>
        <v>1</v>
      </c>
    </row>
    <row r="2853" spans="1:14" x14ac:dyDescent="0.15">
      <c r="A2853" t="s">
        <v>15729</v>
      </c>
      <c r="B2853" t="s">
        <v>15732</v>
      </c>
      <c r="C2853" t="s">
        <v>15747</v>
      </c>
      <c r="D2853" t="s">
        <v>23</v>
      </c>
      <c r="E2853" t="s">
        <v>15748</v>
      </c>
      <c r="F2853" s="5">
        <v>9837000</v>
      </c>
      <c r="G2853" s="5" t="s">
        <v>145</v>
      </c>
      <c r="I2853" s="2" t="e">
        <f t="shared" si="214"/>
        <v>#VALUE!</v>
      </c>
      <c r="J2853" s="4">
        <v>9250000</v>
      </c>
      <c r="K2853" s="2" t="e">
        <f t="shared" si="215"/>
        <v>#VALUE!</v>
      </c>
      <c r="L2853" t="s">
        <v>1679</v>
      </c>
      <c r="M2853" t="s">
        <v>165</v>
      </c>
      <c r="N2853" t="b">
        <f t="shared" si="216"/>
        <v>1</v>
      </c>
    </row>
    <row r="2854" spans="1:14" x14ac:dyDescent="0.15">
      <c r="A2854" t="s">
        <v>15729</v>
      </c>
      <c r="B2854" t="s">
        <v>15732</v>
      </c>
      <c r="C2854" t="s">
        <v>15749</v>
      </c>
      <c r="D2854" t="s">
        <v>23</v>
      </c>
      <c r="E2854" t="s">
        <v>15750</v>
      </c>
      <c r="F2854" s="5">
        <v>3586000</v>
      </c>
      <c r="G2854" s="5" t="s">
        <v>145</v>
      </c>
      <c r="I2854" s="2" t="e">
        <f t="shared" si="214"/>
        <v>#VALUE!</v>
      </c>
      <c r="J2854" s="4">
        <v>3380000</v>
      </c>
      <c r="K2854" s="2" t="e">
        <f t="shared" si="215"/>
        <v>#VALUE!</v>
      </c>
      <c r="L2854" t="s">
        <v>2267</v>
      </c>
      <c r="M2854" t="s">
        <v>165</v>
      </c>
      <c r="N2854" t="b">
        <f t="shared" si="216"/>
        <v>1</v>
      </c>
    </row>
    <row r="2855" spans="1:14" x14ac:dyDescent="0.15">
      <c r="A2855" t="s">
        <v>15729</v>
      </c>
      <c r="B2855" t="s">
        <v>15732</v>
      </c>
      <c r="C2855" t="s">
        <v>15751</v>
      </c>
      <c r="D2855" t="s">
        <v>23</v>
      </c>
      <c r="E2855" t="s">
        <v>15752</v>
      </c>
      <c r="F2855" s="5">
        <v>3088000</v>
      </c>
      <c r="G2855" s="5" t="s">
        <v>145</v>
      </c>
      <c r="I2855" s="2" t="e">
        <f t="shared" si="214"/>
        <v>#VALUE!</v>
      </c>
      <c r="J2855" s="4">
        <v>2850000</v>
      </c>
      <c r="K2855" s="2" t="e">
        <f t="shared" si="215"/>
        <v>#VALUE!</v>
      </c>
      <c r="L2855" t="s">
        <v>4827</v>
      </c>
      <c r="M2855" t="s">
        <v>432</v>
      </c>
      <c r="N2855" t="b">
        <f t="shared" si="216"/>
        <v>1</v>
      </c>
    </row>
    <row r="2856" spans="1:14" x14ac:dyDescent="0.15">
      <c r="A2856" t="s">
        <v>15729</v>
      </c>
      <c r="B2856" t="s">
        <v>15732</v>
      </c>
      <c r="C2856" t="s">
        <v>15753</v>
      </c>
      <c r="D2856" t="s">
        <v>23</v>
      </c>
      <c r="E2856" t="s">
        <v>15754</v>
      </c>
      <c r="F2856" s="5">
        <v>21155000</v>
      </c>
      <c r="G2856" s="5" t="s">
        <v>145</v>
      </c>
      <c r="I2856" s="2" t="e">
        <f t="shared" si="214"/>
        <v>#VALUE!</v>
      </c>
      <c r="J2856" s="4">
        <v>13980000</v>
      </c>
      <c r="K2856" s="2" t="e">
        <f t="shared" si="215"/>
        <v>#VALUE!</v>
      </c>
      <c r="L2856" t="s">
        <v>298</v>
      </c>
      <c r="M2856" t="s">
        <v>174</v>
      </c>
      <c r="N2856" t="b">
        <f t="shared" si="216"/>
        <v>1</v>
      </c>
    </row>
    <row r="2857" spans="1:14" x14ac:dyDescent="0.15">
      <c r="A2857" t="s">
        <v>15729</v>
      </c>
      <c r="B2857" t="s">
        <v>15732</v>
      </c>
      <c r="C2857" t="s">
        <v>15755</v>
      </c>
      <c r="D2857" t="s">
        <v>23</v>
      </c>
      <c r="E2857" t="s">
        <v>15756</v>
      </c>
      <c r="F2857" s="5">
        <v>16780000</v>
      </c>
      <c r="G2857" s="5" t="s">
        <v>145</v>
      </c>
      <c r="I2857" s="2" t="e">
        <f t="shared" si="214"/>
        <v>#VALUE!</v>
      </c>
      <c r="J2857" s="4">
        <v>11700000</v>
      </c>
      <c r="K2857" s="2" t="e">
        <f t="shared" si="215"/>
        <v>#VALUE!</v>
      </c>
      <c r="L2857" t="s">
        <v>4797</v>
      </c>
      <c r="M2857" t="s">
        <v>174</v>
      </c>
      <c r="N2857" t="b">
        <f t="shared" si="216"/>
        <v>1</v>
      </c>
    </row>
    <row r="2858" spans="1:14" x14ac:dyDescent="0.15">
      <c r="A2858" t="s">
        <v>15729</v>
      </c>
      <c r="B2858" t="s">
        <v>15732</v>
      </c>
      <c r="C2858" t="s">
        <v>15757</v>
      </c>
      <c r="D2858" t="s">
        <v>23</v>
      </c>
      <c r="E2858" t="s">
        <v>15758</v>
      </c>
      <c r="F2858" s="5">
        <v>9111000</v>
      </c>
      <c r="G2858" s="5" t="s">
        <v>145</v>
      </c>
      <c r="I2858" s="2" t="e">
        <f t="shared" si="214"/>
        <v>#VALUE!</v>
      </c>
      <c r="J2858" s="4">
        <v>8800000</v>
      </c>
      <c r="K2858" s="2" t="e">
        <f t="shared" si="215"/>
        <v>#VALUE!</v>
      </c>
      <c r="L2858" t="s">
        <v>431</v>
      </c>
      <c r="M2858" t="s">
        <v>165</v>
      </c>
      <c r="N2858" t="b">
        <f t="shared" si="216"/>
        <v>1</v>
      </c>
    </row>
    <row r="2859" spans="1:14" x14ac:dyDescent="0.15">
      <c r="A2859" t="s">
        <v>15729</v>
      </c>
      <c r="B2859" t="s">
        <v>15732</v>
      </c>
      <c r="C2859" t="s">
        <v>15759</v>
      </c>
      <c r="D2859" t="s">
        <v>23</v>
      </c>
      <c r="E2859" t="s">
        <v>15760</v>
      </c>
      <c r="F2859" s="5">
        <v>15730000</v>
      </c>
      <c r="G2859" s="5" t="s">
        <v>145</v>
      </c>
      <c r="I2859" s="2" t="e">
        <f t="shared" si="214"/>
        <v>#VALUE!</v>
      </c>
      <c r="J2859" s="4">
        <v>13650000</v>
      </c>
      <c r="K2859" s="2" t="e">
        <f t="shared" si="215"/>
        <v>#VALUE!</v>
      </c>
      <c r="L2859" t="s">
        <v>431</v>
      </c>
      <c r="M2859" t="s">
        <v>165</v>
      </c>
      <c r="N2859" t="b">
        <f t="shared" si="216"/>
        <v>1</v>
      </c>
    </row>
    <row r="2860" spans="1:14" x14ac:dyDescent="0.15">
      <c r="A2860" t="s">
        <v>15761</v>
      </c>
      <c r="B2860" t="s">
        <v>15764</v>
      </c>
      <c r="C2860" t="s">
        <v>15762</v>
      </c>
      <c r="D2860" t="s">
        <v>23</v>
      </c>
      <c r="E2860" t="s">
        <v>15763</v>
      </c>
      <c r="F2860" s="5">
        <v>9568000</v>
      </c>
      <c r="G2860" s="5">
        <v>9568000</v>
      </c>
      <c r="I2860" s="2">
        <f t="shared" si="214"/>
        <v>0</v>
      </c>
      <c r="J2860" s="4">
        <v>7980000</v>
      </c>
      <c r="K2860" s="2">
        <f t="shared" si="215"/>
        <v>0.83403010033444813</v>
      </c>
      <c r="L2860" t="s">
        <v>239</v>
      </c>
      <c r="M2860" t="s">
        <v>174</v>
      </c>
      <c r="N2860" t="b">
        <f t="shared" si="216"/>
        <v>0</v>
      </c>
    </row>
    <row r="2861" spans="1:14" x14ac:dyDescent="0.15">
      <c r="A2861" t="s">
        <v>15761</v>
      </c>
      <c r="B2861" t="s">
        <v>15764</v>
      </c>
      <c r="C2861" t="s">
        <v>15765</v>
      </c>
      <c r="D2861" t="s">
        <v>23</v>
      </c>
      <c r="E2861" t="s">
        <v>15766</v>
      </c>
      <c r="F2861" s="5">
        <v>2725000</v>
      </c>
      <c r="G2861" s="5">
        <v>2725000</v>
      </c>
      <c r="I2861" s="2">
        <f t="shared" si="214"/>
        <v>0</v>
      </c>
      <c r="J2861" s="4">
        <v>2500000</v>
      </c>
      <c r="K2861" s="2">
        <f t="shared" si="215"/>
        <v>0.91743119266055051</v>
      </c>
      <c r="L2861" t="s">
        <v>12490</v>
      </c>
      <c r="M2861" t="s">
        <v>432</v>
      </c>
      <c r="N2861" t="b">
        <f t="shared" si="216"/>
        <v>0</v>
      </c>
    </row>
    <row r="2862" spans="1:14" x14ac:dyDescent="0.15">
      <c r="A2862" t="s">
        <v>15761</v>
      </c>
      <c r="B2862" t="s">
        <v>15764</v>
      </c>
      <c r="C2862" t="s">
        <v>15767</v>
      </c>
      <c r="D2862" t="s">
        <v>23</v>
      </c>
      <c r="E2862" t="s">
        <v>15768</v>
      </c>
      <c r="F2862" s="5">
        <v>13532000</v>
      </c>
      <c r="G2862" s="5">
        <v>13532000</v>
      </c>
      <c r="I2862" s="2">
        <f t="shared" si="214"/>
        <v>0</v>
      </c>
      <c r="J2862" s="4">
        <v>12450000</v>
      </c>
      <c r="K2862" s="2">
        <f t="shared" si="215"/>
        <v>0.92004138338752584</v>
      </c>
      <c r="L2862" t="s">
        <v>125</v>
      </c>
      <c r="M2862" t="s">
        <v>432</v>
      </c>
      <c r="N2862" t="b">
        <f t="shared" si="216"/>
        <v>0</v>
      </c>
    </row>
    <row r="2863" spans="1:14" x14ac:dyDescent="0.15">
      <c r="A2863" t="s">
        <v>15761</v>
      </c>
      <c r="B2863" t="s">
        <v>15764</v>
      </c>
      <c r="C2863" t="s">
        <v>15769</v>
      </c>
      <c r="D2863" t="s">
        <v>23</v>
      </c>
      <c r="E2863" t="s">
        <v>15770</v>
      </c>
      <c r="F2863" s="5">
        <v>3028000</v>
      </c>
      <c r="G2863" s="5">
        <v>3028000</v>
      </c>
      <c r="I2863" s="2">
        <f t="shared" si="214"/>
        <v>0</v>
      </c>
      <c r="J2863" s="4">
        <v>2900000</v>
      </c>
      <c r="K2863" s="2">
        <f t="shared" si="215"/>
        <v>0.95772787318361952</v>
      </c>
      <c r="L2863" t="s">
        <v>15771</v>
      </c>
      <c r="M2863" t="s">
        <v>1015</v>
      </c>
      <c r="N2863" t="b">
        <f t="shared" si="216"/>
        <v>0</v>
      </c>
    </row>
    <row r="2864" spans="1:14" x14ac:dyDescent="0.15">
      <c r="A2864" t="s">
        <v>15761</v>
      </c>
      <c r="B2864" t="s">
        <v>15764</v>
      </c>
      <c r="C2864" t="s">
        <v>15772</v>
      </c>
      <c r="D2864" t="s">
        <v>23</v>
      </c>
      <c r="E2864" t="s">
        <v>15773</v>
      </c>
      <c r="F2864" s="5">
        <v>10593000</v>
      </c>
      <c r="G2864" s="5">
        <v>10593000</v>
      </c>
      <c r="I2864" s="2">
        <f t="shared" si="214"/>
        <v>0</v>
      </c>
      <c r="J2864" s="4">
        <v>7090000</v>
      </c>
      <c r="K2864" s="2">
        <f t="shared" si="215"/>
        <v>0.66930992164637026</v>
      </c>
      <c r="L2864" t="s">
        <v>64</v>
      </c>
      <c r="M2864" t="s">
        <v>192</v>
      </c>
      <c r="N2864" t="b">
        <f t="shared" si="216"/>
        <v>0</v>
      </c>
    </row>
    <row r="2865" spans="1:14" x14ac:dyDescent="0.15">
      <c r="A2865" t="s">
        <v>15761</v>
      </c>
      <c r="B2865" t="s">
        <v>15764</v>
      </c>
      <c r="C2865" t="s">
        <v>15774</v>
      </c>
      <c r="D2865" t="s">
        <v>23</v>
      </c>
      <c r="E2865" t="s">
        <v>15775</v>
      </c>
      <c r="F2865" s="5">
        <v>7540000</v>
      </c>
      <c r="G2865" s="5">
        <v>7540000</v>
      </c>
      <c r="I2865" s="2">
        <f t="shared" si="214"/>
        <v>0</v>
      </c>
      <c r="J2865" s="4">
        <v>7000000</v>
      </c>
      <c r="K2865" s="2">
        <f t="shared" si="215"/>
        <v>0.92838196286472152</v>
      </c>
      <c r="L2865" t="s">
        <v>10639</v>
      </c>
      <c r="M2865" t="s">
        <v>174</v>
      </c>
      <c r="N2865" t="b">
        <f t="shared" si="216"/>
        <v>0</v>
      </c>
    </row>
    <row r="2866" spans="1:14" x14ac:dyDescent="0.15">
      <c r="A2866" t="s">
        <v>15761</v>
      </c>
      <c r="B2866" t="s">
        <v>15764</v>
      </c>
      <c r="C2866" t="s">
        <v>15776</v>
      </c>
      <c r="D2866" t="s">
        <v>23</v>
      </c>
      <c r="E2866" t="s">
        <v>15777</v>
      </c>
      <c r="F2866" s="5">
        <v>10500000</v>
      </c>
      <c r="G2866" s="5">
        <v>10500000</v>
      </c>
      <c r="I2866" s="2">
        <f t="shared" si="214"/>
        <v>0</v>
      </c>
      <c r="J2866" s="4">
        <v>9700000</v>
      </c>
      <c r="K2866" s="2">
        <f t="shared" si="215"/>
        <v>0.92380952380952386</v>
      </c>
      <c r="L2866" t="s">
        <v>12490</v>
      </c>
      <c r="M2866" t="s">
        <v>174</v>
      </c>
      <c r="N2866" t="b">
        <f t="shared" si="216"/>
        <v>0</v>
      </c>
    </row>
    <row r="2867" spans="1:14" x14ac:dyDescent="0.15">
      <c r="A2867" t="s">
        <v>15761</v>
      </c>
      <c r="B2867" t="s">
        <v>15764</v>
      </c>
      <c r="C2867" t="s">
        <v>15778</v>
      </c>
      <c r="D2867" t="s">
        <v>23</v>
      </c>
      <c r="E2867" t="s">
        <v>15779</v>
      </c>
      <c r="F2867" s="5">
        <v>2430000</v>
      </c>
      <c r="G2867" s="5">
        <v>2430000</v>
      </c>
      <c r="I2867" s="2">
        <f t="shared" si="214"/>
        <v>0</v>
      </c>
      <c r="J2867" s="4">
        <v>2250000</v>
      </c>
      <c r="K2867" s="2">
        <f t="shared" si="215"/>
        <v>0.92592592592592593</v>
      </c>
      <c r="L2867" t="s">
        <v>15771</v>
      </c>
      <c r="M2867" t="s">
        <v>165</v>
      </c>
      <c r="N2867" t="b">
        <f t="shared" si="216"/>
        <v>0</v>
      </c>
    </row>
    <row r="2868" spans="1:14" x14ac:dyDescent="0.15">
      <c r="A2868" t="s">
        <v>15761</v>
      </c>
      <c r="B2868" t="s">
        <v>15764</v>
      </c>
      <c r="C2868" t="s">
        <v>14090</v>
      </c>
      <c r="D2868" t="s">
        <v>23</v>
      </c>
      <c r="E2868" t="s">
        <v>15780</v>
      </c>
      <c r="F2868" s="5">
        <v>19376000</v>
      </c>
      <c r="G2868" s="5">
        <v>19376000</v>
      </c>
      <c r="H2868" s="4">
        <v>15500000</v>
      </c>
      <c r="I2868" s="2">
        <f t="shared" si="214"/>
        <v>0.79995871180842282</v>
      </c>
      <c r="J2868" s="4">
        <v>15500000</v>
      </c>
      <c r="K2868" s="2">
        <f t="shared" si="215"/>
        <v>0.79995871180842282</v>
      </c>
      <c r="L2868" t="s">
        <v>633</v>
      </c>
      <c r="M2868" t="s">
        <v>165</v>
      </c>
      <c r="N2868" t="b">
        <f t="shared" si="216"/>
        <v>0</v>
      </c>
    </row>
    <row r="2869" spans="1:14" x14ac:dyDescent="0.15">
      <c r="A2869" t="s">
        <v>15761</v>
      </c>
      <c r="B2869" t="s">
        <v>15764</v>
      </c>
      <c r="C2869" t="s">
        <v>15781</v>
      </c>
      <c r="D2869" t="s">
        <v>23</v>
      </c>
      <c r="E2869" t="s">
        <v>15782</v>
      </c>
      <c r="F2869" s="5">
        <v>4987000</v>
      </c>
      <c r="G2869" s="5">
        <v>4987000</v>
      </c>
      <c r="I2869" s="2">
        <f t="shared" si="214"/>
        <v>0</v>
      </c>
      <c r="J2869" s="4">
        <v>4500000</v>
      </c>
      <c r="K2869" s="2">
        <f t="shared" si="215"/>
        <v>0.9023460998596351</v>
      </c>
      <c r="L2869" t="s">
        <v>10639</v>
      </c>
      <c r="M2869" t="s">
        <v>174</v>
      </c>
      <c r="N2869" t="b">
        <f t="shared" si="216"/>
        <v>0</v>
      </c>
    </row>
    <row r="2870" spans="1:14" x14ac:dyDescent="0.15">
      <c r="A2870" t="s">
        <v>15761</v>
      </c>
      <c r="B2870" t="s">
        <v>15764</v>
      </c>
      <c r="C2870" t="s">
        <v>15783</v>
      </c>
      <c r="D2870" t="s">
        <v>23</v>
      </c>
      <c r="E2870" t="s">
        <v>15784</v>
      </c>
      <c r="F2870" s="5">
        <v>5770000</v>
      </c>
      <c r="G2870" s="5">
        <v>5770000</v>
      </c>
      <c r="I2870" s="2">
        <f t="shared" si="214"/>
        <v>0</v>
      </c>
      <c r="J2870" s="4">
        <v>5300000</v>
      </c>
      <c r="K2870" s="2">
        <f t="shared" si="215"/>
        <v>0.91854419410745236</v>
      </c>
      <c r="L2870" t="s">
        <v>12490</v>
      </c>
      <c r="M2870" t="s">
        <v>174</v>
      </c>
      <c r="N2870" t="b">
        <f t="shared" si="216"/>
        <v>0</v>
      </c>
    </row>
    <row r="2871" spans="1:14" x14ac:dyDescent="0.15">
      <c r="A2871" t="s">
        <v>15761</v>
      </c>
      <c r="B2871" t="s">
        <v>15764</v>
      </c>
      <c r="C2871" t="s">
        <v>15767</v>
      </c>
      <c r="D2871" t="s">
        <v>23</v>
      </c>
      <c r="E2871" t="s">
        <v>15785</v>
      </c>
      <c r="F2871" s="5">
        <v>10687800</v>
      </c>
      <c r="G2871" s="5">
        <v>10687800</v>
      </c>
      <c r="I2871" s="2">
        <f t="shared" si="214"/>
        <v>0</v>
      </c>
      <c r="J2871" s="4">
        <v>10107200</v>
      </c>
      <c r="K2871" s="2">
        <f t="shared" si="215"/>
        <v>0.94567637867475063</v>
      </c>
      <c r="L2871" t="s">
        <v>125</v>
      </c>
      <c r="M2871" t="s">
        <v>432</v>
      </c>
      <c r="N2871" t="b">
        <f t="shared" si="216"/>
        <v>0</v>
      </c>
    </row>
    <row r="2872" spans="1:14" x14ac:dyDescent="0.15">
      <c r="A2872" t="s">
        <v>15761</v>
      </c>
      <c r="B2872" t="s">
        <v>15788</v>
      </c>
      <c r="C2872" t="s">
        <v>15786</v>
      </c>
      <c r="D2872" t="s">
        <v>23</v>
      </c>
      <c r="E2872" t="s">
        <v>15787</v>
      </c>
      <c r="F2872" s="5">
        <v>3196000</v>
      </c>
      <c r="G2872" s="5">
        <v>3196000</v>
      </c>
      <c r="I2872" s="2">
        <f t="shared" si="214"/>
        <v>0</v>
      </c>
      <c r="J2872" s="4">
        <v>3000000</v>
      </c>
      <c r="K2872" s="2">
        <f t="shared" si="215"/>
        <v>0.93867334167709637</v>
      </c>
      <c r="L2872" t="s">
        <v>15789</v>
      </c>
      <c r="M2872" t="s">
        <v>165</v>
      </c>
      <c r="N2872" t="b">
        <f t="shared" si="216"/>
        <v>0</v>
      </c>
    </row>
    <row r="2873" spans="1:14" x14ac:dyDescent="0.15">
      <c r="A2873" t="s">
        <v>15761</v>
      </c>
      <c r="B2873" t="s">
        <v>15788</v>
      </c>
      <c r="C2873" t="s">
        <v>15769</v>
      </c>
      <c r="D2873" t="s">
        <v>23</v>
      </c>
      <c r="E2873" t="s">
        <v>15790</v>
      </c>
      <c r="F2873" s="5">
        <v>2928000</v>
      </c>
      <c r="G2873" s="5">
        <v>2928000</v>
      </c>
      <c r="I2873" s="2">
        <f t="shared" si="214"/>
        <v>0</v>
      </c>
      <c r="J2873" s="4">
        <v>2850000</v>
      </c>
      <c r="K2873" s="2">
        <f t="shared" si="215"/>
        <v>0.97336065573770492</v>
      </c>
      <c r="L2873" t="s">
        <v>15771</v>
      </c>
      <c r="M2873" t="s">
        <v>1015</v>
      </c>
      <c r="N2873" t="b">
        <f t="shared" si="216"/>
        <v>0</v>
      </c>
    </row>
    <row r="2874" spans="1:14" x14ac:dyDescent="0.15">
      <c r="A2874" t="s">
        <v>15761</v>
      </c>
      <c r="B2874" t="s">
        <v>15788</v>
      </c>
      <c r="C2874" t="s">
        <v>14090</v>
      </c>
      <c r="D2874" t="s">
        <v>23</v>
      </c>
      <c r="E2874" t="s">
        <v>15791</v>
      </c>
      <c r="F2874" s="5">
        <v>4735000</v>
      </c>
      <c r="G2874" s="5">
        <v>4735000</v>
      </c>
      <c r="I2874" s="2">
        <f t="shared" si="214"/>
        <v>0</v>
      </c>
      <c r="J2874" s="4">
        <v>2850000</v>
      </c>
      <c r="K2874" s="2">
        <f t="shared" si="215"/>
        <v>0.60190073917634634</v>
      </c>
      <c r="L2874" t="s">
        <v>633</v>
      </c>
      <c r="M2874" t="s">
        <v>165</v>
      </c>
      <c r="N2874" t="b">
        <f t="shared" si="216"/>
        <v>0</v>
      </c>
    </row>
    <row r="2875" spans="1:14" x14ac:dyDescent="0.15">
      <c r="A2875" t="s">
        <v>15761</v>
      </c>
      <c r="B2875" t="s">
        <v>15788</v>
      </c>
      <c r="C2875" t="s">
        <v>15792</v>
      </c>
      <c r="D2875" t="s">
        <v>23</v>
      </c>
      <c r="E2875" t="s">
        <v>15793</v>
      </c>
      <c r="F2875" s="5">
        <v>21300000</v>
      </c>
      <c r="G2875" s="5">
        <v>21300000</v>
      </c>
      <c r="I2875" s="2">
        <f t="shared" si="214"/>
        <v>0</v>
      </c>
      <c r="J2875" s="4">
        <v>19600000</v>
      </c>
      <c r="K2875" s="2">
        <f t="shared" si="215"/>
        <v>0.92018779342723001</v>
      </c>
      <c r="L2875" t="s">
        <v>12490</v>
      </c>
      <c r="M2875" t="s">
        <v>80</v>
      </c>
      <c r="N2875" t="b">
        <f t="shared" si="216"/>
        <v>0</v>
      </c>
    </row>
    <row r="2876" spans="1:14" x14ac:dyDescent="0.15">
      <c r="A2876" t="s">
        <v>15761</v>
      </c>
      <c r="B2876" t="s">
        <v>15788</v>
      </c>
      <c r="C2876" t="s">
        <v>15776</v>
      </c>
      <c r="D2876" t="s">
        <v>23</v>
      </c>
      <c r="E2876" t="s">
        <v>15794</v>
      </c>
      <c r="F2876" s="5">
        <v>8860000</v>
      </c>
      <c r="G2876" s="5">
        <v>8860000</v>
      </c>
      <c r="I2876" s="2">
        <f t="shared" si="214"/>
        <v>0</v>
      </c>
      <c r="J2876" s="4">
        <v>8300000</v>
      </c>
      <c r="K2876" s="2">
        <f t="shared" si="215"/>
        <v>0.93679458239277658</v>
      </c>
      <c r="L2876" t="s">
        <v>1541</v>
      </c>
      <c r="M2876" t="s">
        <v>174</v>
      </c>
      <c r="N2876" t="b">
        <f t="shared" si="216"/>
        <v>0</v>
      </c>
    </row>
    <row r="2877" spans="1:14" x14ac:dyDescent="0.15">
      <c r="A2877" t="s">
        <v>15761</v>
      </c>
      <c r="B2877" t="s">
        <v>15788</v>
      </c>
      <c r="C2877" t="s">
        <v>15795</v>
      </c>
      <c r="D2877" t="s">
        <v>23</v>
      </c>
      <c r="E2877" t="s">
        <v>15796</v>
      </c>
      <c r="F2877" s="5">
        <v>16878000</v>
      </c>
      <c r="G2877" s="5">
        <v>16878000</v>
      </c>
      <c r="I2877" s="2">
        <f t="shared" si="214"/>
        <v>0</v>
      </c>
      <c r="J2877" s="4">
        <v>11800000</v>
      </c>
      <c r="K2877" s="2">
        <f t="shared" si="215"/>
        <v>0.69913496859817514</v>
      </c>
      <c r="L2877" t="s">
        <v>360</v>
      </c>
      <c r="M2877" t="s">
        <v>165</v>
      </c>
      <c r="N2877" t="b">
        <f t="shared" si="216"/>
        <v>0</v>
      </c>
    </row>
    <row r="2878" spans="1:14" x14ac:dyDescent="0.15">
      <c r="A2878" t="s">
        <v>15761</v>
      </c>
      <c r="B2878" t="s">
        <v>15788</v>
      </c>
      <c r="C2878" t="s">
        <v>15797</v>
      </c>
      <c r="D2878" t="s">
        <v>23</v>
      </c>
      <c r="E2878" t="s">
        <v>15798</v>
      </c>
      <c r="F2878" s="5">
        <v>5177000</v>
      </c>
      <c r="G2878" s="5">
        <v>5177000</v>
      </c>
      <c r="I2878" s="2">
        <f t="shared" si="214"/>
        <v>0</v>
      </c>
      <c r="J2878" s="4">
        <v>4090000</v>
      </c>
      <c r="K2878" s="2">
        <f t="shared" si="215"/>
        <v>0.79003283755070508</v>
      </c>
      <c r="L2878" t="s">
        <v>633</v>
      </c>
      <c r="M2878" t="s">
        <v>174</v>
      </c>
      <c r="N2878" t="b">
        <f t="shared" si="216"/>
        <v>0</v>
      </c>
    </row>
    <row r="2879" spans="1:14" x14ac:dyDescent="0.15">
      <c r="A2879" t="s">
        <v>15761</v>
      </c>
      <c r="B2879" t="s">
        <v>15788</v>
      </c>
      <c r="C2879" t="s">
        <v>15799</v>
      </c>
      <c r="D2879" t="s">
        <v>23</v>
      </c>
      <c r="E2879" t="s">
        <v>15800</v>
      </c>
      <c r="F2879" s="5">
        <v>7732000</v>
      </c>
      <c r="G2879" s="5">
        <v>7732000</v>
      </c>
      <c r="I2879" s="2">
        <f t="shared" si="214"/>
        <v>0</v>
      </c>
      <c r="J2879" s="4">
        <v>5520000</v>
      </c>
      <c r="K2879" s="2">
        <f t="shared" si="215"/>
        <v>0.71391619244697357</v>
      </c>
      <c r="L2879" t="s">
        <v>312</v>
      </c>
      <c r="M2879" t="s">
        <v>174</v>
      </c>
      <c r="N2879" t="b">
        <f t="shared" si="216"/>
        <v>0</v>
      </c>
    </row>
    <row r="2880" spans="1:14" x14ac:dyDescent="0.15">
      <c r="A2880" t="s">
        <v>15761</v>
      </c>
      <c r="B2880" t="s">
        <v>15788</v>
      </c>
      <c r="C2880" t="s">
        <v>15801</v>
      </c>
      <c r="D2880" t="s">
        <v>23</v>
      </c>
      <c r="E2880" t="s">
        <v>15802</v>
      </c>
      <c r="F2880" s="5">
        <v>19678000</v>
      </c>
      <c r="G2880" s="5">
        <v>19678000</v>
      </c>
      <c r="H2880" s="4">
        <v>15742000</v>
      </c>
      <c r="I2880" s="2">
        <f t="shared" si="214"/>
        <v>0.79997967273096859</v>
      </c>
      <c r="J2880" s="4">
        <v>15742000</v>
      </c>
      <c r="K2880" s="2">
        <f t="shared" si="215"/>
        <v>0.79997967273096859</v>
      </c>
      <c r="L2880" t="s">
        <v>312</v>
      </c>
      <c r="M2880" t="s">
        <v>174</v>
      </c>
      <c r="N2880" t="b">
        <f t="shared" si="216"/>
        <v>0</v>
      </c>
    </row>
    <row r="2881" spans="1:14" x14ac:dyDescent="0.15">
      <c r="A2881" t="s">
        <v>15761</v>
      </c>
      <c r="B2881" t="s">
        <v>15788</v>
      </c>
      <c r="C2881" t="s">
        <v>15803</v>
      </c>
      <c r="D2881" t="s">
        <v>23</v>
      </c>
      <c r="E2881" t="s">
        <v>15323</v>
      </c>
      <c r="F2881" s="5">
        <v>8050000</v>
      </c>
      <c r="G2881" s="5">
        <v>8050000</v>
      </c>
      <c r="I2881" s="2">
        <f t="shared" si="214"/>
        <v>0</v>
      </c>
      <c r="J2881" s="4">
        <v>7400000</v>
      </c>
      <c r="K2881" s="2">
        <f t="shared" si="215"/>
        <v>0.91925465838509313</v>
      </c>
      <c r="L2881" t="s">
        <v>12490</v>
      </c>
      <c r="M2881" t="s">
        <v>165</v>
      </c>
      <c r="N2881" t="b">
        <f t="shared" si="216"/>
        <v>0</v>
      </c>
    </row>
    <row r="2882" spans="1:14" x14ac:dyDescent="0.15">
      <c r="A2882" t="s">
        <v>15761</v>
      </c>
      <c r="B2882" t="s">
        <v>15788</v>
      </c>
      <c r="C2882" t="s">
        <v>15804</v>
      </c>
      <c r="D2882" t="s">
        <v>23</v>
      </c>
      <c r="E2882" t="s">
        <v>15805</v>
      </c>
      <c r="F2882" s="5">
        <v>8960000</v>
      </c>
      <c r="G2882" s="5">
        <v>8960000</v>
      </c>
      <c r="I2882" s="2">
        <f t="shared" si="214"/>
        <v>0</v>
      </c>
      <c r="J2882" s="4">
        <v>8300000</v>
      </c>
      <c r="K2882" s="2">
        <f t="shared" si="215"/>
        <v>0.9263392857142857</v>
      </c>
      <c r="L2882" t="s">
        <v>12490</v>
      </c>
      <c r="M2882" t="s">
        <v>432</v>
      </c>
      <c r="N2882" t="b">
        <f t="shared" si="216"/>
        <v>0</v>
      </c>
    </row>
    <row r="2883" spans="1:14" x14ac:dyDescent="0.15">
      <c r="A2883" t="s">
        <v>15761</v>
      </c>
      <c r="B2883" t="s">
        <v>15788</v>
      </c>
      <c r="C2883" t="s">
        <v>15806</v>
      </c>
      <c r="D2883" t="s">
        <v>23</v>
      </c>
      <c r="E2883" t="s">
        <v>9593</v>
      </c>
      <c r="F2883" s="5">
        <v>3592100</v>
      </c>
      <c r="G2883" s="5">
        <v>3592100</v>
      </c>
      <c r="I2883" s="2">
        <f t="shared" si="214"/>
        <v>0</v>
      </c>
      <c r="J2883" s="4">
        <v>1300000</v>
      </c>
      <c r="K2883" s="2">
        <f t="shared" si="215"/>
        <v>0.36190529216892625</v>
      </c>
      <c r="L2883" t="s">
        <v>12835</v>
      </c>
      <c r="M2883" t="s">
        <v>165</v>
      </c>
      <c r="N2883" t="b">
        <f t="shared" si="216"/>
        <v>0</v>
      </c>
    </row>
    <row r="2884" spans="1:14" x14ac:dyDescent="0.15">
      <c r="A2884" t="s">
        <v>15761</v>
      </c>
      <c r="B2884" t="s">
        <v>15788</v>
      </c>
      <c r="C2884" t="s">
        <v>15807</v>
      </c>
      <c r="D2884" t="s">
        <v>23</v>
      </c>
      <c r="E2884" t="s">
        <v>15808</v>
      </c>
      <c r="F2884" s="5">
        <v>7245000</v>
      </c>
      <c r="G2884" s="5">
        <v>7245000</v>
      </c>
      <c r="I2884" s="2">
        <f t="shared" ref="I2884:I2935" si="219">H2884/G2884</f>
        <v>0</v>
      </c>
      <c r="J2884" s="4">
        <v>6650000</v>
      </c>
      <c r="K2884" s="2">
        <f t="shared" ref="K2884:K2935" si="220">J2884/G2884</f>
        <v>0.91787439613526567</v>
      </c>
      <c r="L2884" t="s">
        <v>10639</v>
      </c>
      <c r="M2884" t="s">
        <v>432</v>
      </c>
      <c r="N2884" t="b">
        <f t="shared" ref="N2884:N2935" si="221">F2884&lt;&gt;G2884</f>
        <v>0</v>
      </c>
    </row>
    <row r="2885" spans="1:14" x14ac:dyDescent="0.15">
      <c r="A2885" t="s">
        <v>15761</v>
      </c>
      <c r="B2885" t="s">
        <v>15788</v>
      </c>
      <c r="C2885" t="s">
        <v>15809</v>
      </c>
      <c r="D2885" t="s">
        <v>23</v>
      </c>
      <c r="E2885" t="s">
        <v>15810</v>
      </c>
      <c r="F2885" s="5">
        <v>1591000</v>
      </c>
      <c r="G2885" s="5">
        <v>1591000</v>
      </c>
      <c r="I2885" s="2">
        <f t="shared" si="219"/>
        <v>0</v>
      </c>
      <c r="J2885" s="4">
        <v>1480000</v>
      </c>
      <c r="K2885" s="2">
        <f t="shared" si="220"/>
        <v>0.93023255813953487</v>
      </c>
      <c r="L2885" t="s">
        <v>1930</v>
      </c>
      <c r="M2885" t="s">
        <v>174</v>
      </c>
      <c r="N2885" t="b">
        <f t="shared" si="221"/>
        <v>0</v>
      </c>
    </row>
    <row r="2886" spans="1:14" x14ac:dyDescent="0.15">
      <c r="A2886" t="s">
        <v>15761</v>
      </c>
      <c r="B2886" t="s">
        <v>15788</v>
      </c>
      <c r="C2886" t="s">
        <v>15767</v>
      </c>
      <c r="D2886" t="s">
        <v>23</v>
      </c>
      <c r="E2886" t="s">
        <v>15811</v>
      </c>
      <c r="F2886" s="5">
        <v>8827700</v>
      </c>
      <c r="G2886" s="5">
        <v>8827700</v>
      </c>
      <c r="I2886" s="2">
        <f t="shared" si="219"/>
        <v>0</v>
      </c>
      <c r="J2886" s="4">
        <v>8498400</v>
      </c>
      <c r="K2886" s="2">
        <f t="shared" si="220"/>
        <v>0.96269696523443249</v>
      </c>
      <c r="L2886" t="s">
        <v>125</v>
      </c>
      <c r="M2886" t="s">
        <v>432</v>
      </c>
      <c r="N2886" t="b">
        <f t="shared" si="221"/>
        <v>0</v>
      </c>
    </row>
    <row r="2887" spans="1:14" x14ac:dyDescent="0.15">
      <c r="A2887" t="s">
        <v>15812</v>
      </c>
      <c r="B2887" t="s">
        <v>15815</v>
      </c>
      <c r="C2887" t="s">
        <v>15813</v>
      </c>
      <c r="D2887" t="s">
        <v>23</v>
      </c>
      <c r="E2887" t="s">
        <v>15814</v>
      </c>
      <c r="F2887" s="5">
        <f t="shared" ref="F2887:F2910" si="222">G2887</f>
        <v>4500000</v>
      </c>
      <c r="G2887" s="5">
        <v>4500000</v>
      </c>
      <c r="H2887" t="s">
        <v>145</v>
      </c>
      <c r="I2887" s="2" t="e">
        <f t="shared" si="219"/>
        <v>#VALUE!</v>
      </c>
      <c r="J2887" s="4">
        <v>4380000</v>
      </c>
      <c r="K2887" s="2">
        <f t="shared" si="220"/>
        <v>0.97333333333333338</v>
      </c>
      <c r="L2887" t="s">
        <v>9274</v>
      </c>
      <c r="M2887" t="s">
        <v>192</v>
      </c>
      <c r="N2887" t="b">
        <f t="shared" si="221"/>
        <v>0</v>
      </c>
    </row>
    <row r="2888" spans="1:14" x14ac:dyDescent="0.15">
      <c r="A2888" t="s">
        <v>15812</v>
      </c>
      <c r="B2888" t="s">
        <v>15815</v>
      </c>
      <c r="C2888" t="s">
        <v>15816</v>
      </c>
      <c r="D2888" t="s">
        <v>23</v>
      </c>
      <c r="E2888" t="s">
        <v>15817</v>
      </c>
      <c r="F2888" s="5">
        <f t="shared" si="222"/>
        <v>7033000</v>
      </c>
      <c r="G2888" s="5">
        <v>7033000</v>
      </c>
      <c r="H2888" t="s">
        <v>145</v>
      </c>
      <c r="I2888" s="2" t="e">
        <f t="shared" si="219"/>
        <v>#VALUE!</v>
      </c>
      <c r="J2888" s="4">
        <v>6500000</v>
      </c>
      <c r="K2888" s="2">
        <f t="shared" si="220"/>
        <v>0.92421441774491686</v>
      </c>
      <c r="L2888" t="s">
        <v>10326</v>
      </c>
      <c r="M2888" t="s">
        <v>80</v>
      </c>
      <c r="N2888" t="b">
        <f t="shared" si="221"/>
        <v>0</v>
      </c>
    </row>
    <row r="2889" spans="1:14" x14ac:dyDescent="0.15">
      <c r="A2889" t="s">
        <v>15812</v>
      </c>
      <c r="B2889" t="s">
        <v>15815</v>
      </c>
      <c r="C2889" t="s">
        <v>15818</v>
      </c>
      <c r="D2889" t="s">
        <v>23</v>
      </c>
      <c r="E2889" t="s">
        <v>15819</v>
      </c>
      <c r="F2889" s="5">
        <f t="shared" si="222"/>
        <v>19363000</v>
      </c>
      <c r="G2889" s="5">
        <v>19363000</v>
      </c>
      <c r="I2889" s="2">
        <f t="shared" si="219"/>
        <v>0</v>
      </c>
      <c r="J2889" s="4">
        <v>16500000</v>
      </c>
      <c r="K2889" s="2">
        <f t="shared" si="220"/>
        <v>0.85214068067964677</v>
      </c>
      <c r="L2889" t="s">
        <v>1262</v>
      </c>
      <c r="M2889" t="s">
        <v>248</v>
      </c>
      <c r="N2889" t="b">
        <f t="shared" si="221"/>
        <v>0</v>
      </c>
    </row>
    <row r="2890" spans="1:14" x14ac:dyDescent="0.15">
      <c r="A2890" t="s">
        <v>15812</v>
      </c>
      <c r="B2890" t="s">
        <v>15815</v>
      </c>
      <c r="C2890" t="s">
        <v>15820</v>
      </c>
      <c r="D2890" t="s">
        <v>23</v>
      </c>
      <c r="E2890" t="s">
        <v>15821</v>
      </c>
      <c r="F2890" s="5">
        <f t="shared" si="222"/>
        <v>5146000</v>
      </c>
      <c r="G2890" s="5">
        <v>5146000</v>
      </c>
      <c r="H2890" t="s">
        <v>145</v>
      </c>
      <c r="I2890" s="2" t="e">
        <f t="shared" si="219"/>
        <v>#VALUE!</v>
      </c>
      <c r="J2890" s="4">
        <v>4900000</v>
      </c>
      <c r="K2890" s="2">
        <f t="shared" si="220"/>
        <v>0.95219588029537505</v>
      </c>
      <c r="L2890" t="s">
        <v>10639</v>
      </c>
      <c r="M2890" t="s">
        <v>80</v>
      </c>
      <c r="N2890" t="b">
        <f t="shared" si="221"/>
        <v>0</v>
      </c>
    </row>
    <row r="2891" spans="1:14" x14ac:dyDescent="0.15">
      <c r="A2891" t="s">
        <v>15812</v>
      </c>
      <c r="B2891" t="s">
        <v>15815</v>
      </c>
      <c r="C2891" t="s">
        <v>15822</v>
      </c>
      <c r="D2891" t="s">
        <v>23</v>
      </c>
      <c r="E2891" t="s">
        <v>15823</v>
      </c>
      <c r="F2891" s="5">
        <f t="shared" si="222"/>
        <v>4246000</v>
      </c>
      <c r="G2891" s="5">
        <v>4246000</v>
      </c>
      <c r="H2891" t="s">
        <v>145</v>
      </c>
      <c r="I2891" s="2" t="e">
        <f t="shared" si="219"/>
        <v>#VALUE!</v>
      </c>
      <c r="J2891" s="4">
        <v>3800000</v>
      </c>
      <c r="K2891" s="2">
        <f t="shared" si="220"/>
        <v>0.89495996231747532</v>
      </c>
      <c r="L2891" t="s">
        <v>10326</v>
      </c>
      <c r="M2891" t="s">
        <v>192</v>
      </c>
      <c r="N2891" t="b">
        <f t="shared" si="221"/>
        <v>0</v>
      </c>
    </row>
    <row r="2892" spans="1:14" x14ac:dyDescent="0.15">
      <c r="A2892" t="s">
        <v>15812</v>
      </c>
      <c r="B2892" t="s">
        <v>15815</v>
      </c>
      <c r="C2892" t="s">
        <v>15824</v>
      </c>
      <c r="D2892" t="s">
        <v>23</v>
      </c>
      <c r="E2892" t="s">
        <v>15825</v>
      </c>
      <c r="F2892" s="5">
        <f t="shared" si="222"/>
        <v>5078000</v>
      </c>
      <c r="G2892" s="5">
        <v>5078000</v>
      </c>
      <c r="H2892" t="s">
        <v>145</v>
      </c>
      <c r="I2892" s="2" t="e">
        <f t="shared" si="219"/>
        <v>#VALUE!</v>
      </c>
      <c r="J2892" s="4">
        <v>4700000</v>
      </c>
      <c r="K2892" s="2">
        <f t="shared" si="220"/>
        <v>0.92556124458448208</v>
      </c>
      <c r="L2892" t="s">
        <v>10326</v>
      </c>
      <c r="M2892" t="s">
        <v>80</v>
      </c>
      <c r="N2892" t="b">
        <f t="shared" si="221"/>
        <v>0</v>
      </c>
    </row>
    <row r="2893" spans="1:14" x14ac:dyDescent="0.15">
      <c r="A2893" t="s">
        <v>15812</v>
      </c>
      <c r="B2893" t="s">
        <v>15815</v>
      </c>
      <c r="C2893" t="s">
        <v>15826</v>
      </c>
      <c r="D2893" t="s">
        <v>23</v>
      </c>
      <c r="E2893" t="s">
        <v>4031</v>
      </c>
      <c r="F2893" s="5">
        <f t="shared" si="222"/>
        <v>13019000</v>
      </c>
      <c r="G2893" s="5">
        <v>13019000</v>
      </c>
      <c r="H2893" t="s">
        <v>145</v>
      </c>
      <c r="I2893" s="2" t="e">
        <f t="shared" si="219"/>
        <v>#VALUE!</v>
      </c>
      <c r="J2893" s="4">
        <v>12350000</v>
      </c>
      <c r="K2893" s="2">
        <f t="shared" si="220"/>
        <v>0.94861356478992243</v>
      </c>
      <c r="L2893" t="s">
        <v>10217</v>
      </c>
      <c r="M2893" t="s">
        <v>80</v>
      </c>
      <c r="N2893" t="b">
        <f t="shared" si="221"/>
        <v>0</v>
      </c>
    </row>
    <row r="2894" spans="1:14" x14ac:dyDescent="0.15">
      <c r="A2894" t="s">
        <v>15812</v>
      </c>
      <c r="B2894" t="s">
        <v>15815</v>
      </c>
      <c r="C2894" t="s">
        <v>15827</v>
      </c>
      <c r="D2894" t="s">
        <v>23</v>
      </c>
      <c r="E2894" t="s">
        <v>15828</v>
      </c>
      <c r="F2894" s="5">
        <f t="shared" si="222"/>
        <v>15450000</v>
      </c>
      <c r="G2894" s="5">
        <v>15450000</v>
      </c>
      <c r="H2894" t="s">
        <v>145</v>
      </c>
      <c r="I2894" s="2" t="e">
        <f t="shared" si="219"/>
        <v>#VALUE!</v>
      </c>
      <c r="J2894" s="4">
        <v>14300000</v>
      </c>
      <c r="K2894" s="2">
        <f t="shared" si="220"/>
        <v>0.92556634304207119</v>
      </c>
      <c r="L2894" t="s">
        <v>10326</v>
      </c>
      <c r="M2894" t="s">
        <v>80</v>
      </c>
      <c r="N2894" t="b">
        <f t="shared" si="221"/>
        <v>0</v>
      </c>
    </row>
    <row r="2895" spans="1:14" x14ac:dyDescent="0.15">
      <c r="A2895" t="s">
        <v>15812</v>
      </c>
      <c r="B2895" t="s">
        <v>15815</v>
      </c>
      <c r="C2895" t="s">
        <v>15829</v>
      </c>
      <c r="D2895" t="s">
        <v>23</v>
      </c>
      <c r="E2895" t="s">
        <v>15830</v>
      </c>
      <c r="F2895" s="5">
        <f t="shared" si="222"/>
        <v>4050000</v>
      </c>
      <c r="G2895" s="5">
        <v>4050000</v>
      </c>
      <c r="H2895" t="s">
        <v>145</v>
      </c>
      <c r="I2895" s="2" t="e">
        <f t="shared" si="219"/>
        <v>#VALUE!</v>
      </c>
      <c r="J2895" s="4">
        <v>3900000</v>
      </c>
      <c r="K2895" s="2">
        <f t="shared" si="220"/>
        <v>0.96296296296296291</v>
      </c>
      <c r="L2895" t="s">
        <v>9274</v>
      </c>
      <c r="M2895" t="s">
        <v>192</v>
      </c>
      <c r="N2895" t="b">
        <f t="shared" si="221"/>
        <v>0</v>
      </c>
    </row>
    <row r="2896" spans="1:14" x14ac:dyDescent="0.15">
      <c r="A2896" t="s">
        <v>15812</v>
      </c>
      <c r="B2896" t="s">
        <v>15815</v>
      </c>
      <c r="C2896" t="s">
        <v>12409</v>
      </c>
      <c r="D2896" t="s">
        <v>23</v>
      </c>
      <c r="E2896" t="s">
        <v>15831</v>
      </c>
      <c r="F2896" s="5">
        <f t="shared" si="222"/>
        <v>14997000</v>
      </c>
      <c r="G2896" s="5">
        <v>14997000</v>
      </c>
      <c r="I2896" s="2">
        <f t="shared" si="219"/>
        <v>0</v>
      </c>
      <c r="J2896" s="4">
        <v>11811000</v>
      </c>
      <c r="K2896" s="2">
        <f t="shared" si="220"/>
        <v>0.78755751150230047</v>
      </c>
      <c r="L2896" t="s">
        <v>1078</v>
      </c>
      <c r="M2896" t="s">
        <v>80</v>
      </c>
      <c r="N2896" t="b">
        <f t="shared" si="221"/>
        <v>0</v>
      </c>
    </row>
    <row r="2897" spans="1:14" x14ac:dyDescent="0.15">
      <c r="A2897" t="s">
        <v>15812</v>
      </c>
      <c r="B2897" t="s">
        <v>15815</v>
      </c>
      <c r="C2897" t="s">
        <v>15832</v>
      </c>
      <c r="D2897" t="s">
        <v>23</v>
      </c>
      <c r="E2897" t="s">
        <v>13952</v>
      </c>
      <c r="F2897" s="5">
        <f t="shared" si="222"/>
        <v>18030000</v>
      </c>
      <c r="G2897" s="5">
        <v>18030000</v>
      </c>
      <c r="H2897" t="s">
        <v>145</v>
      </c>
      <c r="I2897" s="2" t="e">
        <f t="shared" si="219"/>
        <v>#VALUE!</v>
      </c>
      <c r="J2897" s="4">
        <v>17000000</v>
      </c>
      <c r="K2897" s="2">
        <f t="shared" si="220"/>
        <v>0.94287298946200782</v>
      </c>
      <c r="L2897" t="s">
        <v>10326</v>
      </c>
      <c r="M2897" t="s">
        <v>80</v>
      </c>
      <c r="N2897" t="b">
        <f t="shared" si="221"/>
        <v>0</v>
      </c>
    </row>
    <row r="2898" spans="1:14" x14ac:dyDescent="0.15">
      <c r="A2898" t="s">
        <v>15812</v>
      </c>
      <c r="B2898" t="s">
        <v>15815</v>
      </c>
      <c r="C2898" t="s">
        <v>15833</v>
      </c>
      <c r="D2898" t="s">
        <v>23</v>
      </c>
      <c r="E2898" t="s">
        <v>12760</v>
      </c>
      <c r="F2898" s="5">
        <f t="shared" si="222"/>
        <v>3430000</v>
      </c>
      <c r="G2898" s="5">
        <v>3430000</v>
      </c>
      <c r="I2898" s="2">
        <f t="shared" si="219"/>
        <v>0</v>
      </c>
      <c r="J2898" s="4">
        <v>3300000</v>
      </c>
      <c r="K2898" s="2">
        <f t="shared" si="220"/>
        <v>0.96209912536443154</v>
      </c>
      <c r="L2898" t="s">
        <v>10639</v>
      </c>
      <c r="M2898" t="s">
        <v>192</v>
      </c>
      <c r="N2898" t="b">
        <f t="shared" si="221"/>
        <v>0</v>
      </c>
    </row>
    <row r="2899" spans="1:14" x14ac:dyDescent="0.15">
      <c r="A2899" t="s">
        <v>15812</v>
      </c>
      <c r="B2899" t="s">
        <v>15815</v>
      </c>
      <c r="C2899" t="s">
        <v>15834</v>
      </c>
      <c r="D2899" t="s">
        <v>23</v>
      </c>
      <c r="E2899" t="s">
        <v>15835</v>
      </c>
      <c r="F2899" s="5">
        <f t="shared" si="222"/>
        <v>13800000</v>
      </c>
      <c r="G2899" s="5">
        <v>13800000</v>
      </c>
      <c r="H2899" t="s">
        <v>145</v>
      </c>
      <c r="I2899" s="2" t="e">
        <f t="shared" si="219"/>
        <v>#VALUE!</v>
      </c>
      <c r="J2899" s="4">
        <v>12300000</v>
      </c>
      <c r="K2899" s="2">
        <f t="shared" si="220"/>
        <v>0.89130434782608692</v>
      </c>
      <c r="L2899" t="s">
        <v>10326</v>
      </c>
      <c r="M2899" t="s">
        <v>80</v>
      </c>
      <c r="N2899" t="b">
        <f t="shared" si="221"/>
        <v>0</v>
      </c>
    </row>
    <row r="2900" spans="1:14" x14ac:dyDescent="0.15">
      <c r="A2900" t="s">
        <v>15812</v>
      </c>
      <c r="B2900" t="s">
        <v>15815</v>
      </c>
      <c r="C2900" t="s">
        <v>15836</v>
      </c>
      <c r="D2900" t="s">
        <v>23</v>
      </c>
      <c r="E2900" t="s">
        <v>15837</v>
      </c>
      <c r="F2900" s="5">
        <f t="shared" si="222"/>
        <v>3910000</v>
      </c>
      <c r="G2900" s="5">
        <v>3910000</v>
      </c>
      <c r="I2900" s="2">
        <f t="shared" si="219"/>
        <v>0</v>
      </c>
      <c r="J2900" s="4">
        <v>3780000</v>
      </c>
      <c r="K2900" s="2">
        <f t="shared" si="220"/>
        <v>0.96675191815856776</v>
      </c>
      <c r="L2900" t="s">
        <v>332</v>
      </c>
      <c r="M2900" t="s">
        <v>174</v>
      </c>
      <c r="N2900" t="b">
        <f t="shared" si="221"/>
        <v>0</v>
      </c>
    </row>
    <row r="2901" spans="1:14" x14ac:dyDescent="0.15">
      <c r="A2901" t="s">
        <v>15812</v>
      </c>
      <c r="B2901" t="s">
        <v>15815</v>
      </c>
      <c r="C2901" t="s">
        <v>15838</v>
      </c>
      <c r="D2901" t="s">
        <v>23</v>
      </c>
      <c r="E2901" t="s">
        <v>15839</v>
      </c>
      <c r="F2901" s="5">
        <f t="shared" si="222"/>
        <v>9575000</v>
      </c>
      <c r="G2901" s="5">
        <v>9575000</v>
      </c>
      <c r="H2901" t="s">
        <v>145</v>
      </c>
      <c r="I2901" s="2" t="e">
        <f t="shared" si="219"/>
        <v>#VALUE!</v>
      </c>
      <c r="J2901" s="4">
        <v>9100000</v>
      </c>
      <c r="K2901" s="2">
        <f t="shared" si="220"/>
        <v>0.95039164490861616</v>
      </c>
      <c r="L2901" t="s">
        <v>5186</v>
      </c>
      <c r="M2901" t="s">
        <v>80</v>
      </c>
      <c r="N2901" t="b">
        <f t="shared" si="221"/>
        <v>0</v>
      </c>
    </row>
    <row r="2902" spans="1:14" x14ac:dyDescent="0.15">
      <c r="A2902" t="s">
        <v>15812</v>
      </c>
      <c r="B2902" t="s">
        <v>15815</v>
      </c>
      <c r="C2902" t="s">
        <v>15840</v>
      </c>
      <c r="D2902" t="s">
        <v>23</v>
      </c>
      <c r="E2902" t="s">
        <v>15841</v>
      </c>
      <c r="F2902" s="5">
        <f t="shared" si="222"/>
        <v>2668000</v>
      </c>
      <c r="G2902" s="5">
        <v>2668000</v>
      </c>
      <c r="I2902" s="2">
        <f t="shared" si="219"/>
        <v>0</v>
      </c>
      <c r="J2902" s="4">
        <v>2550000</v>
      </c>
      <c r="K2902" s="2">
        <f t="shared" si="220"/>
        <v>0.95577211394302852</v>
      </c>
      <c r="L2902" t="s">
        <v>10639</v>
      </c>
      <c r="M2902" t="s">
        <v>192</v>
      </c>
      <c r="N2902" t="b">
        <f t="shared" si="221"/>
        <v>0</v>
      </c>
    </row>
    <row r="2903" spans="1:14" x14ac:dyDescent="0.15">
      <c r="A2903" t="s">
        <v>15812</v>
      </c>
      <c r="B2903" t="s">
        <v>15815</v>
      </c>
      <c r="C2903" t="s">
        <v>15842</v>
      </c>
      <c r="D2903" t="s">
        <v>23</v>
      </c>
      <c r="E2903" t="s">
        <v>15843</v>
      </c>
      <c r="F2903" s="5">
        <f t="shared" si="222"/>
        <v>8079000</v>
      </c>
      <c r="G2903" s="5">
        <v>8079000</v>
      </c>
      <c r="H2903" t="s">
        <v>145</v>
      </c>
      <c r="I2903" s="2" t="e">
        <f t="shared" si="219"/>
        <v>#VALUE!</v>
      </c>
      <c r="J2903" s="4">
        <v>7200000</v>
      </c>
      <c r="K2903" s="2">
        <f t="shared" si="220"/>
        <v>0.89119940586706281</v>
      </c>
      <c r="L2903" t="s">
        <v>10326</v>
      </c>
      <c r="M2903" t="s">
        <v>80</v>
      </c>
      <c r="N2903" t="b">
        <f t="shared" si="221"/>
        <v>0</v>
      </c>
    </row>
    <row r="2904" spans="1:14" x14ac:dyDescent="0.15">
      <c r="A2904" t="s">
        <v>15812</v>
      </c>
      <c r="B2904" t="s">
        <v>15815</v>
      </c>
      <c r="C2904" t="s">
        <v>15844</v>
      </c>
      <c r="D2904" t="s">
        <v>23</v>
      </c>
      <c r="E2904" t="s">
        <v>15845</v>
      </c>
      <c r="F2904" s="5">
        <f t="shared" si="222"/>
        <v>9722000</v>
      </c>
      <c r="G2904" s="5">
        <v>9722000</v>
      </c>
      <c r="H2904" t="s">
        <v>145</v>
      </c>
      <c r="I2904" s="2" t="e">
        <f t="shared" si="219"/>
        <v>#VALUE!</v>
      </c>
      <c r="J2904" s="4">
        <v>7980000</v>
      </c>
      <c r="K2904" s="2">
        <f t="shared" si="220"/>
        <v>0.82081876157169309</v>
      </c>
      <c r="L2904" t="s">
        <v>332</v>
      </c>
      <c r="M2904" t="s">
        <v>80</v>
      </c>
      <c r="N2904" t="b">
        <f t="shared" si="221"/>
        <v>0</v>
      </c>
    </row>
    <row r="2905" spans="1:14" x14ac:dyDescent="0.15">
      <c r="A2905" t="s">
        <v>15812</v>
      </c>
      <c r="B2905" t="s">
        <v>15815</v>
      </c>
      <c r="C2905" t="s">
        <v>15846</v>
      </c>
      <c r="D2905" t="s">
        <v>23</v>
      </c>
      <c r="E2905" t="s">
        <v>15847</v>
      </c>
      <c r="F2905" s="5">
        <f t="shared" si="222"/>
        <v>2480000</v>
      </c>
      <c r="G2905" s="5">
        <v>2480000</v>
      </c>
      <c r="I2905" s="2">
        <f t="shared" si="219"/>
        <v>0</v>
      </c>
      <c r="J2905" s="4">
        <v>1380000</v>
      </c>
      <c r="K2905" s="2">
        <f t="shared" si="220"/>
        <v>0.55645161290322576</v>
      </c>
      <c r="L2905" t="s">
        <v>8648</v>
      </c>
      <c r="M2905" t="s">
        <v>192</v>
      </c>
      <c r="N2905" t="b">
        <f t="shared" si="221"/>
        <v>0</v>
      </c>
    </row>
    <row r="2906" spans="1:14" x14ac:dyDescent="0.15">
      <c r="A2906" t="s">
        <v>15812</v>
      </c>
      <c r="B2906" t="s">
        <v>15815</v>
      </c>
      <c r="C2906" t="s">
        <v>15848</v>
      </c>
      <c r="D2906" t="s">
        <v>23</v>
      </c>
      <c r="E2906" t="s">
        <v>15849</v>
      </c>
      <c r="F2906" s="5">
        <f t="shared" si="222"/>
        <v>27226000</v>
      </c>
      <c r="G2906" s="5">
        <v>27226000</v>
      </c>
      <c r="I2906" s="2">
        <f t="shared" si="219"/>
        <v>0</v>
      </c>
      <c r="J2906" s="4">
        <v>23710000</v>
      </c>
      <c r="K2906" s="2">
        <f t="shared" si="220"/>
        <v>0.87085873797105706</v>
      </c>
      <c r="L2906" t="s">
        <v>332</v>
      </c>
      <c r="M2906" t="s">
        <v>248</v>
      </c>
      <c r="N2906" t="b">
        <f t="shared" si="221"/>
        <v>0</v>
      </c>
    </row>
    <row r="2907" spans="1:14" x14ac:dyDescent="0.15">
      <c r="A2907" t="s">
        <v>15812</v>
      </c>
      <c r="B2907" t="s">
        <v>15815</v>
      </c>
      <c r="C2907" t="s">
        <v>15850</v>
      </c>
      <c r="D2907" t="s">
        <v>23</v>
      </c>
      <c r="E2907" t="s">
        <v>15851</v>
      </c>
      <c r="F2907" s="5">
        <f t="shared" si="222"/>
        <v>3879000</v>
      </c>
      <c r="G2907" s="5">
        <v>3879000</v>
      </c>
      <c r="I2907" s="2">
        <f t="shared" si="219"/>
        <v>0</v>
      </c>
      <c r="J2907" s="4">
        <v>3600000</v>
      </c>
      <c r="K2907" s="2">
        <f t="shared" si="220"/>
        <v>0.92807424593967514</v>
      </c>
      <c r="L2907" t="s">
        <v>10639</v>
      </c>
      <c r="M2907" t="s">
        <v>192</v>
      </c>
      <c r="N2907" t="b">
        <f t="shared" si="221"/>
        <v>0</v>
      </c>
    </row>
    <row r="2908" spans="1:14" x14ac:dyDescent="0.15">
      <c r="A2908" t="s">
        <v>15812</v>
      </c>
      <c r="B2908" t="s">
        <v>15815</v>
      </c>
      <c r="C2908" t="s">
        <v>15852</v>
      </c>
      <c r="D2908" t="s">
        <v>23</v>
      </c>
      <c r="E2908" t="s">
        <v>15853</v>
      </c>
      <c r="F2908" s="5">
        <f t="shared" si="222"/>
        <v>1520000</v>
      </c>
      <c r="G2908" s="5">
        <v>1520000</v>
      </c>
      <c r="I2908" s="2">
        <f t="shared" si="219"/>
        <v>0</v>
      </c>
      <c r="J2908" s="4">
        <v>1330000</v>
      </c>
      <c r="K2908" s="2">
        <f t="shared" si="220"/>
        <v>0.875</v>
      </c>
      <c r="L2908" t="s">
        <v>9274</v>
      </c>
      <c r="M2908" t="s">
        <v>192</v>
      </c>
      <c r="N2908" t="b">
        <f t="shared" si="221"/>
        <v>0</v>
      </c>
    </row>
    <row r="2909" spans="1:14" x14ac:dyDescent="0.15">
      <c r="A2909" t="s">
        <v>15812</v>
      </c>
      <c r="B2909" t="s">
        <v>15815</v>
      </c>
      <c r="C2909" t="s">
        <v>15854</v>
      </c>
      <c r="D2909" t="s">
        <v>23</v>
      </c>
      <c r="E2909" t="s">
        <v>15855</v>
      </c>
      <c r="F2909" s="5">
        <f t="shared" si="222"/>
        <v>3750000</v>
      </c>
      <c r="G2909" s="5">
        <v>3750000</v>
      </c>
      <c r="I2909" s="2">
        <f t="shared" si="219"/>
        <v>0</v>
      </c>
      <c r="J2909" s="4">
        <v>3400000</v>
      </c>
      <c r="K2909" s="2">
        <f t="shared" si="220"/>
        <v>0.90666666666666662</v>
      </c>
      <c r="L2909" t="s">
        <v>9274</v>
      </c>
      <c r="M2909" t="s">
        <v>192</v>
      </c>
      <c r="N2909" t="b">
        <f t="shared" si="221"/>
        <v>0</v>
      </c>
    </row>
    <row r="2910" spans="1:14" x14ac:dyDescent="0.15">
      <c r="A2910" t="s">
        <v>15812</v>
      </c>
      <c r="B2910" t="s">
        <v>15815</v>
      </c>
      <c r="C2910" t="s">
        <v>15856</v>
      </c>
      <c r="D2910" t="s">
        <v>23</v>
      </c>
      <c r="E2910" t="s">
        <v>15857</v>
      </c>
      <c r="F2910" s="5">
        <f t="shared" si="222"/>
        <v>14439000</v>
      </c>
      <c r="G2910" s="5">
        <v>14439000</v>
      </c>
      <c r="I2910" s="2">
        <f t="shared" si="219"/>
        <v>0</v>
      </c>
      <c r="J2910" s="4">
        <v>13600000</v>
      </c>
      <c r="K2910" s="2">
        <f t="shared" si="220"/>
        <v>0.94189348292818065</v>
      </c>
      <c r="L2910" t="s">
        <v>10326</v>
      </c>
      <c r="M2910" t="s">
        <v>80</v>
      </c>
      <c r="N2910" t="b">
        <f t="shared" si="221"/>
        <v>0</v>
      </c>
    </row>
    <row r="2911" spans="1:14" x14ac:dyDescent="0.15">
      <c r="A2911" t="s">
        <v>15858</v>
      </c>
      <c r="B2911" t="s">
        <v>15861</v>
      </c>
      <c r="C2911" t="s">
        <v>15859</v>
      </c>
      <c r="D2911" t="s">
        <v>23</v>
      </c>
      <c r="E2911" t="s">
        <v>15860</v>
      </c>
      <c r="F2911" s="5">
        <v>7008000</v>
      </c>
      <c r="G2911" s="5">
        <v>7008000</v>
      </c>
      <c r="I2911" s="2">
        <f t="shared" si="219"/>
        <v>0</v>
      </c>
      <c r="J2911" s="4">
        <v>5800000</v>
      </c>
      <c r="K2911" s="2">
        <f t="shared" si="220"/>
        <v>0.82762557077625576</v>
      </c>
      <c r="L2911" t="s">
        <v>574</v>
      </c>
      <c r="M2911" t="s">
        <v>192</v>
      </c>
      <c r="N2911" t="b">
        <f t="shared" si="221"/>
        <v>0</v>
      </c>
    </row>
    <row r="2912" spans="1:14" x14ac:dyDescent="0.15">
      <c r="A2912" t="s">
        <v>15858</v>
      </c>
      <c r="B2912" t="s">
        <v>15861</v>
      </c>
      <c r="C2912" t="s">
        <v>15862</v>
      </c>
      <c r="D2912" t="s">
        <v>23</v>
      </c>
      <c r="E2912" t="s">
        <v>15863</v>
      </c>
      <c r="F2912" s="5">
        <v>11082000</v>
      </c>
      <c r="G2912" s="5">
        <v>11082000</v>
      </c>
      <c r="H2912" s="4">
        <v>8865000</v>
      </c>
      <c r="I2912" s="2">
        <f t="shared" si="219"/>
        <v>0.79994585814834862</v>
      </c>
      <c r="J2912" s="4">
        <v>10800000</v>
      </c>
      <c r="K2912" s="2">
        <f t="shared" si="220"/>
        <v>0.97455332972387654</v>
      </c>
      <c r="L2912" t="s">
        <v>360</v>
      </c>
      <c r="M2912" t="s">
        <v>192</v>
      </c>
      <c r="N2912" t="b">
        <f t="shared" si="221"/>
        <v>0</v>
      </c>
    </row>
    <row r="2913" spans="1:14" x14ac:dyDescent="0.15">
      <c r="A2913" t="s">
        <v>15858</v>
      </c>
      <c r="B2913" t="s">
        <v>15861</v>
      </c>
      <c r="C2913" t="s">
        <v>15864</v>
      </c>
      <c r="D2913" t="s">
        <v>23</v>
      </c>
      <c r="E2913" t="s">
        <v>15865</v>
      </c>
      <c r="F2913" s="5">
        <v>3853000</v>
      </c>
      <c r="G2913" s="5">
        <v>3853000</v>
      </c>
      <c r="H2913" s="4">
        <v>3005000</v>
      </c>
      <c r="I2913" s="2">
        <f t="shared" si="219"/>
        <v>0.77991175707241112</v>
      </c>
      <c r="J2913" s="4">
        <v>3600000</v>
      </c>
      <c r="K2913" s="2">
        <f t="shared" si="220"/>
        <v>0.93433688035297169</v>
      </c>
      <c r="L2913" t="s">
        <v>6112</v>
      </c>
      <c r="M2913" t="s">
        <v>192</v>
      </c>
      <c r="N2913" t="b">
        <f t="shared" si="221"/>
        <v>0</v>
      </c>
    </row>
    <row r="2914" spans="1:14" x14ac:dyDescent="0.15">
      <c r="A2914" t="s">
        <v>15858</v>
      </c>
      <c r="B2914" t="s">
        <v>15868</v>
      </c>
      <c r="C2914" t="s">
        <v>15866</v>
      </c>
      <c r="D2914" t="s">
        <v>23</v>
      </c>
      <c r="E2914" t="s">
        <v>15867</v>
      </c>
      <c r="F2914" s="5">
        <f>G2914</f>
        <v>13253000</v>
      </c>
      <c r="G2914" s="5">
        <v>13253000</v>
      </c>
      <c r="H2914" s="4">
        <v>10602000</v>
      </c>
      <c r="I2914" s="2">
        <f t="shared" si="219"/>
        <v>0.79996981815438017</v>
      </c>
      <c r="J2914" s="4">
        <v>10602000</v>
      </c>
      <c r="K2914" s="2">
        <f t="shared" si="220"/>
        <v>0.79996981815438017</v>
      </c>
      <c r="L2914" t="s">
        <v>5068</v>
      </c>
      <c r="M2914" t="s">
        <v>126</v>
      </c>
      <c r="N2914" t="b">
        <f t="shared" si="221"/>
        <v>0</v>
      </c>
    </row>
    <row r="2915" spans="1:14" x14ac:dyDescent="0.15">
      <c r="A2915" t="s">
        <v>15858</v>
      </c>
      <c r="B2915" t="s">
        <v>15861</v>
      </c>
      <c r="C2915" t="s">
        <v>15869</v>
      </c>
      <c r="D2915" t="s">
        <v>23</v>
      </c>
      <c r="E2915" t="s">
        <v>15870</v>
      </c>
      <c r="F2915" s="5">
        <v>3309000</v>
      </c>
      <c r="G2915" s="5">
        <v>3309000</v>
      </c>
      <c r="H2915" s="4">
        <v>2587000</v>
      </c>
      <c r="I2915" s="2">
        <f t="shared" si="219"/>
        <v>0.78180719250528863</v>
      </c>
      <c r="J2915" s="4">
        <v>3100000</v>
      </c>
      <c r="K2915" s="2">
        <f t="shared" si="220"/>
        <v>0.93683892414626779</v>
      </c>
      <c r="L2915" t="s">
        <v>6112</v>
      </c>
      <c r="M2915" t="s">
        <v>126</v>
      </c>
      <c r="N2915" t="b">
        <f t="shared" si="221"/>
        <v>0</v>
      </c>
    </row>
    <row r="2916" spans="1:14" x14ac:dyDescent="0.15">
      <c r="A2916" t="s">
        <v>15858</v>
      </c>
      <c r="B2916" t="s">
        <v>15868</v>
      </c>
      <c r="C2916" t="s">
        <v>15871</v>
      </c>
      <c r="D2916" t="s">
        <v>23</v>
      </c>
      <c r="E2916" t="s">
        <v>15872</v>
      </c>
      <c r="F2916" s="5">
        <v>2400000</v>
      </c>
      <c r="G2916" s="5">
        <v>2400000</v>
      </c>
      <c r="H2916" s="4">
        <v>1909000</v>
      </c>
      <c r="I2916" s="2">
        <f t="shared" si="219"/>
        <v>0.79541666666666666</v>
      </c>
      <c r="J2916" s="4">
        <v>2200000</v>
      </c>
      <c r="K2916" s="2">
        <f t="shared" si="220"/>
        <v>0.91666666666666663</v>
      </c>
      <c r="L2916" t="s">
        <v>5068</v>
      </c>
      <c r="M2916" t="s">
        <v>432</v>
      </c>
      <c r="N2916" t="b">
        <f t="shared" si="221"/>
        <v>0</v>
      </c>
    </row>
    <row r="2917" spans="1:14" x14ac:dyDescent="0.15">
      <c r="A2917" t="s">
        <v>15858</v>
      </c>
      <c r="B2917" t="s">
        <v>15861</v>
      </c>
      <c r="C2917" t="s">
        <v>15873</v>
      </c>
      <c r="D2917" t="s">
        <v>23</v>
      </c>
      <c r="E2917" t="s">
        <v>15874</v>
      </c>
      <c r="F2917" s="5">
        <v>5230000</v>
      </c>
      <c r="G2917" s="5">
        <v>5230000</v>
      </c>
      <c r="H2917" s="4">
        <v>4167000</v>
      </c>
      <c r="I2917" s="2">
        <f t="shared" si="219"/>
        <v>0.79674952198852778</v>
      </c>
      <c r="J2917" s="4">
        <v>5000000</v>
      </c>
      <c r="K2917" s="2">
        <f t="shared" si="220"/>
        <v>0.95602294455066916</v>
      </c>
      <c r="L2917" t="s">
        <v>360</v>
      </c>
      <c r="M2917" t="s">
        <v>192</v>
      </c>
      <c r="N2917" t="b">
        <f t="shared" si="221"/>
        <v>0</v>
      </c>
    </row>
    <row r="2918" spans="1:14" x14ac:dyDescent="0.15">
      <c r="A2918" t="s">
        <v>15858</v>
      </c>
      <c r="B2918" t="s">
        <v>15868</v>
      </c>
      <c r="C2918" t="s">
        <v>14835</v>
      </c>
      <c r="D2918" t="s">
        <v>23</v>
      </c>
      <c r="E2918" t="s">
        <v>15875</v>
      </c>
      <c r="F2918" s="5">
        <v>1000000</v>
      </c>
      <c r="G2918" s="5">
        <v>1000000</v>
      </c>
      <c r="H2918" s="4">
        <v>797000</v>
      </c>
      <c r="I2918" s="2">
        <f t="shared" si="219"/>
        <v>0.79700000000000004</v>
      </c>
      <c r="J2918" s="4">
        <v>900000</v>
      </c>
      <c r="K2918" s="2">
        <f t="shared" si="220"/>
        <v>0.9</v>
      </c>
      <c r="L2918" t="s">
        <v>5068</v>
      </c>
      <c r="M2918" t="s">
        <v>432</v>
      </c>
      <c r="N2918" t="b">
        <f t="shared" si="221"/>
        <v>0</v>
      </c>
    </row>
    <row r="2919" spans="1:14" x14ac:dyDescent="0.15">
      <c r="A2919" t="s">
        <v>15858</v>
      </c>
      <c r="B2919" t="s">
        <v>15868</v>
      </c>
      <c r="C2919" t="s">
        <v>15876</v>
      </c>
      <c r="D2919" t="s">
        <v>23</v>
      </c>
      <c r="E2919" t="s">
        <v>15877</v>
      </c>
      <c r="F2919" s="5">
        <f>G2919</f>
        <v>11995000</v>
      </c>
      <c r="G2919" s="5">
        <v>11995000</v>
      </c>
      <c r="I2919" s="2">
        <f t="shared" si="219"/>
        <v>0</v>
      </c>
      <c r="J2919" s="4">
        <v>10900000</v>
      </c>
      <c r="K2919" s="2">
        <f t="shared" si="220"/>
        <v>0.90871196331804915</v>
      </c>
      <c r="L2919" t="s">
        <v>5068</v>
      </c>
      <c r="M2919" t="s">
        <v>192</v>
      </c>
      <c r="N2919" t="b">
        <f t="shared" si="221"/>
        <v>0</v>
      </c>
    </row>
    <row r="2920" spans="1:14" x14ac:dyDescent="0.15">
      <c r="A2920" t="s">
        <v>15878</v>
      </c>
      <c r="B2920" t="s">
        <v>15880</v>
      </c>
      <c r="C2920" t="s">
        <v>15879</v>
      </c>
      <c r="D2920" t="s">
        <v>23</v>
      </c>
      <c r="E2920" t="s">
        <v>13527</v>
      </c>
      <c r="F2920" s="5" t="s">
        <v>145</v>
      </c>
      <c r="G2920" s="5">
        <v>7655000</v>
      </c>
      <c r="H2920" t="s">
        <v>145</v>
      </c>
      <c r="I2920" s="2" t="e">
        <f t="shared" si="219"/>
        <v>#VALUE!</v>
      </c>
      <c r="J2920" s="4">
        <v>7250000</v>
      </c>
      <c r="K2920" s="2">
        <f t="shared" si="220"/>
        <v>0.94709340300457212</v>
      </c>
      <c r="L2920" t="s">
        <v>633</v>
      </c>
      <c r="M2920" t="s">
        <v>165</v>
      </c>
      <c r="N2920" t="b">
        <f t="shared" si="221"/>
        <v>1</v>
      </c>
    </row>
    <row r="2921" spans="1:14" x14ac:dyDescent="0.15">
      <c r="A2921" t="s">
        <v>15878</v>
      </c>
      <c r="B2921" t="s">
        <v>15880</v>
      </c>
      <c r="C2921" t="s">
        <v>15881</v>
      </c>
      <c r="D2921" t="s">
        <v>23</v>
      </c>
      <c r="E2921" t="s">
        <v>15882</v>
      </c>
      <c r="F2921" s="5" t="s">
        <v>145</v>
      </c>
      <c r="G2921" s="5">
        <v>700000</v>
      </c>
      <c r="H2921" t="s">
        <v>145</v>
      </c>
      <c r="I2921" s="2" t="e">
        <f t="shared" si="219"/>
        <v>#VALUE!</v>
      </c>
      <c r="J2921" s="4">
        <v>650000</v>
      </c>
      <c r="K2921" s="2">
        <f t="shared" si="220"/>
        <v>0.9285714285714286</v>
      </c>
      <c r="L2921" t="s">
        <v>12941</v>
      </c>
      <c r="M2921" t="s">
        <v>432</v>
      </c>
      <c r="N2921" t="b">
        <f t="shared" si="221"/>
        <v>1</v>
      </c>
    </row>
    <row r="2922" spans="1:14" x14ac:dyDescent="0.15">
      <c r="A2922" t="s">
        <v>15878</v>
      </c>
      <c r="B2922" t="s">
        <v>15880</v>
      </c>
      <c r="C2922" t="s">
        <v>15883</v>
      </c>
      <c r="D2922" t="s">
        <v>23</v>
      </c>
      <c r="E2922" t="s">
        <v>15884</v>
      </c>
      <c r="F2922" s="5" t="s">
        <v>145</v>
      </c>
      <c r="G2922" s="5">
        <v>5300000</v>
      </c>
      <c r="H2922" s="4">
        <v>4770000</v>
      </c>
      <c r="I2922" s="2">
        <f t="shared" si="219"/>
        <v>0.9</v>
      </c>
      <c r="J2922" s="4">
        <v>5000000</v>
      </c>
      <c r="K2922" s="2">
        <f t="shared" si="220"/>
        <v>0.94339622641509435</v>
      </c>
      <c r="L2922" t="s">
        <v>15885</v>
      </c>
      <c r="M2922" t="s">
        <v>165</v>
      </c>
      <c r="N2922" t="b">
        <f t="shared" si="221"/>
        <v>1</v>
      </c>
    </row>
    <row r="2923" spans="1:14" x14ac:dyDescent="0.15">
      <c r="A2923" t="s">
        <v>15886</v>
      </c>
      <c r="B2923" t="s">
        <v>15889</v>
      </c>
      <c r="C2923" t="s">
        <v>15887</v>
      </c>
      <c r="D2923" t="s">
        <v>23</v>
      </c>
      <c r="E2923" t="s">
        <v>15888</v>
      </c>
      <c r="F2923" s="5" t="s">
        <v>145</v>
      </c>
      <c r="G2923" s="5">
        <v>33757000</v>
      </c>
      <c r="I2923" s="2">
        <f t="shared" si="219"/>
        <v>0</v>
      </c>
      <c r="J2923" s="4">
        <v>31000000</v>
      </c>
      <c r="K2923" s="2">
        <f t="shared" si="220"/>
        <v>0.91832805047841926</v>
      </c>
      <c r="L2923" t="s">
        <v>1458</v>
      </c>
      <c r="M2923" t="s">
        <v>165</v>
      </c>
      <c r="N2923" t="b">
        <f t="shared" si="221"/>
        <v>1</v>
      </c>
    </row>
    <row r="2924" spans="1:14" x14ac:dyDescent="0.15">
      <c r="A2924" t="s">
        <v>15886</v>
      </c>
      <c r="B2924" t="s">
        <v>15889</v>
      </c>
      <c r="C2924" t="s">
        <v>15890</v>
      </c>
      <c r="D2924" t="s">
        <v>23</v>
      </c>
      <c r="E2924" t="s">
        <v>15891</v>
      </c>
      <c r="F2924" s="5" t="s">
        <v>145</v>
      </c>
      <c r="G2924" s="5">
        <v>20026000</v>
      </c>
      <c r="I2924" s="2">
        <f t="shared" si="219"/>
        <v>0</v>
      </c>
      <c r="J2924" s="4">
        <v>16000000</v>
      </c>
      <c r="K2924" s="2">
        <f t="shared" si="220"/>
        <v>0.79896135024468196</v>
      </c>
      <c r="L2924" t="s">
        <v>1458</v>
      </c>
      <c r="M2924" t="s">
        <v>165</v>
      </c>
      <c r="N2924" t="b">
        <f t="shared" si="221"/>
        <v>1</v>
      </c>
    </row>
    <row r="2925" spans="1:14" x14ac:dyDescent="0.15">
      <c r="A2925" t="s">
        <v>15886</v>
      </c>
      <c r="B2925" t="s">
        <v>15889</v>
      </c>
      <c r="C2925" t="s">
        <v>15892</v>
      </c>
      <c r="D2925" t="s">
        <v>23</v>
      </c>
      <c r="E2925" t="s">
        <v>15893</v>
      </c>
      <c r="F2925" s="5" t="s">
        <v>145</v>
      </c>
      <c r="G2925" s="5">
        <v>71489000</v>
      </c>
      <c r="I2925" s="2">
        <f t="shared" si="219"/>
        <v>0</v>
      </c>
      <c r="J2925" s="4">
        <v>52000000</v>
      </c>
      <c r="K2925" s="2">
        <f t="shared" si="220"/>
        <v>0.72738463260081976</v>
      </c>
      <c r="L2925" t="s">
        <v>1458</v>
      </c>
      <c r="M2925" t="s">
        <v>192</v>
      </c>
      <c r="N2925" t="b">
        <f t="shared" si="221"/>
        <v>1</v>
      </c>
    </row>
    <row r="2926" spans="1:14" x14ac:dyDescent="0.15">
      <c r="A2926" t="s">
        <v>15886</v>
      </c>
      <c r="B2926" t="s">
        <v>15889</v>
      </c>
      <c r="C2926" t="s">
        <v>15894</v>
      </c>
      <c r="D2926" t="s">
        <v>23</v>
      </c>
      <c r="E2926" t="s">
        <v>15895</v>
      </c>
      <c r="F2926" s="5" t="s">
        <v>145</v>
      </c>
      <c r="G2926" s="5">
        <v>32233000</v>
      </c>
      <c r="I2926" s="2">
        <f t="shared" si="219"/>
        <v>0</v>
      </c>
      <c r="J2926" s="4">
        <v>25700000</v>
      </c>
      <c r="K2926" s="2">
        <f t="shared" si="220"/>
        <v>0.79731951726491479</v>
      </c>
      <c r="L2926" t="s">
        <v>853</v>
      </c>
      <c r="M2926" t="s">
        <v>165</v>
      </c>
      <c r="N2926" t="b">
        <f t="shared" si="221"/>
        <v>1</v>
      </c>
    </row>
    <row r="2927" spans="1:14" x14ac:dyDescent="0.15">
      <c r="A2927" t="s">
        <v>15886</v>
      </c>
      <c r="B2927" t="s">
        <v>15889</v>
      </c>
      <c r="C2927" t="s">
        <v>15896</v>
      </c>
      <c r="D2927" t="s">
        <v>23</v>
      </c>
      <c r="E2927" t="s">
        <v>15897</v>
      </c>
      <c r="F2927" s="5" t="s">
        <v>145</v>
      </c>
      <c r="G2927" s="5">
        <v>15441000</v>
      </c>
      <c r="I2927" s="2">
        <f t="shared" si="219"/>
        <v>0</v>
      </c>
      <c r="J2927" s="4">
        <v>11800000</v>
      </c>
      <c r="K2927" s="2">
        <f t="shared" si="220"/>
        <v>0.76419920989573209</v>
      </c>
      <c r="L2927" t="s">
        <v>1458</v>
      </c>
      <c r="M2927" t="s">
        <v>165</v>
      </c>
      <c r="N2927" t="b">
        <f t="shared" si="221"/>
        <v>1</v>
      </c>
    </row>
    <row r="2928" spans="1:14" x14ac:dyDescent="0.15">
      <c r="A2928" t="s">
        <v>15886</v>
      </c>
      <c r="B2928" t="s">
        <v>15889</v>
      </c>
      <c r="C2928" t="s">
        <v>15898</v>
      </c>
      <c r="D2928" t="s">
        <v>23</v>
      </c>
      <c r="E2928" t="s">
        <v>15899</v>
      </c>
      <c r="F2928" s="5" t="s">
        <v>145</v>
      </c>
      <c r="G2928" s="5">
        <v>12175000</v>
      </c>
      <c r="I2928" s="2">
        <f t="shared" si="219"/>
        <v>0</v>
      </c>
      <c r="J2928" s="4">
        <v>10300000</v>
      </c>
      <c r="K2928" s="2">
        <f t="shared" si="220"/>
        <v>0.8459958932238193</v>
      </c>
      <c r="L2928" t="s">
        <v>853</v>
      </c>
      <c r="M2928" t="s">
        <v>165</v>
      </c>
      <c r="N2928" t="b">
        <f t="shared" si="221"/>
        <v>1</v>
      </c>
    </row>
    <row r="2929" spans="1:14" x14ac:dyDescent="0.15">
      <c r="A2929" t="s">
        <v>15886</v>
      </c>
      <c r="B2929" t="s">
        <v>15889</v>
      </c>
      <c r="C2929" t="s">
        <v>15900</v>
      </c>
      <c r="D2929" t="s">
        <v>23</v>
      </c>
      <c r="E2929" t="s">
        <v>15901</v>
      </c>
      <c r="F2929" s="5" t="s">
        <v>145</v>
      </c>
      <c r="G2929" s="5">
        <v>15361000</v>
      </c>
      <c r="I2929" s="2">
        <f t="shared" si="219"/>
        <v>0</v>
      </c>
      <c r="J2929" s="4">
        <v>12800000</v>
      </c>
      <c r="K2929" s="2">
        <f t="shared" si="220"/>
        <v>0.83327908339300827</v>
      </c>
      <c r="L2929" t="s">
        <v>1458</v>
      </c>
      <c r="M2929" t="s">
        <v>165</v>
      </c>
      <c r="N2929" t="b">
        <f t="shared" si="221"/>
        <v>1</v>
      </c>
    </row>
    <row r="2930" spans="1:14" x14ac:dyDescent="0.15">
      <c r="A2930" t="s">
        <v>15886</v>
      </c>
      <c r="B2930" t="s">
        <v>15889</v>
      </c>
      <c r="C2930" t="s">
        <v>15902</v>
      </c>
      <c r="D2930" t="s">
        <v>23</v>
      </c>
      <c r="E2930" t="s">
        <v>15903</v>
      </c>
      <c r="F2930" s="5" t="s">
        <v>145</v>
      </c>
      <c r="G2930" s="5">
        <v>15923000</v>
      </c>
      <c r="I2930" s="2">
        <f>H2930/G2930</f>
        <v>0</v>
      </c>
      <c r="J2930" s="4">
        <v>13500000</v>
      </c>
      <c r="K2930" s="2">
        <f t="shared" si="220"/>
        <v>0.84783018275450606</v>
      </c>
      <c r="L2930" t="s">
        <v>853</v>
      </c>
      <c r="M2930" t="s">
        <v>165</v>
      </c>
      <c r="N2930" t="b">
        <f t="shared" si="221"/>
        <v>1</v>
      </c>
    </row>
    <row r="2931" spans="1:14" x14ac:dyDescent="0.15">
      <c r="A2931" t="s">
        <v>15904</v>
      </c>
      <c r="B2931" t="s">
        <v>15907</v>
      </c>
      <c r="C2931" t="s">
        <v>15905</v>
      </c>
      <c r="D2931" t="s">
        <v>118</v>
      </c>
      <c r="E2931" t="s">
        <v>15906</v>
      </c>
      <c r="F2931" s="5">
        <v>51150000</v>
      </c>
      <c r="G2931" s="5">
        <v>51150000</v>
      </c>
      <c r="H2931" s="4">
        <v>41286000</v>
      </c>
      <c r="I2931" s="2">
        <f t="shared" si="219"/>
        <v>0.80715542521994132</v>
      </c>
      <c r="J2931" s="4">
        <v>41900000</v>
      </c>
      <c r="K2931" s="2">
        <f t="shared" si="220"/>
        <v>0.8191593352883676</v>
      </c>
      <c r="L2931" t="s">
        <v>1262</v>
      </c>
      <c r="M2931" t="s">
        <v>183</v>
      </c>
      <c r="N2931" t="b">
        <f t="shared" si="221"/>
        <v>0</v>
      </c>
    </row>
    <row r="2932" spans="1:14" x14ac:dyDescent="0.15">
      <c r="A2932" t="s">
        <v>15904</v>
      </c>
      <c r="B2932" t="s">
        <v>15907</v>
      </c>
      <c r="C2932" t="s">
        <v>15908</v>
      </c>
      <c r="D2932" t="s">
        <v>118</v>
      </c>
      <c r="E2932" t="s">
        <v>15909</v>
      </c>
      <c r="F2932" s="5">
        <v>15170000</v>
      </c>
      <c r="G2932" s="5">
        <v>15170000</v>
      </c>
      <c r="H2932" s="4">
        <v>12182000</v>
      </c>
      <c r="I2932" s="2">
        <f t="shared" si="219"/>
        <v>0.80303230059327624</v>
      </c>
      <c r="J2932" s="4">
        <v>12200000</v>
      </c>
      <c r="K2932" s="2">
        <f t="shared" si="220"/>
        <v>0.80421885299934082</v>
      </c>
      <c r="L2932" t="s">
        <v>5415</v>
      </c>
      <c r="M2932" t="s">
        <v>139</v>
      </c>
      <c r="N2932" t="b">
        <f t="shared" si="221"/>
        <v>0</v>
      </c>
    </row>
    <row r="2933" spans="1:14" x14ac:dyDescent="0.15">
      <c r="A2933" t="s">
        <v>15904</v>
      </c>
      <c r="B2933" t="s">
        <v>15907</v>
      </c>
      <c r="C2933" t="s">
        <v>15910</v>
      </c>
      <c r="D2933" t="s">
        <v>118</v>
      </c>
      <c r="E2933" t="s">
        <v>15911</v>
      </c>
      <c r="F2933" s="5">
        <v>5290000</v>
      </c>
      <c r="G2933" s="5">
        <v>5290000</v>
      </c>
      <c r="H2933" s="4">
        <v>4216000</v>
      </c>
      <c r="I2933" s="2">
        <f t="shared" si="219"/>
        <v>0.79697542533081289</v>
      </c>
      <c r="J2933" s="4">
        <v>4216000</v>
      </c>
      <c r="K2933" s="2">
        <f t="shared" si="220"/>
        <v>0.79697542533081289</v>
      </c>
      <c r="L2933" t="s">
        <v>9367</v>
      </c>
      <c r="M2933" t="s">
        <v>104</v>
      </c>
      <c r="N2933" t="b">
        <f t="shared" si="221"/>
        <v>0</v>
      </c>
    </row>
    <row r="2934" spans="1:14" x14ac:dyDescent="0.15">
      <c r="A2934" t="s">
        <v>15912</v>
      </c>
      <c r="B2934" t="s">
        <v>15915</v>
      </c>
      <c r="C2934" t="s">
        <v>15913</v>
      </c>
      <c r="D2934" t="s">
        <v>23</v>
      </c>
      <c r="E2934" t="s">
        <v>15914</v>
      </c>
      <c r="F2934" s="5">
        <v>20400000</v>
      </c>
      <c r="G2934" s="5">
        <v>20400000</v>
      </c>
      <c r="H2934" s="4">
        <v>16301000</v>
      </c>
      <c r="I2934" s="2">
        <f t="shared" si="219"/>
        <v>0.7990686274509804</v>
      </c>
      <c r="J2934" s="4">
        <v>16302000</v>
      </c>
      <c r="K2934" s="2">
        <f t="shared" si="220"/>
        <v>0.79911764705882349</v>
      </c>
      <c r="L2934" t="s">
        <v>15916</v>
      </c>
      <c r="M2934" t="s">
        <v>126</v>
      </c>
      <c r="N2934" t="b">
        <f t="shared" si="221"/>
        <v>0</v>
      </c>
    </row>
    <row r="2935" spans="1:14" x14ac:dyDescent="0.15">
      <c r="A2935" t="s">
        <v>15912</v>
      </c>
      <c r="B2935" t="s">
        <v>15915</v>
      </c>
      <c r="C2935" t="s">
        <v>15917</v>
      </c>
      <c r="D2935" t="s">
        <v>23</v>
      </c>
      <c r="E2935" t="s">
        <v>15918</v>
      </c>
      <c r="F2935" s="5">
        <v>1178700</v>
      </c>
      <c r="G2935" s="5">
        <v>1178700</v>
      </c>
      <c r="I2935" s="2">
        <f t="shared" si="219"/>
        <v>0</v>
      </c>
      <c r="J2935" s="4">
        <v>875000</v>
      </c>
      <c r="K2935" s="2">
        <f t="shared" si="220"/>
        <v>0.74234325952320357</v>
      </c>
      <c r="L2935" t="s">
        <v>207</v>
      </c>
      <c r="M2935" t="s">
        <v>1015</v>
      </c>
      <c r="N2935" t="b">
        <f t="shared" si="221"/>
        <v>0</v>
      </c>
    </row>
  </sheetData>
  <autoFilter ref="A2:P2935" xr:uid="{00000000-0001-0000-0100-000000000000}"/>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埼玉県落札結果情報</vt:lpstr>
      <vt:lpstr>自治体落札結果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ひろし わたなべ</cp:lastModifiedBy>
  <dcterms:created xsi:type="dcterms:W3CDTF">2026-05-20T05:26:22Z</dcterms:created>
  <dcterms:modified xsi:type="dcterms:W3CDTF">2026-05-27T06:06:25Z</dcterms:modified>
</cp:coreProperties>
</file>